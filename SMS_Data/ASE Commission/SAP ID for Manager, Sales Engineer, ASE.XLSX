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/>
  <mc:AlternateContent xmlns:mc="http://schemas.openxmlformats.org/markup-compatibility/2006">
    <mc:Choice Requires="x15">
      <x15ac:absPath xmlns:x15ac="http://schemas.microsoft.com/office/spreadsheetml/2010/11/ac" url="F:\Dot Net\SMS\SMS_Data\"/>
    </mc:Choice>
  </mc:AlternateContent>
  <xr:revisionPtr revIDLastSave="0" documentId="13_ncr:1_{00FAA2E3-0346-4B9F-B1FB-3E18505C166F}" xr6:coauthVersionLast="36" xr6:coauthVersionMax="36" xr10:uidLastSave="{00000000-0000-0000-0000-000000000000}"/>
  <bookViews>
    <workbookView xWindow="0" yWindow="0" windowWidth="28800" windowHeight="12105" activeTab="3" xr2:uid="{00000000-000D-0000-FFFF-FFFF00000000}"/>
  </bookViews>
  <sheets>
    <sheet name="Product Managr or Sales Manager" sheetId="3" r:id="rId1"/>
    <sheet name="Sales Engineer or Representativ" sheetId="2" r:id="rId2"/>
    <sheet name="ASE" sheetId="1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4" i="1"/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4" i="2"/>
  <c r="F5" i="3"/>
  <c r="F6" i="3"/>
  <c r="F7" i="3"/>
  <c r="F8" i="3"/>
  <c r="F10" i="3"/>
  <c r="F11" i="3"/>
  <c r="F12" i="3"/>
  <c r="F13" i="3"/>
  <c r="F4" i="3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4" i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4" i="2"/>
  <c r="E5" i="3"/>
  <c r="E6" i="3"/>
  <c r="E7" i="3"/>
  <c r="E8" i="3"/>
  <c r="E9" i="3"/>
  <c r="F9" i="3" s="1"/>
  <c r="E10" i="3"/>
  <c r="E11" i="3"/>
  <c r="E12" i="3"/>
  <c r="E13" i="3"/>
  <c r="E4" i="3"/>
  <c r="D5" i="3"/>
  <c r="D6" i="3"/>
  <c r="D7" i="3"/>
  <c r="D8" i="3"/>
  <c r="D9" i="3"/>
  <c r="D10" i="3"/>
  <c r="D11" i="3"/>
  <c r="D12" i="3"/>
  <c r="D13" i="3"/>
  <c r="D4" i="3"/>
</calcChain>
</file>

<file path=xl/sharedStrings.xml><?xml version="1.0" encoding="utf-8"?>
<sst xmlns="http://schemas.openxmlformats.org/spreadsheetml/2006/main" count="523" uniqueCount="291">
  <si>
    <t>Wing</t>
  </si>
  <si>
    <t>Name</t>
  </si>
  <si>
    <t>ID</t>
  </si>
  <si>
    <t>DSL-DHK</t>
  </si>
  <si>
    <t xml:space="preserve">Md. Shohidul </t>
  </si>
  <si>
    <t>Sagar Chakrobarti</t>
  </si>
  <si>
    <t>Md. Minhazul Islam</t>
  </si>
  <si>
    <t>Md. Nazmul Hasan Titu</t>
  </si>
  <si>
    <t>Md. Zahirul Islam</t>
  </si>
  <si>
    <t>Md. Rakibul Hasan</t>
  </si>
  <si>
    <t>Md Ariful Islam</t>
  </si>
  <si>
    <t>Mohammad Jewel Rana</t>
  </si>
  <si>
    <t>Faysal Ahmed</t>
  </si>
  <si>
    <t>Rakibul Islam Razib</t>
  </si>
  <si>
    <t>Ashraful Islam</t>
  </si>
  <si>
    <t>Md. Rakibul Islam</t>
  </si>
  <si>
    <t>Ohid Hasan Saikat</t>
  </si>
  <si>
    <t>Abdullah Al Mahmud</t>
  </si>
  <si>
    <t>Apurba Kumar Gain</t>
  </si>
  <si>
    <t>Amirul Islam</t>
  </si>
  <si>
    <t>Md. Jafor Ikbal</t>
  </si>
  <si>
    <t>CTG</t>
  </si>
  <si>
    <t xml:space="preserve">Sumon Sen </t>
  </si>
  <si>
    <t>Tapan Barua</t>
  </si>
  <si>
    <t>SL#</t>
  </si>
  <si>
    <t>Sozol Prince</t>
  </si>
  <si>
    <t>Azharul Islam</t>
  </si>
  <si>
    <t>Asif Ahmed</t>
  </si>
  <si>
    <t>Saiful Islam</t>
  </si>
  <si>
    <t>Md. Abdul Qader</t>
  </si>
  <si>
    <t>Subrata Halder</t>
  </si>
  <si>
    <t>Md. Iqbal Mahmud</t>
  </si>
  <si>
    <t>Atiqur Rahman</t>
  </si>
  <si>
    <t>Bishwarup Podder</t>
  </si>
  <si>
    <t>Eusuf Ahmed Titul</t>
  </si>
  <si>
    <t>Himadry Biswas</t>
  </si>
  <si>
    <t>Jobayer Ahsan</t>
  </si>
  <si>
    <t>K.M. Shahriare Naser</t>
  </si>
  <si>
    <t>Masud Rana Sarder</t>
  </si>
  <si>
    <t>Mohammad Ismail</t>
  </si>
  <si>
    <t>Moznur Rahman</t>
  </si>
  <si>
    <t>Rubel Das</t>
  </si>
  <si>
    <t>Omar Ibna Shaid</t>
  </si>
  <si>
    <t>Shoyeb Mohammed Faisal</t>
  </si>
  <si>
    <t>Tashrif Ullah</t>
  </si>
  <si>
    <t>Moudud Hossain Feroz</t>
  </si>
  <si>
    <t>Abdus Sobur</t>
  </si>
  <si>
    <t>Nadia Hasan</t>
  </si>
  <si>
    <t>Md. Alkawsar</t>
  </si>
  <si>
    <t>Azizul Hakim</t>
  </si>
  <si>
    <t xml:space="preserve">Md. Jiaur Rahman </t>
  </si>
  <si>
    <t>Ashikur Rahman</t>
  </si>
  <si>
    <t>Md. Habibur Rahman</t>
  </si>
  <si>
    <t>Md. Sujon Hossain</t>
  </si>
  <si>
    <t>Found in SAP</t>
  </si>
  <si>
    <t>EP1418</t>
  </si>
  <si>
    <t>Md. Shohidul</t>
  </si>
  <si>
    <t>Z200</t>
  </si>
  <si>
    <t>EP1475</t>
  </si>
  <si>
    <t>Tapon Barua</t>
  </si>
  <si>
    <t>EP2699</t>
  </si>
  <si>
    <t>EP2913</t>
  </si>
  <si>
    <t>EP2914</t>
  </si>
  <si>
    <t>EP2927</t>
  </si>
  <si>
    <t>EP3002</t>
  </si>
  <si>
    <t>EP3003</t>
  </si>
  <si>
    <t>Md. Ashraful Islam</t>
  </si>
  <si>
    <t>EP3004</t>
  </si>
  <si>
    <t>EP3006</t>
  </si>
  <si>
    <t>Md. Rokibul Islam Razib</t>
  </si>
  <si>
    <t>EP5690</t>
  </si>
  <si>
    <t>EP5691</t>
  </si>
  <si>
    <t>EP5692</t>
  </si>
  <si>
    <t>EP5927</t>
  </si>
  <si>
    <t>ZEMP</t>
  </si>
  <si>
    <t>EP5928</t>
  </si>
  <si>
    <t>EP5929</t>
  </si>
  <si>
    <t>EP6076</t>
  </si>
  <si>
    <t>Md. Sozol Prince</t>
  </si>
  <si>
    <t>EP6078</t>
  </si>
  <si>
    <t>EP6079</t>
  </si>
  <si>
    <t>EP6080</t>
  </si>
  <si>
    <t>EP8041</t>
  </si>
  <si>
    <t>Sumon Sen</t>
  </si>
  <si>
    <t>EP0142</t>
  </si>
  <si>
    <t>S. M. Atiqur Rahman</t>
  </si>
  <si>
    <t>EP0144</t>
  </si>
  <si>
    <t>Md Zahirul Islam</t>
  </si>
  <si>
    <t>EP0178</t>
  </si>
  <si>
    <t>EP0207</t>
  </si>
  <si>
    <t>EP0304</t>
  </si>
  <si>
    <t>EP0314</t>
  </si>
  <si>
    <t>Md. Azizul Hakim</t>
  </si>
  <si>
    <t>EP0676</t>
  </si>
  <si>
    <t>EP1581</t>
  </si>
  <si>
    <t>EP1662</t>
  </si>
  <si>
    <t>EP1721</t>
  </si>
  <si>
    <t>EP1853</t>
  </si>
  <si>
    <t>MD. ALKAWSAR</t>
  </si>
  <si>
    <t>EP2039</t>
  </si>
  <si>
    <t>EP2175</t>
  </si>
  <si>
    <t>EP2216</t>
  </si>
  <si>
    <t>EP2345</t>
  </si>
  <si>
    <t>EP2771</t>
  </si>
  <si>
    <t>EP2825</t>
  </si>
  <si>
    <t>EP2906</t>
  </si>
  <si>
    <t>EP8025</t>
  </si>
  <si>
    <t>Md. Moznur Rahman</t>
  </si>
  <si>
    <t>EP8027</t>
  </si>
  <si>
    <t>Md Ismail</t>
  </si>
  <si>
    <t>EP8030</t>
  </si>
  <si>
    <t>EP1319</t>
  </si>
  <si>
    <t>EP8021</t>
  </si>
  <si>
    <t>Md. Abdus Sobur</t>
  </si>
  <si>
    <t>EP0141</t>
  </si>
  <si>
    <t>admin</t>
  </si>
  <si>
    <t> 0168</t>
  </si>
  <si>
    <t> 0191</t>
  </si>
  <si>
    <t> 0205</t>
  </si>
  <si>
    <t> 0175</t>
  </si>
  <si>
    <t> 0176</t>
  </si>
  <si>
    <t> 0171</t>
  </si>
  <si>
    <t> 0160</t>
  </si>
  <si>
    <t> 0179</t>
  </si>
  <si>
    <t> 0368</t>
  </si>
  <si>
    <t> 0531</t>
  </si>
  <si>
    <t> 0308</t>
  </si>
  <si>
    <t> 0480</t>
  </si>
  <si>
    <t> 0182</t>
  </si>
  <si>
    <t> 0185</t>
  </si>
  <si>
    <t> 0192</t>
  </si>
  <si>
    <t> 0908</t>
  </si>
  <si>
    <t> 0598</t>
  </si>
  <si>
    <t> 0909</t>
  </si>
  <si>
    <t> 0555</t>
  </si>
  <si>
    <t> 0169</t>
  </si>
  <si>
    <t> 0206</t>
  </si>
  <si>
    <t> 0189</t>
  </si>
  <si>
    <t> 0201</t>
  </si>
  <si>
    <t> 0443</t>
  </si>
  <si>
    <t> 0550</t>
  </si>
  <si>
    <t> 0548</t>
  </si>
  <si>
    <t>200018 - 3105</t>
  </si>
  <si>
    <t>20018-3119</t>
  </si>
  <si>
    <t>20018-3131</t>
  </si>
  <si>
    <t>20018-3130</t>
  </si>
  <si>
    <t>Masum Ahmed</t>
  </si>
  <si>
    <t>NULL</t>
  </si>
  <si>
    <t>2158</t>
  </si>
  <si>
    <t>0142</t>
  </si>
  <si>
    <t>0281</t>
  </si>
  <si>
    <t>0141</t>
  </si>
  <si>
    <t>0139</t>
  </si>
  <si>
    <t>2929</t>
  </si>
  <si>
    <t>0742</t>
  </si>
  <si>
    <t>0677</t>
  </si>
  <si>
    <t>8021</t>
  </si>
  <si>
    <t>1454</t>
  </si>
  <si>
    <t>8025</t>
  </si>
  <si>
    <t>8027</t>
  </si>
  <si>
    <t>8033</t>
  </si>
  <si>
    <t>8032</t>
  </si>
  <si>
    <t>8034</t>
  </si>
  <si>
    <t>8036</t>
  </si>
  <si>
    <t>8035</t>
  </si>
  <si>
    <t>0356</t>
  </si>
  <si>
    <t>0566</t>
  </si>
  <si>
    <t>0144</t>
  </si>
  <si>
    <t>0304</t>
  </si>
  <si>
    <t>0145</t>
  </si>
  <si>
    <t>0155</t>
  </si>
  <si>
    <t>0157</t>
  </si>
  <si>
    <t>0159</t>
  </si>
  <si>
    <t>0163</t>
  </si>
  <si>
    <t>0162</t>
  </si>
  <si>
    <t>0316</t>
  </si>
  <si>
    <t>1291</t>
  </si>
  <si>
    <t>0708</t>
  </si>
  <si>
    <t>0741</t>
  </si>
  <si>
    <t>0121</t>
  </si>
  <si>
    <t>0314</t>
  </si>
  <si>
    <t>0334</t>
  </si>
  <si>
    <t>0122</t>
  </si>
  <si>
    <t>0125</t>
  </si>
  <si>
    <t>0355</t>
  </si>
  <si>
    <t>0164</t>
  </si>
  <si>
    <t>0312</t>
  </si>
  <si>
    <t>0324</t>
  </si>
  <si>
    <t>2767</t>
  </si>
  <si>
    <t>2007</t>
  </si>
  <si>
    <t>2345</t>
  </si>
  <si>
    <t>1874</t>
  </si>
  <si>
    <t>1331</t>
  </si>
  <si>
    <t>2039</t>
  </si>
  <si>
    <t>2040</t>
  </si>
  <si>
    <t>0365</t>
  </si>
  <si>
    <t>0124</t>
  </si>
  <si>
    <t>2142</t>
  </si>
  <si>
    <t>1829</t>
  </si>
  <si>
    <t>0938</t>
  </si>
  <si>
    <t>1336</t>
  </si>
  <si>
    <t>0369</t>
  </si>
  <si>
    <t>0311</t>
  </si>
  <si>
    <t>0042</t>
  </si>
  <si>
    <t>6024</t>
  </si>
  <si>
    <t>2163</t>
  </si>
  <si>
    <t>2162</t>
  </si>
  <si>
    <t>0694</t>
  </si>
  <si>
    <t>1401</t>
  </si>
  <si>
    <t>8018</t>
  </si>
  <si>
    <t>2073</t>
  </si>
  <si>
    <t>2175</t>
  </si>
  <si>
    <t>0466</t>
  </si>
  <si>
    <t>0131</t>
  </si>
  <si>
    <t>0150</t>
  </si>
  <si>
    <t>1148</t>
  </si>
  <si>
    <t>0147</t>
  </si>
  <si>
    <t>0352</t>
  </si>
  <si>
    <t>0183</t>
  </si>
  <si>
    <t>0308</t>
  </si>
  <si>
    <t>9952</t>
  </si>
  <si>
    <t>0052</t>
  </si>
  <si>
    <t>4024</t>
  </si>
  <si>
    <t>4047</t>
  </si>
  <si>
    <t>0698</t>
  </si>
  <si>
    <t>0342</t>
  </si>
  <si>
    <t>4029</t>
  </si>
  <si>
    <t>4025</t>
  </si>
  <si>
    <t>1289</t>
  </si>
  <si>
    <t>2253</t>
  </si>
  <si>
    <t>3118</t>
  </si>
  <si>
    <t>2262</t>
  </si>
  <si>
    <t>1520</t>
  </si>
  <si>
    <t>4036</t>
  </si>
  <si>
    <t>4048</t>
  </si>
  <si>
    <t>2340</t>
  </si>
  <si>
    <t>0167</t>
  </si>
  <si>
    <t>3572</t>
  </si>
  <si>
    <t>0349</t>
  </si>
  <si>
    <t>5629</t>
  </si>
  <si>
    <t>5684</t>
  </si>
  <si>
    <t>5627</t>
  </si>
  <si>
    <t>5628</t>
  </si>
  <si>
    <t>2216</t>
  </si>
  <si>
    <t>2771</t>
  </si>
  <si>
    <t>2906</t>
  </si>
  <si>
    <t>2825</t>
  </si>
  <si>
    <t>0306</t>
  </si>
  <si>
    <t>0368</t>
  </si>
  <si>
    <t>0166</t>
  </si>
  <si>
    <t>0169</t>
  </si>
  <si>
    <t>0171</t>
  </si>
  <si>
    <t>0175</t>
  </si>
  <si>
    <t>0176</t>
  </si>
  <si>
    <t>0178</t>
  </si>
  <si>
    <t>0179</t>
  </si>
  <si>
    <t>0189</t>
  </si>
  <si>
    <t>0191</t>
  </si>
  <si>
    <t>0205</t>
  </si>
  <si>
    <t>0206</t>
  </si>
  <si>
    <t>0207</t>
  </si>
  <si>
    <t>0676</t>
  </si>
  <si>
    <t>0480</t>
  </si>
  <si>
    <t>0531</t>
  </si>
  <si>
    <t>0548</t>
  </si>
  <si>
    <t>0550</t>
  </si>
  <si>
    <t>0598</t>
  </si>
  <si>
    <t>0443</t>
  </si>
  <si>
    <t>1319</t>
  </si>
  <si>
    <t>8030</t>
  </si>
  <si>
    <t>1581</t>
  </si>
  <si>
    <t>1662</t>
  </si>
  <si>
    <t>1721</t>
  </si>
  <si>
    <t>1853</t>
  </si>
  <si>
    <t>5982</t>
  </si>
  <si>
    <t>5935</t>
  </si>
  <si>
    <t>6061</t>
  </si>
  <si>
    <t>6096</t>
  </si>
  <si>
    <t>0474</t>
  </si>
  <si>
    <t>0458</t>
  </si>
  <si>
    <t>0378</t>
  </si>
  <si>
    <t>0637</t>
  </si>
  <si>
    <t>0942</t>
  </si>
  <si>
    <t>0060</t>
  </si>
  <si>
    <t>0061</t>
  </si>
  <si>
    <t>1568</t>
  </si>
  <si>
    <t>PC1041</t>
  </si>
  <si>
    <t>Shariful Islam</t>
  </si>
  <si>
    <t>PED Service &amp; Spares --- PED-S&amp;S</t>
  </si>
  <si>
    <t>81DC9BDB52D04DC20036DBD8313ED055</t>
  </si>
  <si>
    <t>sharif.pgd@energypac.com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</si>
</sst>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0" xfId="0" applyNumberFormat="1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0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0" xfId="0" applyNumberFormat="1" applyFont="1"/>
    <xf numFmtId="0" fontId="0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Font="1" applyAlignment="1">
      <alignment vertical="center"/>
    </xf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25"/>
  <sheetViews>
    <sheetView workbookViewId="0">
      <pane ySplit="3" topLeftCell="A4" activePane="bottomLeft" state="frozen"/>
      <selection pane="bottomLeft" activeCell="B25" sqref="B25:D25"/>
    </sheetView>
  </sheetViews>
  <sheetFormatPr defaultRowHeight="15" x14ac:dyDescent="0.25"/>
  <cols>
    <col min="2" max="2" width="24.28515625" customWidth="1"/>
    <col min="3" max="3" width="21.42578125" style="3" bestFit="1" customWidth="1"/>
    <col min="4" max="4" width="16.140625" style="11" bestFit="1" customWidth="1"/>
  </cols>
  <sheetData>
    <row r="3" spans="1:6" ht="21.6" customHeight="1" x14ac:dyDescent="0.25">
      <c r="A3" s="8" t="s">
        <v>24</v>
      </c>
      <c r="B3" s="8" t="s">
        <v>1</v>
      </c>
      <c r="C3" s="8" t="s">
        <v>2</v>
      </c>
    </row>
    <row r="4" spans="1:6" x14ac:dyDescent="0.25">
      <c r="A4" s="6">
        <v>1</v>
      </c>
      <c r="B4" s="4" t="s">
        <v>45</v>
      </c>
      <c r="C4" s="6">
        <v>1319</v>
      </c>
      <c r="D4" s="11" t="str">
        <f>TEXT(C4,"0000")</f>
        <v>1319</v>
      </c>
      <c r="E4" t="str">
        <f>_xlfn.CONCAT("EP",D4)</f>
        <v>EP1319</v>
      </c>
      <c r="F4">
        <f>COUNTIF($B$16:$B$24,E4)</f>
        <v>1</v>
      </c>
    </row>
    <row r="5" spans="1:6" x14ac:dyDescent="0.25">
      <c r="A5" s="6">
        <v>2</v>
      </c>
      <c r="B5" s="4" t="s">
        <v>46</v>
      </c>
      <c r="C5" s="6">
        <v>8021</v>
      </c>
      <c r="D5" s="11" t="str">
        <f t="shared" ref="D5:D13" si="0">TEXT(C5,"0000")</f>
        <v>8021</v>
      </c>
      <c r="E5" t="str">
        <f t="shared" ref="E5:E13" si="1">_xlfn.CONCAT("EP",D5)</f>
        <v>EP8021</v>
      </c>
      <c r="F5">
        <f t="shared" ref="F5:F13" si="2">COUNTIF($B$16:$B$24,E5)</f>
        <v>1</v>
      </c>
    </row>
    <row r="6" spans="1:6" x14ac:dyDescent="0.25">
      <c r="A6" s="6">
        <v>3</v>
      </c>
      <c r="B6" s="4" t="s">
        <v>26</v>
      </c>
      <c r="C6" s="6">
        <v>1662</v>
      </c>
      <c r="D6" s="11" t="str">
        <f t="shared" si="0"/>
        <v>1662</v>
      </c>
      <c r="E6" t="str">
        <f t="shared" si="1"/>
        <v>EP1662</v>
      </c>
      <c r="F6">
        <f t="shared" si="2"/>
        <v>1</v>
      </c>
    </row>
    <row r="7" spans="1:6" x14ac:dyDescent="0.25">
      <c r="A7" s="6">
        <v>4</v>
      </c>
      <c r="B7" s="4" t="s">
        <v>27</v>
      </c>
      <c r="C7" s="6">
        <v>2216</v>
      </c>
      <c r="D7" s="11" t="str">
        <f t="shared" si="0"/>
        <v>2216</v>
      </c>
      <c r="E7" t="str">
        <f t="shared" si="1"/>
        <v>EP2216</v>
      </c>
      <c r="F7">
        <f t="shared" si="2"/>
        <v>1</v>
      </c>
    </row>
    <row r="8" spans="1:6" x14ac:dyDescent="0.25">
      <c r="A8" s="6">
        <v>5</v>
      </c>
      <c r="B8" s="4" t="s">
        <v>28</v>
      </c>
      <c r="C8" s="6">
        <v>2175</v>
      </c>
      <c r="D8" s="11" t="str">
        <f t="shared" si="0"/>
        <v>2175</v>
      </c>
      <c r="E8" t="str">
        <f t="shared" si="1"/>
        <v>EP2175</v>
      </c>
      <c r="F8">
        <f t="shared" si="2"/>
        <v>1</v>
      </c>
    </row>
    <row r="9" spans="1:6" s="20" customFormat="1" x14ac:dyDescent="0.25">
      <c r="A9" s="17">
        <v>6</v>
      </c>
      <c r="B9" s="18" t="s">
        <v>29</v>
      </c>
      <c r="C9" s="17">
        <v>141</v>
      </c>
      <c r="D9" s="19" t="str">
        <f t="shared" si="0"/>
        <v>0141</v>
      </c>
      <c r="E9" s="20" t="str">
        <f t="shared" si="1"/>
        <v>EP0141</v>
      </c>
      <c r="F9" s="20">
        <f t="shared" si="2"/>
        <v>0</v>
      </c>
    </row>
    <row r="10" spans="1:6" x14ac:dyDescent="0.25">
      <c r="A10" s="6">
        <v>7</v>
      </c>
      <c r="B10" s="4" t="s">
        <v>31</v>
      </c>
      <c r="C10" s="6">
        <v>2039</v>
      </c>
      <c r="D10" s="11" t="str">
        <f t="shared" si="0"/>
        <v>2039</v>
      </c>
      <c r="E10" t="str">
        <f t="shared" si="1"/>
        <v>EP2039</v>
      </c>
      <c r="F10">
        <f t="shared" si="2"/>
        <v>1</v>
      </c>
    </row>
    <row r="11" spans="1:6" x14ac:dyDescent="0.25">
      <c r="A11" s="6">
        <v>8</v>
      </c>
      <c r="B11" s="4" t="s">
        <v>32</v>
      </c>
      <c r="C11" s="6">
        <v>142</v>
      </c>
      <c r="D11" s="11" t="str">
        <f t="shared" si="0"/>
        <v>0142</v>
      </c>
      <c r="E11" t="str">
        <f t="shared" si="1"/>
        <v>EP0142</v>
      </c>
      <c r="F11">
        <f t="shared" si="2"/>
        <v>1</v>
      </c>
    </row>
    <row r="12" spans="1:6" x14ac:dyDescent="0.25">
      <c r="A12" s="6">
        <v>9</v>
      </c>
      <c r="B12" s="4" t="s">
        <v>36</v>
      </c>
      <c r="C12" s="6">
        <v>304</v>
      </c>
      <c r="D12" s="11" t="str">
        <f t="shared" si="0"/>
        <v>0304</v>
      </c>
      <c r="E12" t="str">
        <f t="shared" si="1"/>
        <v>EP0304</v>
      </c>
      <c r="F12">
        <f t="shared" si="2"/>
        <v>1</v>
      </c>
    </row>
    <row r="13" spans="1:6" x14ac:dyDescent="0.25">
      <c r="A13" s="6">
        <v>10</v>
      </c>
      <c r="B13" s="4" t="s">
        <v>44</v>
      </c>
      <c r="C13" s="6">
        <v>676</v>
      </c>
      <c r="D13" s="11" t="str">
        <f t="shared" si="0"/>
        <v>0676</v>
      </c>
      <c r="E13" t="str">
        <f t="shared" si="1"/>
        <v>EP0676</v>
      </c>
      <c r="F13">
        <f t="shared" si="2"/>
        <v>1</v>
      </c>
    </row>
    <row r="15" spans="1:6" x14ac:dyDescent="0.25">
      <c r="B15" s="15" t="s">
        <v>54</v>
      </c>
    </row>
    <row r="16" spans="1:6" x14ac:dyDescent="0.25">
      <c r="A16" s="16">
        <v>1</v>
      </c>
      <c r="B16" t="s">
        <v>84</v>
      </c>
      <c r="C16" s="3" t="s">
        <v>85</v>
      </c>
      <c r="D16" s="11" t="s">
        <v>57</v>
      </c>
    </row>
    <row r="17" spans="1:4" x14ac:dyDescent="0.25">
      <c r="A17" s="16">
        <v>2</v>
      </c>
      <c r="B17" t="s">
        <v>90</v>
      </c>
      <c r="C17" s="3" t="s">
        <v>36</v>
      </c>
      <c r="D17" s="11" t="s">
        <v>57</v>
      </c>
    </row>
    <row r="18" spans="1:4" x14ac:dyDescent="0.25">
      <c r="A18" s="16">
        <v>3</v>
      </c>
      <c r="B18" t="s">
        <v>93</v>
      </c>
      <c r="C18" s="3" t="s">
        <v>44</v>
      </c>
      <c r="D18" s="11" t="s">
        <v>57</v>
      </c>
    </row>
    <row r="19" spans="1:4" x14ac:dyDescent="0.25">
      <c r="A19" s="16">
        <v>4</v>
      </c>
      <c r="B19" t="s">
        <v>111</v>
      </c>
      <c r="C19" s="3" t="s">
        <v>45</v>
      </c>
      <c r="D19" s="11" t="s">
        <v>57</v>
      </c>
    </row>
    <row r="20" spans="1:4" x14ac:dyDescent="0.25">
      <c r="A20" s="16">
        <v>5</v>
      </c>
      <c r="B20" t="s">
        <v>95</v>
      </c>
      <c r="C20" s="3" t="s">
        <v>26</v>
      </c>
      <c r="D20" s="11" t="s">
        <v>57</v>
      </c>
    </row>
    <row r="21" spans="1:4" x14ac:dyDescent="0.25">
      <c r="A21" s="16">
        <v>6</v>
      </c>
      <c r="B21" t="s">
        <v>99</v>
      </c>
      <c r="C21" s="3" t="s">
        <v>31</v>
      </c>
      <c r="D21" s="11" t="s">
        <v>74</v>
      </c>
    </row>
    <row r="22" spans="1:4" x14ac:dyDescent="0.25">
      <c r="A22" s="16">
        <v>7</v>
      </c>
      <c r="B22" t="s">
        <v>100</v>
      </c>
      <c r="C22" s="3" t="s">
        <v>28</v>
      </c>
      <c r="D22" s="11" t="s">
        <v>57</v>
      </c>
    </row>
    <row r="23" spans="1:4" x14ac:dyDescent="0.25">
      <c r="A23" s="16">
        <v>8</v>
      </c>
      <c r="B23" t="s">
        <v>101</v>
      </c>
      <c r="C23" s="3" t="s">
        <v>27</v>
      </c>
      <c r="D23" s="11" t="s">
        <v>57</v>
      </c>
    </row>
    <row r="24" spans="1:4" x14ac:dyDescent="0.25">
      <c r="A24" s="16">
        <v>9</v>
      </c>
      <c r="B24" t="s">
        <v>112</v>
      </c>
      <c r="C24" s="3" t="s">
        <v>113</v>
      </c>
      <c r="D24" s="11" t="s">
        <v>57</v>
      </c>
    </row>
    <row r="25" spans="1:4" x14ac:dyDescent="0.25">
      <c r="A25" s="16">
        <v>10</v>
      </c>
      <c r="B25" t="s">
        <v>114</v>
      </c>
      <c r="C25" s="18" t="s">
        <v>29</v>
      </c>
      <c r="D25" s="1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52"/>
  <sheetViews>
    <sheetView workbookViewId="0">
      <pane ySplit="3" topLeftCell="A4" activePane="bottomLeft" state="frozen"/>
      <selection pane="bottomLeft" activeCell="B23" sqref="B23"/>
    </sheetView>
  </sheetViews>
  <sheetFormatPr defaultColWidth="8.7109375" defaultRowHeight="15" x14ac:dyDescent="0.25"/>
  <cols>
    <col min="1" max="1" width="8.7109375" style="2"/>
    <col min="2" max="2" width="27.42578125" style="2" customWidth="1"/>
    <col min="3" max="3" width="24.5703125" style="3" bestFit="1" customWidth="1"/>
    <col min="4" max="16384" width="8.7109375" style="2"/>
  </cols>
  <sheetData>
    <row r="3" spans="1:5" ht="20.100000000000001" customHeight="1" x14ac:dyDescent="0.25">
      <c r="A3" s="8" t="s">
        <v>24</v>
      </c>
      <c r="B3" s="8" t="s">
        <v>1</v>
      </c>
      <c r="C3" s="8" t="s">
        <v>2</v>
      </c>
    </row>
    <row r="4" spans="1:5" x14ac:dyDescent="0.25">
      <c r="A4" s="6">
        <v>1</v>
      </c>
      <c r="B4" s="5" t="s">
        <v>26</v>
      </c>
      <c r="C4" s="6">
        <v>1662</v>
      </c>
      <c r="D4" s="2" t="str">
        <f>_xlfn.CONCAT("EP",TEXT(C4,"0000"))</f>
        <v>EP1662</v>
      </c>
      <c r="E4" s="2">
        <f>COUNTIF($B$31:$B$52,D4)</f>
        <v>1</v>
      </c>
    </row>
    <row r="5" spans="1:5" x14ac:dyDescent="0.25">
      <c r="A5" s="6">
        <v>2</v>
      </c>
      <c r="B5" s="5" t="s">
        <v>27</v>
      </c>
      <c r="C5" s="6">
        <v>2216</v>
      </c>
      <c r="D5" s="2" t="str">
        <f t="shared" ref="D5:D27" si="0">_xlfn.CONCAT("EP",TEXT(C5,"0000"))</f>
        <v>EP2216</v>
      </c>
      <c r="E5" s="2">
        <f t="shared" ref="E5:E27" si="1">COUNTIF($B$31:$B$52,D5)</f>
        <v>1</v>
      </c>
    </row>
    <row r="6" spans="1:5" x14ac:dyDescent="0.25">
      <c r="A6" s="6">
        <v>3</v>
      </c>
      <c r="B6" s="5" t="s">
        <v>28</v>
      </c>
      <c r="C6" s="6">
        <v>2175</v>
      </c>
      <c r="D6" s="2" t="str">
        <f t="shared" si="0"/>
        <v>EP2175</v>
      </c>
      <c r="E6" s="2">
        <f t="shared" si="1"/>
        <v>1</v>
      </c>
    </row>
    <row r="7" spans="1:5" s="25" customFormat="1" x14ac:dyDescent="0.25">
      <c r="A7" s="17">
        <v>4</v>
      </c>
      <c r="B7" s="24" t="s">
        <v>29</v>
      </c>
      <c r="C7" s="17">
        <v>141</v>
      </c>
      <c r="D7" s="25" t="str">
        <f t="shared" si="0"/>
        <v>EP0141</v>
      </c>
      <c r="E7" s="25">
        <f t="shared" si="1"/>
        <v>1</v>
      </c>
    </row>
    <row r="8" spans="1:5" x14ac:dyDescent="0.25">
      <c r="A8" s="6">
        <v>5</v>
      </c>
      <c r="B8" s="5" t="s">
        <v>31</v>
      </c>
      <c r="C8" s="6">
        <v>2039</v>
      </c>
      <c r="D8" s="2" t="str">
        <f t="shared" si="0"/>
        <v>EP2039</v>
      </c>
      <c r="E8" s="2">
        <f t="shared" si="1"/>
        <v>1</v>
      </c>
    </row>
    <row r="9" spans="1:5" x14ac:dyDescent="0.25">
      <c r="A9" s="6">
        <v>6</v>
      </c>
      <c r="B9" s="5" t="s">
        <v>30</v>
      </c>
      <c r="C9" s="6">
        <v>2906</v>
      </c>
      <c r="D9" s="2" t="str">
        <f t="shared" si="0"/>
        <v>EP2906</v>
      </c>
      <c r="E9" s="2">
        <f t="shared" si="1"/>
        <v>1</v>
      </c>
    </row>
    <row r="10" spans="1:5" x14ac:dyDescent="0.25">
      <c r="A10" s="6">
        <v>7</v>
      </c>
      <c r="B10" s="5" t="s">
        <v>48</v>
      </c>
      <c r="C10" s="6">
        <v>1853</v>
      </c>
      <c r="D10" s="2" t="str">
        <f t="shared" si="0"/>
        <v>EP1853</v>
      </c>
      <c r="E10" s="2">
        <f t="shared" si="1"/>
        <v>1</v>
      </c>
    </row>
    <row r="11" spans="1:5" x14ac:dyDescent="0.25">
      <c r="A11" s="6">
        <v>8</v>
      </c>
      <c r="B11" s="5" t="s">
        <v>35</v>
      </c>
      <c r="C11" s="6">
        <v>1721</v>
      </c>
      <c r="D11" s="2" t="str">
        <f t="shared" si="0"/>
        <v>EP1721</v>
      </c>
      <c r="E11" s="2">
        <f t="shared" si="1"/>
        <v>1</v>
      </c>
    </row>
    <row r="12" spans="1:5" x14ac:dyDescent="0.25">
      <c r="A12" s="6">
        <v>9</v>
      </c>
      <c r="B12" s="5" t="s">
        <v>38</v>
      </c>
      <c r="C12" s="6">
        <v>178</v>
      </c>
      <c r="D12" s="2" t="str">
        <f t="shared" si="0"/>
        <v>EP0178</v>
      </c>
      <c r="E12" s="2">
        <f t="shared" si="1"/>
        <v>1</v>
      </c>
    </row>
    <row r="13" spans="1:5" x14ac:dyDescent="0.25">
      <c r="A13" s="6">
        <v>10</v>
      </c>
      <c r="B13" s="5" t="s">
        <v>47</v>
      </c>
      <c r="C13" s="6">
        <v>207</v>
      </c>
      <c r="D13" s="2" t="str">
        <f t="shared" si="0"/>
        <v>EP0207</v>
      </c>
      <c r="E13" s="2">
        <f t="shared" si="1"/>
        <v>1</v>
      </c>
    </row>
    <row r="14" spans="1:5" x14ac:dyDescent="0.25">
      <c r="A14" s="6">
        <v>11</v>
      </c>
      <c r="B14" s="5" t="s">
        <v>33</v>
      </c>
      <c r="C14" s="6">
        <v>1581</v>
      </c>
      <c r="D14" s="2" t="str">
        <f t="shared" si="0"/>
        <v>EP1581</v>
      </c>
      <c r="E14" s="2">
        <f t="shared" si="1"/>
        <v>1</v>
      </c>
    </row>
    <row r="15" spans="1:5" x14ac:dyDescent="0.25">
      <c r="A15" s="6">
        <v>12</v>
      </c>
      <c r="B15" s="5" t="s">
        <v>37</v>
      </c>
      <c r="C15" s="6">
        <v>2825</v>
      </c>
      <c r="D15" s="2" t="str">
        <f t="shared" si="0"/>
        <v>EP2825</v>
      </c>
      <c r="E15" s="2">
        <f t="shared" si="1"/>
        <v>1</v>
      </c>
    </row>
    <row r="16" spans="1:5" x14ac:dyDescent="0.25">
      <c r="A16" s="6">
        <v>13</v>
      </c>
      <c r="B16" s="5" t="s">
        <v>32</v>
      </c>
      <c r="C16" s="6">
        <v>142</v>
      </c>
      <c r="D16" s="2" t="str">
        <f t="shared" si="0"/>
        <v>EP0142</v>
      </c>
      <c r="E16" s="2">
        <f t="shared" si="1"/>
        <v>1</v>
      </c>
    </row>
    <row r="17" spans="1:5" x14ac:dyDescent="0.25">
      <c r="A17" s="6">
        <v>14</v>
      </c>
      <c r="B17" s="5" t="s">
        <v>36</v>
      </c>
      <c r="C17" s="6">
        <v>304</v>
      </c>
      <c r="D17" s="2" t="str">
        <f t="shared" si="0"/>
        <v>EP0304</v>
      </c>
      <c r="E17" s="2">
        <f t="shared" si="1"/>
        <v>1</v>
      </c>
    </row>
    <row r="18" spans="1:5" x14ac:dyDescent="0.25">
      <c r="A18" s="6">
        <v>15</v>
      </c>
      <c r="B18" s="5" t="s">
        <v>34</v>
      </c>
      <c r="C18" s="6">
        <v>8030</v>
      </c>
      <c r="D18" s="2" t="str">
        <f t="shared" si="0"/>
        <v>EP8030</v>
      </c>
      <c r="E18" s="2">
        <f t="shared" si="1"/>
        <v>1</v>
      </c>
    </row>
    <row r="19" spans="1:5" x14ac:dyDescent="0.25">
      <c r="A19" s="6">
        <v>16</v>
      </c>
      <c r="B19" s="5" t="s">
        <v>41</v>
      </c>
      <c r="C19" s="6">
        <v>2771</v>
      </c>
      <c r="D19" s="2" t="str">
        <f t="shared" si="0"/>
        <v>EP2771</v>
      </c>
      <c r="E19" s="2">
        <f t="shared" si="1"/>
        <v>1</v>
      </c>
    </row>
    <row r="20" spans="1:5" x14ac:dyDescent="0.25">
      <c r="A20" s="6">
        <v>17</v>
      </c>
      <c r="B20" s="5" t="s">
        <v>40</v>
      </c>
      <c r="C20" s="6">
        <v>8025</v>
      </c>
      <c r="D20" s="2" t="str">
        <f t="shared" si="0"/>
        <v>EP8025</v>
      </c>
      <c r="E20" s="2">
        <f t="shared" si="1"/>
        <v>1</v>
      </c>
    </row>
    <row r="21" spans="1:5" x14ac:dyDescent="0.25">
      <c r="A21" s="6">
        <v>18</v>
      </c>
      <c r="B21" s="5" t="s">
        <v>39</v>
      </c>
      <c r="C21" s="6">
        <v>8027</v>
      </c>
      <c r="D21" s="2" t="str">
        <f t="shared" si="0"/>
        <v>EP8027</v>
      </c>
      <c r="E21" s="2">
        <f t="shared" si="1"/>
        <v>1</v>
      </c>
    </row>
    <row r="22" spans="1:5" x14ac:dyDescent="0.25">
      <c r="A22" s="6">
        <v>19</v>
      </c>
      <c r="B22" s="5" t="s">
        <v>43</v>
      </c>
      <c r="C22" s="6">
        <v>2345</v>
      </c>
      <c r="D22" s="2" t="str">
        <f t="shared" si="0"/>
        <v>EP2345</v>
      </c>
      <c r="E22" s="2">
        <f t="shared" si="1"/>
        <v>1</v>
      </c>
    </row>
    <row r="23" spans="1:5" s="23" customFormat="1" x14ac:dyDescent="0.25">
      <c r="A23" s="21">
        <v>20</v>
      </c>
      <c r="B23" s="22" t="s">
        <v>42</v>
      </c>
      <c r="C23" s="21">
        <v>5684</v>
      </c>
      <c r="D23" s="23" t="str">
        <f t="shared" si="0"/>
        <v>EP5684</v>
      </c>
      <c r="E23" s="2">
        <f t="shared" si="1"/>
        <v>0</v>
      </c>
    </row>
    <row r="24" spans="1:5" x14ac:dyDescent="0.25">
      <c r="A24" s="6">
        <v>21</v>
      </c>
      <c r="B24" s="5" t="s">
        <v>44</v>
      </c>
      <c r="C24" s="6">
        <v>676</v>
      </c>
      <c r="D24" s="2" t="str">
        <f t="shared" si="0"/>
        <v>EP0676</v>
      </c>
      <c r="E24" s="2">
        <f t="shared" si="1"/>
        <v>1</v>
      </c>
    </row>
    <row r="25" spans="1:5" x14ac:dyDescent="0.25">
      <c r="A25" s="6">
        <v>22</v>
      </c>
      <c r="B25" s="7" t="s">
        <v>8</v>
      </c>
      <c r="C25" s="6">
        <v>144</v>
      </c>
      <c r="D25" s="2" t="str">
        <f t="shared" si="0"/>
        <v>EP0144</v>
      </c>
      <c r="E25" s="2">
        <f t="shared" si="1"/>
        <v>1</v>
      </c>
    </row>
    <row r="26" spans="1:5" x14ac:dyDescent="0.25">
      <c r="A26" s="6">
        <v>23</v>
      </c>
      <c r="B26" s="5" t="s">
        <v>49</v>
      </c>
      <c r="C26" s="6">
        <v>314</v>
      </c>
      <c r="D26" s="2" t="str">
        <f t="shared" si="0"/>
        <v>EP0314</v>
      </c>
      <c r="E26" s="2">
        <f t="shared" si="1"/>
        <v>1</v>
      </c>
    </row>
    <row r="27" spans="1:5" s="23" customFormat="1" x14ac:dyDescent="0.25">
      <c r="A27" s="21">
        <v>24</v>
      </c>
      <c r="B27" s="22" t="s">
        <v>50</v>
      </c>
      <c r="C27" s="21">
        <v>6061</v>
      </c>
      <c r="D27" s="23" t="str">
        <f t="shared" si="0"/>
        <v>EP6061</v>
      </c>
      <c r="E27" s="2">
        <f t="shared" si="1"/>
        <v>0</v>
      </c>
    </row>
    <row r="30" spans="1:5" x14ac:dyDescent="0.25">
      <c r="B30" s="14" t="s">
        <v>54</v>
      </c>
    </row>
    <row r="31" spans="1:5" x14ac:dyDescent="0.25">
      <c r="A31" s="2">
        <v>1</v>
      </c>
      <c r="B31" s="2" t="s">
        <v>84</v>
      </c>
      <c r="C31" s="3" t="s">
        <v>85</v>
      </c>
      <c r="D31" s="2" t="s">
        <v>57</v>
      </c>
    </row>
    <row r="32" spans="1:5" x14ac:dyDescent="0.25">
      <c r="A32" s="2">
        <v>2</v>
      </c>
      <c r="B32" s="2" t="s">
        <v>86</v>
      </c>
      <c r="C32" s="3" t="s">
        <v>87</v>
      </c>
      <c r="D32" s="2" t="s">
        <v>57</v>
      </c>
    </row>
    <row r="33" spans="1:4" x14ac:dyDescent="0.25">
      <c r="A33" s="2">
        <v>3</v>
      </c>
      <c r="B33" s="2" t="s">
        <v>88</v>
      </c>
      <c r="C33" s="3" t="s">
        <v>38</v>
      </c>
      <c r="D33" s="2" t="s">
        <v>57</v>
      </c>
    </row>
    <row r="34" spans="1:4" x14ac:dyDescent="0.25">
      <c r="A34" s="2">
        <v>4</v>
      </c>
      <c r="B34" s="2" t="s">
        <v>89</v>
      </c>
      <c r="C34" s="3" t="s">
        <v>47</v>
      </c>
      <c r="D34" s="2" t="s">
        <v>57</v>
      </c>
    </row>
    <row r="35" spans="1:4" x14ac:dyDescent="0.25">
      <c r="A35" s="2">
        <v>5</v>
      </c>
      <c r="B35" s="2" t="s">
        <v>90</v>
      </c>
      <c r="C35" s="3" t="s">
        <v>36</v>
      </c>
      <c r="D35" s="2" t="s">
        <v>57</v>
      </c>
    </row>
    <row r="36" spans="1:4" x14ac:dyDescent="0.25">
      <c r="A36" s="2">
        <v>6</v>
      </c>
      <c r="B36" s="2" t="s">
        <v>91</v>
      </c>
      <c r="C36" s="3" t="s">
        <v>92</v>
      </c>
      <c r="D36" s="2" t="s">
        <v>57</v>
      </c>
    </row>
    <row r="37" spans="1:4" x14ac:dyDescent="0.25">
      <c r="A37" s="2">
        <v>7</v>
      </c>
      <c r="B37" s="2" t="s">
        <v>93</v>
      </c>
      <c r="C37" s="3" t="s">
        <v>44</v>
      </c>
      <c r="D37" s="2" t="s">
        <v>57</v>
      </c>
    </row>
    <row r="38" spans="1:4" x14ac:dyDescent="0.25">
      <c r="A38" s="2">
        <v>8</v>
      </c>
      <c r="B38" s="2" t="s">
        <v>94</v>
      </c>
      <c r="C38" s="3" t="s">
        <v>33</v>
      </c>
      <c r="D38" s="2" t="s">
        <v>57</v>
      </c>
    </row>
    <row r="39" spans="1:4" x14ac:dyDescent="0.25">
      <c r="A39" s="2">
        <v>9</v>
      </c>
      <c r="B39" s="2" t="s">
        <v>95</v>
      </c>
      <c r="C39" s="3" t="s">
        <v>26</v>
      </c>
      <c r="D39" s="2" t="s">
        <v>57</v>
      </c>
    </row>
    <row r="40" spans="1:4" x14ac:dyDescent="0.25">
      <c r="A40" s="2">
        <v>10</v>
      </c>
      <c r="B40" s="2" t="s">
        <v>96</v>
      </c>
      <c r="C40" s="3" t="s">
        <v>35</v>
      </c>
      <c r="D40" s="2" t="s">
        <v>57</v>
      </c>
    </row>
    <row r="41" spans="1:4" x14ac:dyDescent="0.25">
      <c r="A41" s="2">
        <v>11</v>
      </c>
      <c r="B41" s="2" t="s">
        <v>97</v>
      </c>
      <c r="C41" s="3" t="s">
        <v>98</v>
      </c>
      <c r="D41" s="2" t="s">
        <v>57</v>
      </c>
    </row>
    <row r="42" spans="1:4" x14ac:dyDescent="0.25">
      <c r="A42" s="2">
        <v>12</v>
      </c>
      <c r="B42" s="2" t="s">
        <v>99</v>
      </c>
      <c r="C42" s="3" t="s">
        <v>31</v>
      </c>
      <c r="D42" s="2" t="s">
        <v>74</v>
      </c>
    </row>
    <row r="43" spans="1:4" x14ac:dyDescent="0.25">
      <c r="A43" s="2">
        <v>13</v>
      </c>
      <c r="B43" s="2" t="s">
        <v>100</v>
      </c>
      <c r="C43" s="3" t="s">
        <v>28</v>
      </c>
      <c r="D43" s="2" t="s">
        <v>57</v>
      </c>
    </row>
    <row r="44" spans="1:4" x14ac:dyDescent="0.25">
      <c r="A44" s="2">
        <v>14</v>
      </c>
      <c r="B44" s="2" t="s">
        <v>101</v>
      </c>
      <c r="C44" s="3" t="s">
        <v>27</v>
      </c>
      <c r="D44" s="2" t="s">
        <v>57</v>
      </c>
    </row>
    <row r="45" spans="1:4" x14ac:dyDescent="0.25">
      <c r="A45" s="2">
        <v>15</v>
      </c>
      <c r="B45" s="2" t="s">
        <v>102</v>
      </c>
      <c r="C45" s="3" t="s">
        <v>43</v>
      </c>
      <c r="D45" s="2" t="s">
        <v>57</v>
      </c>
    </row>
    <row r="46" spans="1:4" x14ac:dyDescent="0.25">
      <c r="A46" s="2">
        <v>16</v>
      </c>
      <c r="B46" s="2" t="s">
        <v>103</v>
      </c>
      <c r="C46" s="3" t="s">
        <v>41</v>
      </c>
      <c r="D46" s="2" t="s">
        <v>57</v>
      </c>
    </row>
    <row r="47" spans="1:4" x14ac:dyDescent="0.25">
      <c r="A47" s="2">
        <v>17</v>
      </c>
      <c r="B47" s="2" t="s">
        <v>104</v>
      </c>
      <c r="C47" s="3" t="s">
        <v>37</v>
      </c>
      <c r="D47" s="2" t="s">
        <v>57</v>
      </c>
    </row>
    <row r="48" spans="1:4" x14ac:dyDescent="0.25">
      <c r="A48" s="2">
        <v>18</v>
      </c>
      <c r="B48" s="2" t="s">
        <v>105</v>
      </c>
      <c r="C48" s="3" t="s">
        <v>30</v>
      </c>
      <c r="D48" s="2" t="s">
        <v>57</v>
      </c>
    </row>
    <row r="49" spans="1:4" x14ac:dyDescent="0.25">
      <c r="A49" s="2">
        <v>19</v>
      </c>
      <c r="B49" s="2" t="s">
        <v>106</v>
      </c>
      <c r="C49" s="3" t="s">
        <v>107</v>
      </c>
      <c r="D49" s="2" t="s">
        <v>74</v>
      </c>
    </row>
    <row r="50" spans="1:4" x14ac:dyDescent="0.25">
      <c r="A50" s="2">
        <v>20</v>
      </c>
      <c r="B50" s="2" t="s">
        <v>108</v>
      </c>
      <c r="C50" s="3" t="s">
        <v>109</v>
      </c>
      <c r="D50" s="2" t="s">
        <v>74</v>
      </c>
    </row>
    <row r="51" spans="1:4" x14ac:dyDescent="0.25">
      <c r="A51" s="2">
        <v>21</v>
      </c>
      <c r="B51" s="2" t="s">
        <v>110</v>
      </c>
      <c r="C51" s="3" t="s">
        <v>34</v>
      </c>
      <c r="D51" s="2" t="s">
        <v>57</v>
      </c>
    </row>
    <row r="52" spans="1:4" x14ac:dyDescent="0.25">
      <c r="A52" s="2">
        <v>22</v>
      </c>
      <c r="B52" t="s">
        <v>114</v>
      </c>
      <c r="C52" s="18" t="s">
        <v>29</v>
      </c>
      <c r="D52" s="1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L180"/>
  <sheetViews>
    <sheetView workbookViewId="0">
      <pane ySplit="3" topLeftCell="A4" activePane="bottomLeft" state="frozen"/>
      <selection pane="bottomLeft" activeCell="C4" sqref="C4:C26"/>
    </sheetView>
  </sheetViews>
  <sheetFormatPr defaultRowHeight="15" x14ac:dyDescent="0.25"/>
  <cols>
    <col min="2" max="2" width="11.140625" style="3" hidden="1" customWidth="1"/>
    <col min="3" max="3" width="31" customWidth="1"/>
    <col min="4" max="4" width="22.28515625" bestFit="1" customWidth="1"/>
    <col min="5" max="5" width="12.28515625" customWidth="1"/>
    <col min="11" max="11" width="9.140625" style="26"/>
  </cols>
  <sheetData>
    <row r="3" spans="1:12" ht="24" customHeight="1" x14ac:dyDescent="0.25">
      <c r="A3" s="8" t="s">
        <v>24</v>
      </c>
      <c r="B3" s="8" t="s">
        <v>0</v>
      </c>
      <c r="C3" s="8" t="s">
        <v>1</v>
      </c>
      <c r="D3" s="8" t="s">
        <v>2</v>
      </c>
    </row>
    <row r="4" spans="1:12" x14ac:dyDescent="0.25">
      <c r="A4" s="1">
        <v>1</v>
      </c>
      <c r="B4" s="1" t="s">
        <v>3</v>
      </c>
      <c r="C4" s="10" t="s">
        <v>4</v>
      </c>
      <c r="D4" s="1">
        <v>1418</v>
      </c>
      <c r="E4" t="str">
        <f>_xlfn.CONCAT("EP",TEXT(D4,"0000"))</f>
        <v>EP1418</v>
      </c>
      <c r="F4" t="e">
        <f>VLOOKUP(D4,$K$6:$L$179,2,FALSE)</f>
        <v>#N/A</v>
      </c>
    </row>
    <row r="5" spans="1:12" x14ac:dyDescent="0.25">
      <c r="A5" s="1">
        <v>2</v>
      </c>
      <c r="B5" s="1" t="s">
        <v>3</v>
      </c>
      <c r="C5" s="10" t="s">
        <v>5</v>
      </c>
      <c r="D5" s="1">
        <v>2701</v>
      </c>
      <c r="E5" t="str">
        <f t="shared" ref="E5:E26" si="0">_xlfn.CONCAT("EP",TEXT(D5,"0000"))</f>
        <v>EP2701</v>
      </c>
      <c r="F5" t="e">
        <f t="shared" ref="F5:F26" si="1">VLOOKUP(D5,$K$6:$L$179,2,FALSE)</f>
        <v>#N/A</v>
      </c>
    </row>
    <row r="6" spans="1:12" x14ac:dyDescent="0.25">
      <c r="A6" s="1">
        <v>3</v>
      </c>
      <c r="B6" s="1" t="s">
        <v>3</v>
      </c>
      <c r="C6" s="10" t="s">
        <v>6</v>
      </c>
      <c r="D6" s="1">
        <v>2330</v>
      </c>
      <c r="E6" t="str">
        <f t="shared" si="0"/>
        <v>EP2330</v>
      </c>
      <c r="F6" t="e">
        <f t="shared" si="1"/>
        <v>#N/A</v>
      </c>
      <c r="K6" s="26" t="s">
        <v>115</v>
      </c>
      <c r="L6">
        <v>1</v>
      </c>
    </row>
    <row r="7" spans="1:12" x14ac:dyDescent="0.25">
      <c r="A7" s="1">
        <v>4</v>
      </c>
      <c r="B7" s="1" t="s">
        <v>3</v>
      </c>
      <c r="C7" s="10" t="s">
        <v>7</v>
      </c>
      <c r="D7" s="1">
        <v>2913</v>
      </c>
      <c r="E7" t="str">
        <f t="shared" si="0"/>
        <v>EP2913</v>
      </c>
      <c r="F7" t="e">
        <f t="shared" si="1"/>
        <v>#N/A</v>
      </c>
      <c r="K7" s="26" t="s">
        <v>148</v>
      </c>
      <c r="L7">
        <v>2</v>
      </c>
    </row>
    <row r="8" spans="1:12" x14ac:dyDescent="0.25">
      <c r="A8" s="1">
        <v>5</v>
      </c>
      <c r="B8" s="1" t="s">
        <v>3</v>
      </c>
      <c r="C8" s="10" t="s">
        <v>8</v>
      </c>
      <c r="D8" s="1">
        <v>2914</v>
      </c>
      <c r="E8" t="str">
        <f t="shared" si="0"/>
        <v>EP2914</v>
      </c>
      <c r="F8" t="e">
        <f t="shared" si="1"/>
        <v>#N/A</v>
      </c>
      <c r="K8" s="26" t="s">
        <v>149</v>
      </c>
      <c r="L8">
        <v>3</v>
      </c>
    </row>
    <row r="9" spans="1:12" x14ac:dyDescent="0.25">
      <c r="A9" s="1">
        <v>6</v>
      </c>
      <c r="B9" s="1" t="s">
        <v>3</v>
      </c>
      <c r="C9" s="10" t="s">
        <v>9</v>
      </c>
      <c r="D9" s="1">
        <v>2927</v>
      </c>
      <c r="E9" t="str">
        <f t="shared" si="0"/>
        <v>EP2927</v>
      </c>
      <c r="F9" t="e">
        <f t="shared" si="1"/>
        <v>#N/A</v>
      </c>
      <c r="K9" s="26" t="s">
        <v>150</v>
      </c>
      <c r="L9">
        <v>4</v>
      </c>
    </row>
    <row r="10" spans="1:12" x14ac:dyDescent="0.25">
      <c r="A10" s="1">
        <v>7</v>
      </c>
      <c r="B10" s="1" t="s">
        <v>3</v>
      </c>
      <c r="C10" s="10" t="s">
        <v>10</v>
      </c>
      <c r="D10" s="1">
        <v>2699</v>
      </c>
      <c r="E10" t="str">
        <f t="shared" si="0"/>
        <v>EP2699</v>
      </c>
      <c r="F10" t="e">
        <f t="shared" si="1"/>
        <v>#N/A</v>
      </c>
      <c r="K10" s="26" t="s">
        <v>151</v>
      </c>
      <c r="L10">
        <v>5</v>
      </c>
    </row>
    <row r="11" spans="1:12" x14ac:dyDescent="0.25">
      <c r="A11" s="1">
        <v>8</v>
      </c>
      <c r="B11" s="1" t="s">
        <v>3</v>
      </c>
      <c r="C11" s="10" t="s">
        <v>11</v>
      </c>
      <c r="D11" s="1">
        <v>3002</v>
      </c>
      <c r="E11" t="str">
        <f t="shared" si="0"/>
        <v>EP3002</v>
      </c>
      <c r="F11" t="e">
        <f t="shared" si="1"/>
        <v>#N/A</v>
      </c>
      <c r="K11" s="26" t="s">
        <v>152</v>
      </c>
      <c r="L11">
        <v>6</v>
      </c>
    </row>
    <row r="12" spans="1:12" x14ac:dyDescent="0.25">
      <c r="A12" s="1">
        <v>9</v>
      </c>
      <c r="B12" s="1" t="s">
        <v>3</v>
      </c>
      <c r="C12" s="10" t="s">
        <v>12</v>
      </c>
      <c r="D12" s="1">
        <v>3004</v>
      </c>
      <c r="E12" t="str">
        <f t="shared" si="0"/>
        <v>EP3004</v>
      </c>
      <c r="F12" t="e">
        <f t="shared" si="1"/>
        <v>#N/A</v>
      </c>
      <c r="K12" s="26" t="s">
        <v>153</v>
      </c>
      <c r="L12">
        <v>7</v>
      </c>
    </row>
    <row r="13" spans="1:12" x14ac:dyDescent="0.25">
      <c r="A13" s="1">
        <v>10</v>
      </c>
      <c r="B13" s="1" t="s">
        <v>3</v>
      </c>
      <c r="C13" s="10" t="s">
        <v>13</v>
      </c>
      <c r="D13" s="1">
        <v>3006</v>
      </c>
      <c r="E13" t="str">
        <f t="shared" si="0"/>
        <v>EP3006</v>
      </c>
      <c r="F13" t="e">
        <f t="shared" si="1"/>
        <v>#N/A</v>
      </c>
      <c r="K13" s="26" t="s">
        <v>154</v>
      </c>
      <c r="L13">
        <v>8</v>
      </c>
    </row>
    <row r="14" spans="1:12" x14ac:dyDescent="0.25">
      <c r="A14" s="1">
        <v>11</v>
      </c>
      <c r="B14" s="1" t="s">
        <v>3</v>
      </c>
      <c r="C14" s="10" t="s">
        <v>14</v>
      </c>
      <c r="D14" s="1">
        <v>3003</v>
      </c>
      <c r="E14" t="str">
        <f t="shared" si="0"/>
        <v>EP3003</v>
      </c>
      <c r="F14" t="e">
        <f t="shared" si="1"/>
        <v>#N/A</v>
      </c>
      <c r="K14" s="26" t="s">
        <v>155</v>
      </c>
      <c r="L14">
        <v>9</v>
      </c>
    </row>
    <row r="15" spans="1:12" x14ac:dyDescent="0.25">
      <c r="A15" s="1">
        <v>12</v>
      </c>
      <c r="B15" s="1" t="s">
        <v>3</v>
      </c>
      <c r="C15" s="10" t="s">
        <v>15</v>
      </c>
      <c r="D15" s="1">
        <v>5690</v>
      </c>
      <c r="E15" t="str">
        <f t="shared" si="0"/>
        <v>EP5690</v>
      </c>
      <c r="F15" t="e">
        <f t="shared" si="1"/>
        <v>#N/A</v>
      </c>
      <c r="K15" s="26" t="s">
        <v>156</v>
      </c>
      <c r="L15">
        <v>10</v>
      </c>
    </row>
    <row r="16" spans="1:12" x14ac:dyDescent="0.25">
      <c r="A16" s="1">
        <v>13</v>
      </c>
      <c r="B16" s="1" t="s">
        <v>3</v>
      </c>
      <c r="C16" s="10" t="s">
        <v>16</v>
      </c>
      <c r="D16" s="1">
        <v>5691</v>
      </c>
      <c r="E16" t="str">
        <f t="shared" si="0"/>
        <v>EP5691</v>
      </c>
      <c r="F16" t="e">
        <f t="shared" si="1"/>
        <v>#N/A</v>
      </c>
      <c r="K16" s="26" t="s">
        <v>157</v>
      </c>
      <c r="L16">
        <v>11</v>
      </c>
    </row>
    <row r="17" spans="1:12" x14ac:dyDescent="0.25">
      <c r="A17" s="1">
        <v>14</v>
      </c>
      <c r="B17" s="1" t="s">
        <v>3</v>
      </c>
      <c r="C17" s="10" t="s">
        <v>17</v>
      </c>
      <c r="D17" s="1">
        <v>5692</v>
      </c>
      <c r="E17" t="str">
        <f t="shared" si="0"/>
        <v>EP5692</v>
      </c>
      <c r="F17" t="e">
        <f t="shared" si="1"/>
        <v>#N/A</v>
      </c>
      <c r="K17" s="26" t="s">
        <v>158</v>
      </c>
      <c r="L17">
        <v>12</v>
      </c>
    </row>
    <row r="18" spans="1:12" x14ac:dyDescent="0.25">
      <c r="A18" s="1">
        <v>15</v>
      </c>
      <c r="B18" s="1" t="s">
        <v>3</v>
      </c>
      <c r="C18" s="10" t="s">
        <v>18</v>
      </c>
      <c r="D18" s="1">
        <v>5927</v>
      </c>
      <c r="E18" t="str">
        <f t="shared" si="0"/>
        <v>EP5927</v>
      </c>
      <c r="F18" t="e">
        <f t="shared" si="1"/>
        <v>#N/A</v>
      </c>
      <c r="K18" s="26" t="s">
        <v>159</v>
      </c>
      <c r="L18">
        <v>13</v>
      </c>
    </row>
    <row r="19" spans="1:12" x14ac:dyDescent="0.25">
      <c r="A19" s="1">
        <v>16</v>
      </c>
      <c r="B19" s="1" t="s">
        <v>3</v>
      </c>
      <c r="C19" s="10" t="s">
        <v>19</v>
      </c>
      <c r="D19" s="1">
        <v>5928</v>
      </c>
      <c r="E19" t="str">
        <f t="shared" si="0"/>
        <v>EP5928</v>
      </c>
      <c r="F19" t="e">
        <f t="shared" si="1"/>
        <v>#N/A</v>
      </c>
      <c r="K19" s="26" t="s">
        <v>160</v>
      </c>
      <c r="L19">
        <v>14</v>
      </c>
    </row>
    <row r="20" spans="1:12" x14ac:dyDescent="0.25">
      <c r="A20" s="1">
        <v>17</v>
      </c>
      <c r="B20" s="1" t="s">
        <v>3</v>
      </c>
      <c r="C20" s="10" t="s">
        <v>20</v>
      </c>
      <c r="D20" s="1">
        <v>5929</v>
      </c>
      <c r="E20" t="str">
        <f t="shared" si="0"/>
        <v>EP5929</v>
      </c>
      <c r="F20" t="e">
        <f t="shared" si="1"/>
        <v>#N/A</v>
      </c>
      <c r="K20" s="26" t="s">
        <v>161</v>
      </c>
      <c r="L20">
        <v>15</v>
      </c>
    </row>
    <row r="21" spans="1:12" x14ac:dyDescent="0.25">
      <c r="A21" s="1">
        <v>18</v>
      </c>
      <c r="B21" s="1" t="s">
        <v>21</v>
      </c>
      <c r="C21" s="10" t="s">
        <v>22</v>
      </c>
      <c r="D21" s="1">
        <v>8041</v>
      </c>
      <c r="E21" t="str">
        <f t="shared" si="0"/>
        <v>EP8041</v>
      </c>
      <c r="F21" t="e">
        <f t="shared" si="1"/>
        <v>#N/A</v>
      </c>
      <c r="K21" s="26" t="s">
        <v>162</v>
      </c>
      <c r="L21">
        <v>16</v>
      </c>
    </row>
    <row r="22" spans="1:12" x14ac:dyDescent="0.25">
      <c r="A22" s="1">
        <v>19</v>
      </c>
      <c r="B22" s="1" t="s">
        <v>21</v>
      </c>
      <c r="C22" s="10" t="s">
        <v>23</v>
      </c>
      <c r="D22" s="1">
        <v>1475</v>
      </c>
      <c r="E22" t="str">
        <f t="shared" si="0"/>
        <v>EP1475</v>
      </c>
      <c r="F22" t="e">
        <f t="shared" si="1"/>
        <v>#N/A</v>
      </c>
      <c r="K22" s="26" t="s">
        <v>163</v>
      </c>
      <c r="L22">
        <v>17</v>
      </c>
    </row>
    <row r="23" spans="1:12" x14ac:dyDescent="0.25">
      <c r="A23" s="1">
        <v>20</v>
      </c>
      <c r="B23" s="1" t="s">
        <v>21</v>
      </c>
      <c r="C23" s="10" t="s">
        <v>25</v>
      </c>
      <c r="D23" s="1">
        <v>6076</v>
      </c>
      <c r="E23" t="str">
        <f t="shared" si="0"/>
        <v>EP6076</v>
      </c>
      <c r="F23" t="e">
        <f t="shared" si="1"/>
        <v>#N/A</v>
      </c>
      <c r="K23" s="26" t="s">
        <v>164</v>
      </c>
      <c r="L23">
        <v>18</v>
      </c>
    </row>
    <row r="24" spans="1:12" x14ac:dyDescent="0.25">
      <c r="A24" s="1">
        <v>21</v>
      </c>
      <c r="B24" s="9"/>
      <c r="C24" s="10" t="s">
        <v>51</v>
      </c>
      <c r="D24" s="1">
        <v>6080</v>
      </c>
      <c r="E24" t="str">
        <f t="shared" si="0"/>
        <v>EP6080</v>
      </c>
      <c r="F24" t="e">
        <f t="shared" si="1"/>
        <v>#N/A</v>
      </c>
      <c r="K24" s="26" t="s">
        <v>165</v>
      </c>
      <c r="L24">
        <v>19</v>
      </c>
    </row>
    <row r="25" spans="1:12" x14ac:dyDescent="0.25">
      <c r="A25" s="1">
        <v>22</v>
      </c>
      <c r="B25" s="9"/>
      <c r="C25" s="10" t="s">
        <v>53</v>
      </c>
      <c r="D25" s="1">
        <v>6078</v>
      </c>
      <c r="E25" t="str">
        <f t="shared" si="0"/>
        <v>EP6078</v>
      </c>
      <c r="F25" t="e">
        <f t="shared" si="1"/>
        <v>#N/A</v>
      </c>
      <c r="K25" s="26" t="s">
        <v>166</v>
      </c>
      <c r="L25">
        <v>20</v>
      </c>
    </row>
    <row r="26" spans="1:12" x14ac:dyDescent="0.25">
      <c r="A26" s="1">
        <v>23</v>
      </c>
      <c r="B26" s="9"/>
      <c r="C26" s="10" t="s">
        <v>52</v>
      </c>
      <c r="D26" s="1">
        <v>6079</v>
      </c>
      <c r="E26" t="str">
        <f t="shared" si="0"/>
        <v>EP6079</v>
      </c>
      <c r="F26" t="e">
        <f t="shared" si="1"/>
        <v>#N/A</v>
      </c>
      <c r="K26" s="26" t="s">
        <v>167</v>
      </c>
      <c r="L26">
        <v>21</v>
      </c>
    </row>
    <row r="27" spans="1:12" x14ac:dyDescent="0.25">
      <c r="K27" s="26" t="s">
        <v>168</v>
      </c>
      <c r="L27">
        <v>22</v>
      </c>
    </row>
    <row r="28" spans="1:12" x14ac:dyDescent="0.25">
      <c r="C28" s="12" t="s">
        <v>54</v>
      </c>
      <c r="K28" s="26" t="s">
        <v>169</v>
      </c>
      <c r="L28">
        <v>23</v>
      </c>
    </row>
    <row r="29" spans="1:12" x14ac:dyDescent="0.25">
      <c r="A29" s="13">
        <v>1</v>
      </c>
      <c r="C29" t="s">
        <v>55</v>
      </c>
      <c r="D29" t="s">
        <v>56</v>
      </c>
      <c r="E29" t="s">
        <v>57</v>
      </c>
      <c r="K29" s="26" t="s">
        <v>170</v>
      </c>
      <c r="L29">
        <v>24</v>
      </c>
    </row>
    <row r="30" spans="1:12" x14ac:dyDescent="0.25">
      <c r="A30" s="13">
        <v>2</v>
      </c>
      <c r="C30" t="s">
        <v>58</v>
      </c>
      <c r="D30" t="s">
        <v>59</v>
      </c>
      <c r="E30" t="s">
        <v>57</v>
      </c>
      <c r="K30" s="26" t="s">
        <v>171</v>
      </c>
      <c r="L30">
        <v>25</v>
      </c>
    </row>
    <row r="31" spans="1:12" x14ac:dyDescent="0.25">
      <c r="A31" s="13">
        <v>3</v>
      </c>
      <c r="C31" t="s">
        <v>60</v>
      </c>
      <c r="D31" t="s">
        <v>10</v>
      </c>
      <c r="E31" t="s">
        <v>57</v>
      </c>
      <c r="K31" s="26" t="s">
        <v>172</v>
      </c>
      <c r="L31">
        <v>26</v>
      </c>
    </row>
    <row r="32" spans="1:12" x14ac:dyDescent="0.25">
      <c r="A32" s="13">
        <v>4</v>
      </c>
      <c r="C32" t="s">
        <v>61</v>
      </c>
      <c r="D32" t="s">
        <v>7</v>
      </c>
      <c r="E32" t="s">
        <v>57</v>
      </c>
      <c r="K32" s="26" t="s">
        <v>173</v>
      </c>
      <c r="L32">
        <v>27</v>
      </c>
    </row>
    <row r="33" spans="1:12" x14ac:dyDescent="0.25">
      <c r="A33" s="13">
        <v>5</v>
      </c>
      <c r="C33" t="s">
        <v>62</v>
      </c>
      <c r="D33" t="s">
        <v>8</v>
      </c>
      <c r="E33" t="s">
        <v>57</v>
      </c>
      <c r="K33" s="26" t="s">
        <v>174</v>
      </c>
      <c r="L33">
        <v>28</v>
      </c>
    </row>
    <row r="34" spans="1:12" x14ac:dyDescent="0.25">
      <c r="A34" s="13">
        <v>6</v>
      </c>
      <c r="C34" t="s">
        <v>63</v>
      </c>
      <c r="D34" t="s">
        <v>9</v>
      </c>
      <c r="E34" t="s">
        <v>57</v>
      </c>
      <c r="K34" s="26" t="s">
        <v>175</v>
      </c>
      <c r="L34">
        <v>29</v>
      </c>
    </row>
    <row r="35" spans="1:12" x14ac:dyDescent="0.25">
      <c r="A35" s="13">
        <v>7</v>
      </c>
      <c r="C35" t="s">
        <v>64</v>
      </c>
      <c r="D35" t="s">
        <v>11</v>
      </c>
      <c r="E35" t="s">
        <v>57</v>
      </c>
      <c r="K35" s="26" t="s">
        <v>116</v>
      </c>
      <c r="L35">
        <v>30</v>
      </c>
    </row>
    <row r="36" spans="1:12" x14ac:dyDescent="0.25">
      <c r="A36" s="13">
        <v>8</v>
      </c>
      <c r="C36" t="s">
        <v>65</v>
      </c>
      <c r="D36" t="s">
        <v>66</v>
      </c>
      <c r="E36" t="s">
        <v>57</v>
      </c>
      <c r="K36" s="26" t="s">
        <v>117</v>
      </c>
      <c r="L36">
        <v>31</v>
      </c>
    </row>
    <row r="37" spans="1:12" x14ac:dyDescent="0.25">
      <c r="A37" s="13">
        <v>9</v>
      </c>
      <c r="C37" t="s">
        <v>67</v>
      </c>
      <c r="D37" t="s">
        <v>12</v>
      </c>
      <c r="E37" t="s">
        <v>57</v>
      </c>
      <c r="K37" s="26" t="s">
        <v>118</v>
      </c>
      <c r="L37">
        <v>32</v>
      </c>
    </row>
    <row r="38" spans="1:12" x14ac:dyDescent="0.25">
      <c r="A38" s="13">
        <v>10</v>
      </c>
      <c r="C38" t="s">
        <v>68</v>
      </c>
      <c r="D38" t="s">
        <v>69</v>
      </c>
      <c r="E38" t="s">
        <v>57</v>
      </c>
      <c r="K38" s="26" t="s">
        <v>119</v>
      </c>
      <c r="L38">
        <v>33</v>
      </c>
    </row>
    <row r="39" spans="1:12" x14ac:dyDescent="0.25">
      <c r="A39" s="13">
        <v>11</v>
      </c>
      <c r="C39" t="s">
        <v>70</v>
      </c>
      <c r="D39" t="s">
        <v>15</v>
      </c>
      <c r="E39" t="s">
        <v>57</v>
      </c>
      <c r="K39" s="26" t="s">
        <v>120</v>
      </c>
      <c r="L39">
        <v>34</v>
      </c>
    </row>
    <row r="40" spans="1:12" x14ac:dyDescent="0.25">
      <c r="A40" s="13">
        <v>12</v>
      </c>
      <c r="C40" t="s">
        <v>71</v>
      </c>
      <c r="D40" t="s">
        <v>16</v>
      </c>
      <c r="E40" t="s">
        <v>57</v>
      </c>
      <c r="K40" s="26" t="s">
        <v>121</v>
      </c>
      <c r="L40">
        <v>35</v>
      </c>
    </row>
    <row r="41" spans="1:12" x14ac:dyDescent="0.25">
      <c r="A41" s="13">
        <v>13</v>
      </c>
      <c r="C41" t="s">
        <v>72</v>
      </c>
      <c r="D41" t="s">
        <v>17</v>
      </c>
      <c r="E41" t="s">
        <v>57</v>
      </c>
      <c r="K41" s="26" t="s">
        <v>122</v>
      </c>
      <c r="L41">
        <v>36</v>
      </c>
    </row>
    <row r="42" spans="1:12" x14ac:dyDescent="0.25">
      <c r="A42" s="13">
        <v>14</v>
      </c>
      <c r="C42" t="s">
        <v>73</v>
      </c>
      <c r="D42" t="s">
        <v>18</v>
      </c>
      <c r="E42" t="s">
        <v>74</v>
      </c>
      <c r="K42" s="26" t="s">
        <v>123</v>
      </c>
      <c r="L42">
        <v>37</v>
      </c>
    </row>
    <row r="43" spans="1:12" x14ac:dyDescent="0.25">
      <c r="A43" s="13">
        <v>15</v>
      </c>
      <c r="C43" t="s">
        <v>75</v>
      </c>
      <c r="D43" t="s">
        <v>19</v>
      </c>
      <c r="E43" t="s">
        <v>57</v>
      </c>
      <c r="K43" s="26" t="s">
        <v>124</v>
      </c>
      <c r="L43">
        <v>38</v>
      </c>
    </row>
    <row r="44" spans="1:12" x14ac:dyDescent="0.25">
      <c r="A44" s="13">
        <v>16</v>
      </c>
      <c r="C44" t="s">
        <v>76</v>
      </c>
      <c r="D44" t="s">
        <v>20</v>
      </c>
      <c r="E44" t="s">
        <v>74</v>
      </c>
      <c r="K44" s="26" t="s">
        <v>125</v>
      </c>
      <c r="L44">
        <v>39</v>
      </c>
    </row>
    <row r="45" spans="1:12" x14ac:dyDescent="0.25">
      <c r="A45" s="13">
        <v>17</v>
      </c>
      <c r="C45" t="s">
        <v>77</v>
      </c>
      <c r="D45" t="s">
        <v>78</v>
      </c>
      <c r="E45" t="s">
        <v>57</v>
      </c>
      <c r="K45" s="26" t="s">
        <v>126</v>
      </c>
      <c r="L45">
        <v>40</v>
      </c>
    </row>
    <row r="46" spans="1:12" x14ac:dyDescent="0.25">
      <c r="A46" s="13">
        <v>18</v>
      </c>
      <c r="C46" t="s">
        <v>79</v>
      </c>
      <c r="D46" t="s">
        <v>53</v>
      </c>
      <c r="E46" t="s">
        <v>74</v>
      </c>
      <c r="K46" s="26" t="s">
        <v>127</v>
      </c>
      <c r="L46">
        <v>41</v>
      </c>
    </row>
    <row r="47" spans="1:12" x14ac:dyDescent="0.25">
      <c r="A47" s="13">
        <v>19</v>
      </c>
      <c r="C47" t="s">
        <v>80</v>
      </c>
      <c r="D47" t="s">
        <v>52</v>
      </c>
      <c r="E47" t="s">
        <v>74</v>
      </c>
      <c r="K47" s="26" t="s">
        <v>128</v>
      </c>
      <c r="L47">
        <v>42</v>
      </c>
    </row>
    <row r="48" spans="1:12" x14ac:dyDescent="0.25">
      <c r="A48" s="13">
        <v>20</v>
      </c>
      <c r="C48" t="s">
        <v>81</v>
      </c>
      <c r="D48" t="s">
        <v>51</v>
      </c>
      <c r="E48" t="s">
        <v>74</v>
      </c>
      <c r="K48" s="26" t="s">
        <v>129</v>
      </c>
      <c r="L48">
        <v>43</v>
      </c>
    </row>
    <row r="49" spans="1:12" x14ac:dyDescent="0.25">
      <c r="A49" s="13">
        <v>21</v>
      </c>
      <c r="C49" t="s">
        <v>82</v>
      </c>
      <c r="D49" t="s">
        <v>83</v>
      </c>
      <c r="E49" t="s">
        <v>57</v>
      </c>
      <c r="K49" s="26" t="s">
        <v>130</v>
      </c>
      <c r="L49">
        <v>44</v>
      </c>
    </row>
    <row r="50" spans="1:12" x14ac:dyDescent="0.25">
      <c r="K50" s="26" t="s">
        <v>131</v>
      </c>
      <c r="L50">
        <v>45</v>
      </c>
    </row>
    <row r="51" spans="1:12" x14ac:dyDescent="0.25">
      <c r="K51" s="26" t="s">
        <v>132</v>
      </c>
      <c r="L51">
        <v>46</v>
      </c>
    </row>
    <row r="52" spans="1:12" x14ac:dyDescent="0.25">
      <c r="K52" s="26" t="s">
        <v>133</v>
      </c>
      <c r="L52">
        <v>47</v>
      </c>
    </row>
    <row r="53" spans="1:12" x14ac:dyDescent="0.25">
      <c r="K53" s="26" t="s">
        <v>134</v>
      </c>
      <c r="L53">
        <v>48</v>
      </c>
    </row>
    <row r="54" spans="1:12" x14ac:dyDescent="0.25">
      <c r="K54" s="26" t="s">
        <v>176</v>
      </c>
      <c r="L54">
        <v>49</v>
      </c>
    </row>
    <row r="55" spans="1:12" x14ac:dyDescent="0.25">
      <c r="K55" s="26" t="s">
        <v>135</v>
      </c>
      <c r="L55">
        <v>50</v>
      </c>
    </row>
    <row r="56" spans="1:12" x14ac:dyDescent="0.25">
      <c r="K56" s="26" t="s">
        <v>136</v>
      </c>
      <c r="L56">
        <v>51</v>
      </c>
    </row>
    <row r="57" spans="1:12" x14ac:dyDescent="0.25">
      <c r="K57" s="26" t="s">
        <v>137</v>
      </c>
      <c r="L57">
        <v>52</v>
      </c>
    </row>
    <row r="58" spans="1:12" x14ac:dyDescent="0.25">
      <c r="K58" s="26" t="s">
        <v>138</v>
      </c>
      <c r="L58">
        <v>53</v>
      </c>
    </row>
    <row r="59" spans="1:12" x14ac:dyDescent="0.25">
      <c r="K59" s="26" t="s">
        <v>139</v>
      </c>
      <c r="L59">
        <v>54</v>
      </c>
    </row>
    <row r="60" spans="1:12" x14ac:dyDescent="0.25">
      <c r="K60" s="26" t="s">
        <v>140</v>
      </c>
      <c r="L60">
        <v>55</v>
      </c>
    </row>
    <row r="61" spans="1:12" x14ac:dyDescent="0.25">
      <c r="K61" s="26" t="s">
        <v>141</v>
      </c>
      <c r="L61">
        <v>56</v>
      </c>
    </row>
    <row r="62" spans="1:12" x14ac:dyDescent="0.25">
      <c r="K62" s="26" t="s">
        <v>177</v>
      </c>
      <c r="L62">
        <v>57</v>
      </c>
    </row>
    <row r="63" spans="1:12" x14ac:dyDescent="0.25">
      <c r="K63" s="26" t="s">
        <v>178</v>
      </c>
      <c r="L63">
        <v>58</v>
      </c>
    </row>
    <row r="64" spans="1:12" x14ac:dyDescent="0.25">
      <c r="K64" s="26" t="s">
        <v>179</v>
      </c>
      <c r="L64">
        <v>59</v>
      </c>
    </row>
    <row r="65" spans="11:12" x14ac:dyDescent="0.25">
      <c r="K65" s="26" t="s">
        <v>180</v>
      </c>
      <c r="L65">
        <v>60</v>
      </c>
    </row>
    <row r="66" spans="11:12" x14ac:dyDescent="0.25">
      <c r="K66" s="26" t="s">
        <v>181</v>
      </c>
      <c r="L66">
        <v>61</v>
      </c>
    </row>
    <row r="67" spans="11:12" x14ac:dyDescent="0.25">
      <c r="K67" s="26" t="s">
        <v>182</v>
      </c>
      <c r="L67">
        <v>62</v>
      </c>
    </row>
    <row r="68" spans="11:12" x14ac:dyDescent="0.25">
      <c r="K68" s="26" t="s">
        <v>183</v>
      </c>
      <c r="L68">
        <v>63</v>
      </c>
    </row>
    <row r="69" spans="11:12" x14ac:dyDescent="0.25">
      <c r="K69" s="26" t="s">
        <v>184</v>
      </c>
      <c r="L69">
        <v>64</v>
      </c>
    </row>
    <row r="70" spans="11:12" x14ac:dyDescent="0.25">
      <c r="K70" s="26" t="s">
        <v>185</v>
      </c>
      <c r="L70">
        <v>65</v>
      </c>
    </row>
    <row r="71" spans="11:12" x14ac:dyDescent="0.25">
      <c r="K71" s="26" t="s">
        <v>186</v>
      </c>
      <c r="L71">
        <v>66</v>
      </c>
    </row>
    <row r="72" spans="11:12" x14ac:dyDescent="0.25">
      <c r="K72" s="26" t="s">
        <v>187</v>
      </c>
      <c r="L72">
        <v>67</v>
      </c>
    </row>
    <row r="73" spans="11:12" x14ac:dyDescent="0.25">
      <c r="K73" s="26" t="s">
        <v>188</v>
      </c>
      <c r="L73">
        <v>68</v>
      </c>
    </row>
    <row r="74" spans="11:12" x14ac:dyDescent="0.25">
      <c r="K74" s="26" t="s">
        <v>189</v>
      </c>
      <c r="L74">
        <v>69</v>
      </c>
    </row>
    <row r="75" spans="11:12" x14ac:dyDescent="0.25">
      <c r="K75" s="26" t="s">
        <v>190</v>
      </c>
      <c r="L75">
        <v>70</v>
      </c>
    </row>
    <row r="76" spans="11:12" x14ac:dyDescent="0.25">
      <c r="K76" s="26" t="s">
        <v>191</v>
      </c>
      <c r="L76">
        <v>71</v>
      </c>
    </row>
    <row r="77" spans="11:12" x14ac:dyDescent="0.25">
      <c r="K77" s="26" t="s">
        <v>192</v>
      </c>
      <c r="L77">
        <v>72</v>
      </c>
    </row>
    <row r="78" spans="11:12" x14ac:dyDescent="0.25">
      <c r="K78" s="26" t="s">
        <v>193</v>
      </c>
      <c r="L78">
        <v>73</v>
      </c>
    </row>
    <row r="79" spans="11:12" x14ac:dyDescent="0.25">
      <c r="K79" s="26" t="s">
        <v>194</v>
      </c>
      <c r="L79">
        <v>74</v>
      </c>
    </row>
    <row r="80" spans="11:12" x14ac:dyDescent="0.25">
      <c r="K80" s="26" t="s">
        <v>195</v>
      </c>
      <c r="L80">
        <v>75</v>
      </c>
    </row>
    <row r="81" spans="11:12" x14ac:dyDescent="0.25">
      <c r="K81" s="26" t="s">
        <v>196</v>
      </c>
      <c r="L81">
        <v>76</v>
      </c>
    </row>
    <row r="82" spans="11:12" x14ac:dyDescent="0.25">
      <c r="K82" s="26" t="s">
        <v>197</v>
      </c>
      <c r="L82">
        <v>77</v>
      </c>
    </row>
    <row r="83" spans="11:12" x14ac:dyDescent="0.25">
      <c r="K83" s="26" t="s">
        <v>198</v>
      </c>
      <c r="L83">
        <v>78</v>
      </c>
    </row>
    <row r="84" spans="11:12" x14ac:dyDescent="0.25">
      <c r="K84" s="26" t="s">
        <v>199</v>
      </c>
      <c r="L84">
        <v>79</v>
      </c>
    </row>
    <row r="85" spans="11:12" x14ac:dyDescent="0.25">
      <c r="K85" s="26" t="s">
        <v>200</v>
      </c>
      <c r="L85">
        <v>80</v>
      </c>
    </row>
    <row r="86" spans="11:12" x14ac:dyDescent="0.25">
      <c r="K86" s="26" t="s">
        <v>201</v>
      </c>
      <c r="L86">
        <v>81</v>
      </c>
    </row>
    <row r="87" spans="11:12" x14ac:dyDescent="0.25">
      <c r="K87" s="26" t="s">
        <v>202</v>
      </c>
      <c r="L87">
        <v>82</v>
      </c>
    </row>
    <row r="88" spans="11:12" x14ac:dyDescent="0.25">
      <c r="K88" s="26" t="s">
        <v>203</v>
      </c>
      <c r="L88">
        <v>83</v>
      </c>
    </row>
    <row r="89" spans="11:12" x14ac:dyDescent="0.25">
      <c r="K89" s="26" t="s">
        <v>204</v>
      </c>
      <c r="L89">
        <v>84</v>
      </c>
    </row>
    <row r="90" spans="11:12" x14ac:dyDescent="0.25">
      <c r="K90" s="26" t="s">
        <v>205</v>
      </c>
      <c r="L90">
        <v>85</v>
      </c>
    </row>
    <row r="91" spans="11:12" x14ac:dyDescent="0.25">
      <c r="K91" s="26" t="s">
        <v>206</v>
      </c>
      <c r="L91">
        <v>86</v>
      </c>
    </row>
    <row r="92" spans="11:12" x14ac:dyDescent="0.25">
      <c r="K92" s="26" t="s">
        <v>207</v>
      </c>
      <c r="L92">
        <v>87</v>
      </c>
    </row>
    <row r="93" spans="11:12" x14ac:dyDescent="0.25">
      <c r="K93" s="26" t="s">
        <v>208</v>
      </c>
      <c r="L93">
        <v>88</v>
      </c>
    </row>
    <row r="94" spans="11:12" x14ac:dyDescent="0.25">
      <c r="K94" s="26" t="s">
        <v>209</v>
      </c>
      <c r="L94">
        <v>89</v>
      </c>
    </row>
    <row r="95" spans="11:12" x14ac:dyDescent="0.25">
      <c r="K95" s="26" t="s">
        <v>210</v>
      </c>
      <c r="L95">
        <v>90</v>
      </c>
    </row>
    <row r="96" spans="11:12" x14ac:dyDescent="0.25">
      <c r="K96" s="26" t="s">
        <v>211</v>
      </c>
      <c r="L96">
        <v>91</v>
      </c>
    </row>
    <row r="97" spans="11:12" x14ac:dyDescent="0.25">
      <c r="K97" s="26" t="s">
        <v>212</v>
      </c>
      <c r="L97">
        <v>92</v>
      </c>
    </row>
    <row r="98" spans="11:12" x14ac:dyDescent="0.25">
      <c r="K98" s="26" t="s">
        <v>213</v>
      </c>
      <c r="L98">
        <v>93</v>
      </c>
    </row>
    <row r="99" spans="11:12" x14ac:dyDescent="0.25">
      <c r="K99" s="26" t="s">
        <v>214</v>
      </c>
      <c r="L99">
        <v>94</v>
      </c>
    </row>
    <row r="100" spans="11:12" x14ac:dyDescent="0.25">
      <c r="K100" s="26" t="s">
        <v>215</v>
      </c>
      <c r="L100">
        <v>95</v>
      </c>
    </row>
    <row r="101" spans="11:12" x14ac:dyDescent="0.25">
      <c r="K101" s="26" t="s">
        <v>216</v>
      </c>
      <c r="L101">
        <v>96</v>
      </c>
    </row>
    <row r="102" spans="11:12" x14ac:dyDescent="0.25">
      <c r="K102" s="26" t="s">
        <v>217</v>
      </c>
      <c r="L102">
        <v>97</v>
      </c>
    </row>
    <row r="103" spans="11:12" x14ac:dyDescent="0.25">
      <c r="K103" s="26" t="s">
        <v>218</v>
      </c>
      <c r="L103">
        <v>98</v>
      </c>
    </row>
    <row r="104" spans="11:12" x14ac:dyDescent="0.25">
      <c r="K104" s="26" t="s">
        <v>219</v>
      </c>
      <c r="L104">
        <v>99</v>
      </c>
    </row>
    <row r="105" spans="11:12" x14ac:dyDescent="0.25">
      <c r="K105" s="26" t="s">
        <v>220</v>
      </c>
      <c r="L105">
        <v>100</v>
      </c>
    </row>
    <row r="106" spans="11:12" x14ac:dyDescent="0.25">
      <c r="K106" s="26" t="s">
        <v>221</v>
      </c>
      <c r="L106">
        <v>101</v>
      </c>
    </row>
    <row r="107" spans="11:12" x14ac:dyDescent="0.25">
      <c r="K107" s="26" t="s">
        <v>222</v>
      </c>
      <c r="L107">
        <v>102</v>
      </c>
    </row>
    <row r="108" spans="11:12" x14ac:dyDescent="0.25">
      <c r="K108" s="26" t="s">
        <v>223</v>
      </c>
      <c r="L108">
        <v>103</v>
      </c>
    </row>
    <row r="109" spans="11:12" x14ac:dyDescent="0.25">
      <c r="K109" s="26" t="s">
        <v>224</v>
      </c>
      <c r="L109">
        <v>104</v>
      </c>
    </row>
    <row r="110" spans="11:12" x14ac:dyDescent="0.25">
      <c r="K110" s="26" t="s">
        <v>142</v>
      </c>
      <c r="L110">
        <v>105</v>
      </c>
    </row>
    <row r="111" spans="11:12" x14ac:dyDescent="0.25">
      <c r="K111" s="26" t="s">
        <v>225</v>
      </c>
      <c r="L111">
        <v>106</v>
      </c>
    </row>
    <row r="112" spans="11:12" x14ac:dyDescent="0.25">
      <c r="K112" s="26" t="s">
        <v>226</v>
      </c>
      <c r="L112">
        <v>107</v>
      </c>
    </row>
    <row r="113" spans="11:12" x14ac:dyDescent="0.25">
      <c r="K113" s="26" t="s">
        <v>227</v>
      </c>
      <c r="L113">
        <v>108</v>
      </c>
    </row>
    <row r="114" spans="11:12" x14ac:dyDescent="0.25">
      <c r="K114" s="26" t="s">
        <v>228</v>
      </c>
      <c r="L114">
        <v>109</v>
      </c>
    </row>
    <row r="115" spans="11:12" x14ac:dyDescent="0.25">
      <c r="K115" s="26" t="s">
        <v>143</v>
      </c>
      <c r="L115">
        <v>110</v>
      </c>
    </row>
    <row r="116" spans="11:12" x14ac:dyDescent="0.25">
      <c r="K116" s="26" t="s">
        <v>229</v>
      </c>
      <c r="L116">
        <v>111</v>
      </c>
    </row>
    <row r="117" spans="11:12" x14ac:dyDescent="0.25">
      <c r="K117" s="26" t="s">
        <v>230</v>
      </c>
      <c r="L117">
        <v>112</v>
      </c>
    </row>
    <row r="118" spans="11:12" x14ac:dyDescent="0.25">
      <c r="K118" s="26" t="s">
        <v>231</v>
      </c>
      <c r="L118">
        <v>113</v>
      </c>
    </row>
    <row r="119" spans="11:12" x14ac:dyDescent="0.25">
      <c r="K119" s="26" t="s">
        <v>144</v>
      </c>
      <c r="L119">
        <v>114</v>
      </c>
    </row>
    <row r="120" spans="11:12" x14ac:dyDescent="0.25">
      <c r="K120" s="26" t="s">
        <v>145</v>
      </c>
      <c r="L120">
        <v>115</v>
      </c>
    </row>
    <row r="121" spans="11:12" x14ac:dyDescent="0.25">
      <c r="K121" s="26" t="s">
        <v>232</v>
      </c>
      <c r="L121">
        <v>116</v>
      </c>
    </row>
    <row r="122" spans="11:12" x14ac:dyDescent="0.25">
      <c r="K122" s="26" t="s">
        <v>233</v>
      </c>
      <c r="L122">
        <v>117</v>
      </c>
    </row>
    <row r="123" spans="11:12" x14ac:dyDescent="0.25">
      <c r="K123" s="26" t="s">
        <v>234</v>
      </c>
      <c r="L123">
        <v>118</v>
      </c>
    </row>
    <row r="124" spans="11:12" x14ac:dyDescent="0.25">
      <c r="K124" s="26" t="s">
        <v>146</v>
      </c>
      <c r="L124">
        <v>119</v>
      </c>
    </row>
    <row r="125" spans="11:12" x14ac:dyDescent="0.25">
      <c r="K125" s="26" t="s">
        <v>235</v>
      </c>
      <c r="L125">
        <v>120</v>
      </c>
    </row>
    <row r="126" spans="11:12" x14ac:dyDescent="0.25">
      <c r="K126" s="26" t="s">
        <v>236</v>
      </c>
      <c r="L126">
        <v>121</v>
      </c>
    </row>
    <row r="127" spans="11:12" x14ac:dyDescent="0.25">
      <c r="K127" s="26" t="s">
        <v>237</v>
      </c>
      <c r="L127">
        <v>122</v>
      </c>
    </row>
    <row r="128" spans="11:12" x14ac:dyDescent="0.25">
      <c r="K128" s="26" t="s">
        <v>238</v>
      </c>
      <c r="L128">
        <v>123</v>
      </c>
    </row>
    <row r="129" spans="11:12" x14ac:dyDescent="0.25">
      <c r="K129" s="26" t="s">
        <v>239</v>
      </c>
      <c r="L129">
        <v>124</v>
      </c>
    </row>
    <row r="130" spans="11:12" x14ac:dyDescent="0.25">
      <c r="K130" s="26" t="s">
        <v>240</v>
      </c>
      <c r="L130">
        <v>125</v>
      </c>
    </row>
    <row r="131" spans="11:12" x14ac:dyDescent="0.25">
      <c r="K131" s="26" t="s">
        <v>241</v>
      </c>
      <c r="L131">
        <v>126</v>
      </c>
    </row>
    <row r="132" spans="11:12" x14ac:dyDescent="0.25">
      <c r="K132" s="26" t="s">
        <v>242</v>
      </c>
      <c r="L132">
        <v>127</v>
      </c>
    </row>
    <row r="133" spans="11:12" x14ac:dyDescent="0.25">
      <c r="K133" s="26" t="s">
        <v>243</v>
      </c>
      <c r="L133">
        <v>128</v>
      </c>
    </row>
    <row r="134" spans="11:12" x14ac:dyDescent="0.25">
      <c r="K134" s="26" t="s">
        <v>244</v>
      </c>
      <c r="L134">
        <v>129</v>
      </c>
    </row>
    <row r="135" spans="11:12" x14ac:dyDescent="0.25">
      <c r="K135" s="26" t="s">
        <v>245</v>
      </c>
      <c r="L135">
        <v>130</v>
      </c>
    </row>
    <row r="136" spans="11:12" x14ac:dyDescent="0.25">
      <c r="K136" s="26" t="s">
        <v>246</v>
      </c>
      <c r="L136">
        <v>131</v>
      </c>
    </row>
    <row r="137" spans="11:12" x14ac:dyDescent="0.25">
      <c r="K137" s="26" t="s">
        <v>247</v>
      </c>
      <c r="L137">
        <v>132</v>
      </c>
    </row>
    <row r="138" spans="11:12" x14ac:dyDescent="0.25">
      <c r="K138" s="26" t="s">
        <v>248</v>
      </c>
      <c r="L138">
        <v>133</v>
      </c>
    </row>
    <row r="139" spans="11:12" x14ac:dyDescent="0.25">
      <c r="K139" s="26" t="s">
        <v>170</v>
      </c>
      <c r="L139">
        <v>134</v>
      </c>
    </row>
    <row r="140" spans="11:12" x14ac:dyDescent="0.25">
      <c r="K140" s="26" t="s">
        <v>171</v>
      </c>
      <c r="L140">
        <v>135</v>
      </c>
    </row>
    <row r="141" spans="11:12" x14ac:dyDescent="0.25">
      <c r="K141" s="26" t="s">
        <v>174</v>
      </c>
      <c r="L141">
        <v>136</v>
      </c>
    </row>
    <row r="142" spans="11:12" x14ac:dyDescent="0.25">
      <c r="K142" s="26" t="s">
        <v>249</v>
      </c>
      <c r="L142">
        <v>137</v>
      </c>
    </row>
    <row r="143" spans="11:12" x14ac:dyDescent="0.25">
      <c r="K143" s="26" t="s">
        <v>250</v>
      </c>
      <c r="L143">
        <v>138</v>
      </c>
    </row>
    <row r="144" spans="11:12" x14ac:dyDescent="0.25">
      <c r="K144" s="26" t="s">
        <v>251</v>
      </c>
      <c r="L144">
        <v>139</v>
      </c>
    </row>
    <row r="145" spans="11:12" x14ac:dyDescent="0.25">
      <c r="K145" s="26" t="s">
        <v>252</v>
      </c>
      <c r="L145">
        <v>140</v>
      </c>
    </row>
    <row r="146" spans="11:12" x14ac:dyDescent="0.25">
      <c r="K146" s="26" t="s">
        <v>253</v>
      </c>
      <c r="L146">
        <v>141</v>
      </c>
    </row>
    <row r="147" spans="11:12" x14ac:dyDescent="0.25">
      <c r="K147" s="26" t="s">
        <v>254</v>
      </c>
      <c r="L147">
        <v>142</v>
      </c>
    </row>
    <row r="148" spans="11:12" x14ac:dyDescent="0.25">
      <c r="K148" s="26" t="s">
        <v>255</v>
      </c>
      <c r="L148">
        <v>143</v>
      </c>
    </row>
    <row r="149" spans="11:12" x14ac:dyDescent="0.25">
      <c r="K149" s="26" t="s">
        <v>256</v>
      </c>
      <c r="L149">
        <v>144</v>
      </c>
    </row>
    <row r="150" spans="11:12" x14ac:dyDescent="0.25">
      <c r="K150" s="26" t="s">
        <v>257</v>
      </c>
      <c r="L150">
        <v>145</v>
      </c>
    </row>
    <row r="151" spans="11:12" x14ac:dyDescent="0.25">
      <c r="K151" s="26" t="s">
        <v>258</v>
      </c>
      <c r="L151">
        <v>146</v>
      </c>
    </row>
    <row r="152" spans="11:12" x14ac:dyDescent="0.25">
      <c r="K152" s="26" t="s">
        <v>259</v>
      </c>
      <c r="L152">
        <v>147</v>
      </c>
    </row>
    <row r="153" spans="11:12" x14ac:dyDescent="0.25">
      <c r="K153" s="26" t="s">
        <v>260</v>
      </c>
      <c r="L153">
        <v>148</v>
      </c>
    </row>
    <row r="154" spans="11:12" x14ac:dyDescent="0.25">
      <c r="K154" s="26" t="s">
        <v>167</v>
      </c>
      <c r="L154">
        <v>149</v>
      </c>
    </row>
    <row r="155" spans="11:12" x14ac:dyDescent="0.25">
      <c r="K155" s="26" t="s">
        <v>261</v>
      </c>
      <c r="L155">
        <v>150</v>
      </c>
    </row>
    <row r="156" spans="11:12" x14ac:dyDescent="0.25">
      <c r="K156" s="26" t="s">
        <v>262</v>
      </c>
      <c r="L156">
        <v>151</v>
      </c>
    </row>
    <row r="157" spans="11:12" x14ac:dyDescent="0.25">
      <c r="K157" s="26" t="s">
        <v>263</v>
      </c>
      <c r="L157">
        <v>152</v>
      </c>
    </row>
    <row r="158" spans="11:12" x14ac:dyDescent="0.25">
      <c r="K158" s="26" t="s">
        <v>264</v>
      </c>
      <c r="L158">
        <v>153</v>
      </c>
    </row>
    <row r="159" spans="11:12" x14ac:dyDescent="0.25">
      <c r="K159" s="26" t="s">
        <v>265</v>
      </c>
      <c r="L159">
        <v>154</v>
      </c>
    </row>
    <row r="160" spans="11:12" x14ac:dyDescent="0.25">
      <c r="K160" s="26" t="s">
        <v>266</v>
      </c>
      <c r="L160">
        <v>155</v>
      </c>
    </row>
    <row r="161" spans="11:12" x14ac:dyDescent="0.25">
      <c r="K161" s="26" t="s">
        <v>267</v>
      </c>
      <c r="L161">
        <v>156</v>
      </c>
    </row>
    <row r="162" spans="11:12" x14ac:dyDescent="0.25">
      <c r="K162" s="26" t="s">
        <v>268</v>
      </c>
      <c r="L162">
        <v>157</v>
      </c>
    </row>
    <row r="163" spans="11:12" x14ac:dyDescent="0.25">
      <c r="K163" s="26" t="s">
        <v>269</v>
      </c>
      <c r="L163">
        <v>158</v>
      </c>
    </row>
    <row r="164" spans="11:12" x14ac:dyDescent="0.25">
      <c r="K164" s="26" t="s">
        <v>270</v>
      </c>
      <c r="L164">
        <v>159</v>
      </c>
    </row>
    <row r="165" spans="11:12" x14ac:dyDescent="0.25">
      <c r="K165" s="26" t="s">
        <v>271</v>
      </c>
      <c r="L165">
        <v>160</v>
      </c>
    </row>
    <row r="166" spans="11:12" x14ac:dyDescent="0.25">
      <c r="K166" s="26" t="s">
        <v>272</v>
      </c>
      <c r="L166">
        <v>161</v>
      </c>
    </row>
    <row r="167" spans="11:12" x14ac:dyDescent="0.25">
      <c r="K167" s="26" t="s">
        <v>273</v>
      </c>
      <c r="L167">
        <v>162</v>
      </c>
    </row>
    <row r="168" spans="11:12" x14ac:dyDescent="0.25">
      <c r="K168" s="26" t="s">
        <v>274</v>
      </c>
      <c r="L168">
        <v>163</v>
      </c>
    </row>
    <row r="169" spans="11:12" x14ac:dyDescent="0.25">
      <c r="K169" s="26" t="s">
        <v>275</v>
      </c>
      <c r="L169">
        <v>164</v>
      </c>
    </row>
    <row r="170" spans="11:12" x14ac:dyDescent="0.25">
      <c r="K170" s="26" t="s">
        <v>276</v>
      </c>
      <c r="L170">
        <v>165</v>
      </c>
    </row>
    <row r="171" spans="11:12" x14ac:dyDescent="0.25">
      <c r="K171" s="26" t="s">
        <v>277</v>
      </c>
      <c r="L171">
        <v>166</v>
      </c>
    </row>
    <row r="172" spans="11:12" x14ac:dyDescent="0.25">
      <c r="K172" s="26" t="s">
        <v>278</v>
      </c>
      <c r="L172">
        <v>167</v>
      </c>
    </row>
    <row r="173" spans="11:12" x14ac:dyDescent="0.25">
      <c r="K173" s="26" t="s">
        <v>279</v>
      </c>
      <c r="L173">
        <v>168</v>
      </c>
    </row>
    <row r="174" spans="11:12" x14ac:dyDescent="0.25">
      <c r="K174" s="26" t="s">
        <v>280</v>
      </c>
      <c r="L174">
        <v>169</v>
      </c>
    </row>
    <row r="175" spans="11:12" x14ac:dyDescent="0.25">
      <c r="K175" s="26" t="s">
        <v>281</v>
      </c>
      <c r="L175">
        <v>170</v>
      </c>
    </row>
    <row r="176" spans="11:12" x14ac:dyDescent="0.25">
      <c r="K176" s="26" t="s">
        <v>282</v>
      </c>
      <c r="L176">
        <v>171</v>
      </c>
    </row>
    <row r="177" spans="11:12" x14ac:dyDescent="0.25">
      <c r="K177" s="26" t="s">
        <v>283</v>
      </c>
      <c r="L177">
        <v>172</v>
      </c>
    </row>
    <row r="178" spans="11:12" x14ac:dyDescent="0.25">
      <c r="K178" s="26" t="s">
        <v>284</v>
      </c>
      <c r="L178">
        <v>173</v>
      </c>
    </row>
    <row r="179" spans="11:12" x14ac:dyDescent="0.25">
      <c r="K179" s="26" t="s">
        <v>285</v>
      </c>
      <c r="L179">
        <v>174</v>
      </c>
    </row>
    <row r="180" spans="11:12" x14ac:dyDescent="0.25">
      <c r="K180" s="26" t="s">
        <v>147</v>
      </c>
      <c r="L180" t="s">
        <v>147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8CA4-F091-4F1E-8BA0-0B3760BFD2C0}">
  <dimension ref="A4:M27"/>
  <sheetViews>
    <sheetView tabSelected="1" workbookViewId="0">
      <selection activeCell="M4" sqref="M4:M27"/>
    </sheetView>
  </sheetViews>
  <sheetFormatPr defaultRowHeight="15" x14ac:dyDescent="0.25"/>
  <cols>
    <col min="2" max="2" width="9.140625" style="26"/>
    <col min="4" max="4" width="22.28515625" bestFit="1" customWidth="1"/>
    <col min="5" max="5" width="13.7109375" customWidth="1"/>
    <col min="7" max="7" width="30.7109375" bestFit="1" customWidth="1"/>
    <col min="10" max="10" width="36.5703125" bestFit="1" customWidth="1"/>
    <col min="11" max="11" width="8.7109375" style="27" bestFit="1" customWidth="1"/>
    <col min="12" max="12" width="25.7109375" bestFit="1" customWidth="1"/>
  </cols>
  <sheetData>
    <row r="4" spans="1:13" x14ac:dyDescent="0.25">
      <c r="A4">
        <v>4</v>
      </c>
      <c r="B4" s="26" t="s">
        <v>150</v>
      </c>
      <c r="C4" t="s">
        <v>286</v>
      </c>
      <c r="D4" t="s">
        <v>287</v>
      </c>
      <c r="E4">
        <v>3</v>
      </c>
      <c r="F4">
        <v>2</v>
      </c>
      <c r="G4" t="s">
        <v>288</v>
      </c>
      <c r="H4" t="b">
        <v>1</v>
      </c>
      <c r="I4">
        <v>3</v>
      </c>
      <c r="J4" t="s">
        <v>289</v>
      </c>
      <c r="K4" s="27">
        <v>43318.623608136571</v>
      </c>
      <c r="L4" t="s">
        <v>290</v>
      </c>
      <c r="M4" t="b">
        <v>1</v>
      </c>
    </row>
    <row r="5" spans="1:13" x14ac:dyDescent="0.25">
      <c r="A5">
        <v>5</v>
      </c>
      <c r="B5" s="26">
        <v>1418</v>
      </c>
      <c r="C5" t="s">
        <v>286</v>
      </c>
      <c r="D5" t="s">
        <v>4</v>
      </c>
      <c r="E5">
        <v>20</v>
      </c>
      <c r="F5">
        <v>2</v>
      </c>
      <c r="G5" t="s">
        <v>288</v>
      </c>
      <c r="H5" t="b">
        <v>1</v>
      </c>
      <c r="J5" t="s">
        <v>289</v>
      </c>
      <c r="K5" s="27">
        <v>43318.623611111114</v>
      </c>
      <c r="M5" t="b">
        <v>1</v>
      </c>
    </row>
    <row r="6" spans="1:13" x14ac:dyDescent="0.25">
      <c r="A6">
        <v>6</v>
      </c>
      <c r="B6" s="26">
        <v>2701</v>
      </c>
      <c r="C6" t="s">
        <v>286</v>
      </c>
      <c r="D6" t="s">
        <v>5</v>
      </c>
      <c r="E6">
        <v>20</v>
      </c>
      <c r="F6">
        <v>2</v>
      </c>
      <c r="G6" t="s">
        <v>288</v>
      </c>
      <c r="H6" t="b">
        <v>1</v>
      </c>
      <c r="J6" t="s">
        <v>289</v>
      </c>
      <c r="K6" s="27">
        <v>43318.623608136571</v>
      </c>
      <c r="M6" t="b">
        <v>1</v>
      </c>
    </row>
    <row r="7" spans="1:13" x14ac:dyDescent="0.25">
      <c r="A7">
        <v>7</v>
      </c>
      <c r="B7" s="26">
        <v>2330</v>
      </c>
      <c r="C7" t="s">
        <v>286</v>
      </c>
      <c r="D7" t="s">
        <v>6</v>
      </c>
      <c r="E7">
        <v>20</v>
      </c>
      <c r="F7">
        <v>2</v>
      </c>
      <c r="G7" t="s">
        <v>288</v>
      </c>
      <c r="H7" t="b">
        <v>1</v>
      </c>
      <c r="J7" t="s">
        <v>289</v>
      </c>
      <c r="K7" s="27">
        <v>43318.623608136571</v>
      </c>
      <c r="M7" t="b">
        <v>1</v>
      </c>
    </row>
    <row r="8" spans="1:13" x14ac:dyDescent="0.25">
      <c r="A8">
        <v>8</v>
      </c>
      <c r="B8" s="26">
        <v>2913</v>
      </c>
      <c r="C8" t="s">
        <v>286</v>
      </c>
      <c r="D8" t="s">
        <v>7</v>
      </c>
      <c r="E8">
        <v>20</v>
      </c>
      <c r="F8">
        <v>2</v>
      </c>
      <c r="G8" t="s">
        <v>288</v>
      </c>
      <c r="H8" t="b">
        <v>1</v>
      </c>
      <c r="J8" t="s">
        <v>289</v>
      </c>
      <c r="K8" s="27">
        <v>43318.623608136571</v>
      </c>
      <c r="M8" t="b">
        <v>1</v>
      </c>
    </row>
    <row r="9" spans="1:13" x14ac:dyDescent="0.25">
      <c r="A9">
        <v>9</v>
      </c>
      <c r="B9" s="26">
        <v>2914</v>
      </c>
      <c r="C9" t="s">
        <v>286</v>
      </c>
      <c r="D9" t="s">
        <v>8</v>
      </c>
      <c r="E9">
        <v>20</v>
      </c>
      <c r="F9">
        <v>2</v>
      </c>
      <c r="G9" t="s">
        <v>288</v>
      </c>
      <c r="H9" t="b">
        <v>1</v>
      </c>
      <c r="J9" t="s">
        <v>289</v>
      </c>
      <c r="K9" s="27">
        <v>43318.623608136571</v>
      </c>
      <c r="M9" t="b">
        <v>1</v>
      </c>
    </row>
    <row r="10" spans="1:13" x14ac:dyDescent="0.25">
      <c r="A10">
        <v>10</v>
      </c>
      <c r="B10" s="26">
        <v>2927</v>
      </c>
      <c r="C10" t="s">
        <v>286</v>
      </c>
      <c r="D10" t="s">
        <v>9</v>
      </c>
      <c r="E10">
        <v>20</v>
      </c>
      <c r="F10">
        <v>2</v>
      </c>
      <c r="G10" t="s">
        <v>288</v>
      </c>
      <c r="H10" t="b">
        <v>1</v>
      </c>
      <c r="J10" t="s">
        <v>289</v>
      </c>
      <c r="K10" s="27">
        <v>43318.623608136571</v>
      </c>
      <c r="M10" t="b">
        <v>1</v>
      </c>
    </row>
    <row r="11" spans="1:13" x14ac:dyDescent="0.25">
      <c r="A11">
        <v>11</v>
      </c>
      <c r="B11" s="26">
        <v>2699</v>
      </c>
      <c r="C11" t="s">
        <v>286</v>
      </c>
      <c r="D11" t="s">
        <v>10</v>
      </c>
      <c r="E11">
        <v>20</v>
      </c>
      <c r="F11">
        <v>2</v>
      </c>
      <c r="G11" t="s">
        <v>288</v>
      </c>
      <c r="H11" t="b">
        <v>1</v>
      </c>
      <c r="J11" t="s">
        <v>289</v>
      </c>
      <c r="K11" s="27">
        <v>43318.623608136571</v>
      </c>
      <c r="M11" t="b">
        <v>1</v>
      </c>
    </row>
    <row r="12" spans="1:13" x14ac:dyDescent="0.25">
      <c r="A12">
        <v>12</v>
      </c>
      <c r="B12" s="26">
        <v>3002</v>
      </c>
      <c r="C12" t="s">
        <v>286</v>
      </c>
      <c r="D12" t="s">
        <v>11</v>
      </c>
      <c r="E12">
        <v>20</v>
      </c>
      <c r="F12">
        <v>2</v>
      </c>
      <c r="G12" t="s">
        <v>288</v>
      </c>
      <c r="H12" t="b">
        <v>1</v>
      </c>
      <c r="J12" t="s">
        <v>289</v>
      </c>
      <c r="K12" s="27">
        <v>43318.623608136571</v>
      </c>
      <c r="M12" t="b">
        <v>1</v>
      </c>
    </row>
    <row r="13" spans="1:13" x14ac:dyDescent="0.25">
      <c r="A13">
        <v>13</v>
      </c>
      <c r="B13" s="26">
        <v>3004</v>
      </c>
      <c r="C13" t="s">
        <v>286</v>
      </c>
      <c r="D13" t="s">
        <v>12</v>
      </c>
      <c r="E13">
        <v>20</v>
      </c>
      <c r="F13">
        <v>2</v>
      </c>
      <c r="G13" t="s">
        <v>288</v>
      </c>
      <c r="H13" t="b">
        <v>1</v>
      </c>
      <c r="J13" t="s">
        <v>289</v>
      </c>
      <c r="K13" s="27">
        <v>43318.623608136571</v>
      </c>
      <c r="M13" t="b">
        <v>1</v>
      </c>
    </row>
    <row r="14" spans="1:13" x14ac:dyDescent="0.25">
      <c r="A14">
        <v>14</v>
      </c>
      <c r="B14" s="26">
        <v>3006</v>
      </c>
      <c r="C14" t="s">
        <v>286</v>
      </c>
      <c r="D14" t="s">
        <v>13</v>
      </c>
      <c r="E14">
        <v>20</v>
      </c>
      <c r="F14">
        <v>2</v>
      </c>
      <c r="G14" t="s">
        <v>288</v>
      </c>
      <c r="H14" t="b">
        <v>1</v>
      </c>
      <c r="J14" t="s">
        <v>289</v>
      </c>
      <c r="K14" s="27">
        <v>43318.623608136571</v>
      </c>
      <c r="M14" t="b">
        <v>1</v>
      </c>
    </row>
    <row r="15" spans="1:13" x14ac:dyDescent="0.25">
      <c r="A15">
        <v>15</v>
      </c>
      <c r="B15" s="26">
        <v>3003</v>
      </c>
      <c r="C15" t="s">
        <v>286</v>
      </c>
      <c r="D15" t="s">
        <v>14</v>
      </c>
      <c r="E15">
        <v>20</v>
      </c>
      <c r="F15">
        <v>2</v>
      </c>
      <c r="G15" t="s">
        <v>288</v>
      </c>
      <c r="H15" t="b">
        <v>1</v>
      </c>
      <c r="J15" t="s">
        <v>289</v>
      </c>
      <c r="K15" s="27">
        <v>43318.623608136571</v>
      </c>
      <c r="M15" t="b">
        <v>1</v>
      </c>
    </row>
    <row r="16" spans="1:13" x14ac:dyDescent="0.25">
      <c r="A16">
        <v>16</v>
      </c>
      <c r="B16" s="26">
        <v>5690</v>
      </c>
      <c r="C16" t="s">
        <v>286</v>
      </c>
      <c r="D16" t="s">
        <v>15</v>
      </c>
      <c r="E16">
        <v>20</v>
      </c>
      <c r="F16">
        <v>2</v>
      </c>
      <c r="G16" t="s">
        <v>288</v>
      </c>
      <c r="H16" t="b">
        <v>1</v>
      </c>
      <c r="J16" t="s">
        <v>289</v>
      </c>
      <c r="K16" s="27">
        <v>43318.623608136571</v>
      </c>
      <c r="M16" t="b">
        <v>1</v>
      </c>
    </row>
    <row r="17" spans="1:13" x14ac:dyDescent="0.25">
      <c r="A17">
        <v>17</v>
      </c>
      <c r="B17" s="26">
        <v>5691</v>
      </c>
      <c r="C17" t="s">
        <v>286</v>
      </c>
      <c r="D17" t="s">
        <v>16</v>
      </c>
      <c r="E17">
        <v>20</v>
      </c>
      <c r="F17">
        <v>2</v>
      </c>
      <c r="G17" t="s">
        <v>288</v>
      </c>
      <c r="H17" t="b">
        <v>1</v>
      </c>
      <c r="J17" t="s">
        <v>289</v>
      </c>
      <c r="K17" s="27">
        <v>43318.623608136571</v>
      </c>
      <c r="M17" t="b">
        <v>1</v>
      </c>
    </row>
    <row r="18" spans="1:13" x14ac:dyDescent="0.25">
      <c r="A18">
        <v>18</v>
      </c>
      <c r="B18" s="26">
        <v>5692</v>
      </c>
      <c r="C18" t="s">
        <v>286</v>
      </c>
      <c r="D18" t="s">
        <v>17</v>
      </c>
      <c r="E18">
        <v>20</v>
      </c>
      <c r="F18">
        <v>2</v>
      </c>
      <c r="G18" t="s">
        <v>288</v>
      </c>
      <c r="H18" t="b">
        <v>1</v>
      </c>
      <c r="J18" t="s">
        <v>289</v>
      </c>
      <c r="K18" s="27">
        <v>43318.623608136571</v>
      </c>
      <c r="M18" t="b">
        <v>1</v>
      </c>
    </row>
    <row r="19" spans="1:13" x14ac:dyDescent="0.25">
      <c r="A19">
        <v>19</v>
      </c>
      <c r="B19" s="26">
        <v>5927</v>
      </c>
      <c r="C19" t="s">
        <v>286</v>
      </c>
      <c r="D19" t="s">
        <v>18</v>
      </c>
      <c r="E19">
        <v>20</v>
      </c>
      <c r="F19">
        <v>2</v>
      </c>
      <c r="G19" t="s">
        <v>288</v>
      </c>
      <c r="H19" t="b">
        <v>1</v>
      </c>
      <c r="J19" t="s">
        <v>289</v>
      </c>
      <c r="K19" s="27">
        <v>43318.623608136571</v>
      </c>
      <c r="M19" t="b">
        <v>1</v>
      </c>
    </row>
    <row r="20" spans="1:13" x14ac:dyDescent="0.25">
      <c r="A20">
        <v>20</v>
      </c>
      <c r="B20" s="26">
        <v>5928</v>
      </c>
      <c r="C20" t="s">
        <v>286</v>
      </c>
      <c r="D20" t="s">
        <v>19</v>
      </c>
      <c r="E20">
        <v>20</v>
      </c>
      <c r="F20">
        <v>2</v>
      </c>
      <c r="G20" t="s">
        <v>288</v>
      </c>
      <c r="H20" t="b">
        <v>1</v>
      </c>
      <c r="J20" t="s">
        <v>289</v>
      </c>
      <c r="K20" s="27">
        <v>43318.623608136571</v>
      </c>
      <c r="M20" t="b">
        <v>1</v>
      </c>
    </row>
    <row r="21" spans="1:13" x14ac:dyDescent="0.25">
      <c r="A21">
        <v>21</v>
      </c>
      <c r="B21" s="26">
        <v>5929</v>
      </c>
      <c r="C21" t="s">
        <v>286</v>
      </c>
      <c r="D21" t="s">
        <v>20</v>
      </c>
      <c r="E21">
        <v>20</v>
      </c>
      <c r="F21">
        <v>2</v>
      </c>
      <c r="G21" t="s">
        <v>288</v>
      </c>
      <c r="H21" t="b">
        <v>1</v>
      </c>
      <c r="J21" t="s">
        <v>289</v>
      </c>
      <c r="K21" s="27">
        <v>43318.623608136571</v>
      </c>
      <c r="M21" t="b">
        <v>1</v>
      </c>
    </row>
    <row r="22" spans="1:13" x14ac:dyDescent="0.25">
      <c r="A22">
        <v>22</v>
      </c>
      <c r="B22" s="26">
        <v>8041</v>
      </c>
      <c r="C22" t="s">
        <v>286</v>
      </c>
      <c r="D22" t="s">
        <v>22</v>
      </c>
      <c r="E22">
        <v>20</v>
      </c>
      <c r="F22">
        <v>2</v>
      </c>
      <c r="G22" t="s">
        <v>288</v>
      </c>
      <c r="H22" t="b">
        <v>1</v>
      </c>
      <c r="J22" t="s">
        <v>289</v>
      </c>
      <c r="K22" s="27">
        <v>43318.623608136571</v>
      </c>
      <c r="M22" t="b">
        <v>1</v>
      </c>
    </row>
    <row r="23" spans="1:13" x14ac:dyDescent="0.25">
      <c r="A23">
        <v>23</v>
      </c>
      <c r="B23" s="26">
        <v>1475</v>
      </c>
      <c r="C23" t="s">
        <v>286</v>
      </c>
      <c r="D23" t="s">
        <v>23</v>
      </c>
      <c r="E23">
        <v>20</v>
      </c>
      <c r="F23">
        <v>2</v>
      </c>
      <c r="G23" t="s">
        <v>288</v>
      </c>
      <c r="H23" t="b">
        <v>1</v>
      </c>
      <c r="J23" t="s">
        <v>289</v>
      </c>
      <c r="K23" s="27">
        <v>43318.623608136571</v>
      </c>
      <c r="M23" t="b">
        <v>1</v>
      </c>
    </row>
    <row r="24" spans="1:13" x14ac:dyDescent="0.25">
      <c r="A24">
        <v>24</v>
      </c>
      <c r="B24" s="26">
        <v>6076</v>
      </c>
      <c r="C24" t="s">
        <v>286</v>
      </c>
      <c r="D24" t="s">
        <v>25</v>
      </c>
      <c r="E24">
        <v>20</v>
      </c>
      <c r="F24">
        <v>2</v>
      </c>
      <c r="G24" t="s">
        <v>288</v>
      </c>
      <c r="H24" t="b">
        <v>1</v>
      </c>
      <c r="J24" t="s">
        <v>289</v>
      </c>
      <c r="K24" s="27">
        <v>43318.623608136571</v>
      </c>
      <c r="M24" t="b">
        <v>1</v>
      </c>
    </row>
    <row r="25" spans="1:13" x14ac:dyDescent="0.25">
      <c r="A25">
        <v>25</v>
      </c>
      <c r="B25" s="26">
        <v>6080</v>
      </c>
      <c r="C25" t="s">
        <v>286</v>
      </c>
      <c r="D25" t="s">
        <v>51</v>
      </c>
      <c r="E25">
        <v>20</v>
      </c>
      <c r="F25">
        <v>2</v>
      </c>
      <c r="G25" t="s">
        <v>288</v>
      </c>
      <c r="H25" t="b">
        <v>1</v>
      </c>
      <c r="J25" t="s">
        <v>289</v>
      </c>
      <c r="K25" s="27">
        <v>43318.623608136571</v>
      </c>
      <c r="M25" t="b">
        <v>1</v>
      </c>
    </row>
    <row r="26" spans="1:13" x14ac:dyDescent="0.25">
      <c r="A26">
        <v>26</v>
      </c>
      <c r="B26" s="26">
        <v>6078</v>
      </c>
      <c r="C26" t="s">
        <v>286</v>
      </c>
      <c r="D26" t="s">
        <v>53</v>
      </c>
      <c r="E26">
        <v>20</v>
      </c>
      <c r="F26">
        <v>2</v>
      </c>
      <c r="G26" t="s">
        <v>288</v>
      </c>
      <c r="H26" t="b">
        <v>1</v>
      </c>
      <c r="J26" t="s">
        <v>289</v>
      </c>
      <c r="K26" s="27">
        <v>43318.623608136571</v>
      </c>
      <c r="M26" t="b">
        <v>1</v>
      </c>
    </row>
    <row r="27" spans="1:13" x14ac:dyDescent="0.25">
      <c r="A27">
        <v>27</v>
      </c>
      <c r="B27" s="26">
        <v>6079</v>
      </c>
      <c r="C27" t="s">
        <v>286</v>
      </c>
      <c r="D27" t="s">
        <v>52</v>
      </c>
      <c r="E27">
        <v>20</v>
      </c>
      <c r="F27">
        <v>2</v>
      </c>
      <c r="G27" t="s">
        <v>288</v>
      </c>
      <c r="H27" t="b">
        <v>1</v>
      </c>
      <c r="J27" t="s">
        <v>289</v>
      </c>
      <c r="K27" s="27">
        <v>43318.623608136571</v>
      </c>
      <c r="M2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Managr or Sales Manager</vt:lpstr>
      <vt:lpstr>Sales Engineer or Representativ</vt:lpstr>
      <vt:lpstr>ASE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Azhar</dc:creator>
  <cp:lastModifiedBy>RND03</cp:lastModifiedBy>
  <dcterms:created xsi:type="dcterms:W3CDTF">2022-02-20T09:38:16Z</dcterms:created>
  <dcterms:modified xsi:type="dcterms:W3CDTF">2022-08-14T10:15:18Z</dcterms:modified>
</cp:coreProperties>
</file>