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My Documents\Work of Web\SMS\SMS_Data\"/>
    </mc:Choice>
  </mc:AlternateContent>
  <bookViews>
    <workbookView xWindow="0" yWindow="0" windowWidth="20490" windowHeight="7905" tabRatio="864" firstSheet="1" activeTab="5"/>
  </bookViews>
  <sheets>
    <sheet name="ASE Target (Spares), FY 21-22" sheetId="2" r:id="rId1"/>
    <sheet name="Sheet1" sheetId="16" r:id="rId2"/>
    <sheet name="Upload" sheetId="17" r:id="rId3"/>
    <sheet name="ASE Target vs Ach(Spares)(Inpt)" sheetId="9" r:id="rId4"/>
    <sheet name="ASE Ach(Lube Oil Sales)" sheetId="14" r:id="rId5"/>
    <sheet name="ASE Ach (Service)(Input)" sheetId="11" r:id="rId6"/>
    <sheet name="ASE Ach (CSA)(Input)" sheetId="13" r:id="rId7"/>
    <sheet name="Monthly Summary (No Input)" sheetId="3" r:id="rId8"/>
    <sheet name="Monthly Summary (Printable)" sheetId="15" r:id="rId9"/>
    <sheet name="Condition" sheetId="8" r:id="rId10"/>
  </sheets>
  <externalReferences>
    <externalReference r:id="rId11"/>
  </externalReferences>
  <definedNames>
    <definedName name="_xlnm._FilterDatabase" localSheetId="6" hidden="1">'ASE Ach (CSA)(Input)'!$B$4:$AE$36</definedName>
    <definedName name="list4">'[1]list of incentive '!$E$3:$E$20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6" l="1"/>
  <c r="G1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3" i="16"/>
  <c r="BE53" i="11" l="1"/>
  <c r="BG53" i="11"/>
  <c r="BF53" i="11"/>
  <c r="F7" i="11" l="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6" i="11" l="1"/>
  <c r="G7" i="2" l="1"/>
  <c r="G8" i="2"/>
  <c r="D2" i="3" l="1"/>
  <c r="E2" i="9"/>
  <c r="D2" i="2" s="1"/>
  <c r="D2" i="13"/>
  <c r="H39" i="2"/>
  <c r="I39" i="2"/>
  <c r="J39" i="2"/>
  <c r="K39" i="2"/>
  <c r="L39" i="2"/>
  <c r="M39" i="2"/>
  <c r="N39" i="2"/>
  <c r="O39" i="2"/>
  <c r="P39" i="2"/>
  <c r="Q39" i="2"/>
  <c r="R39" i="2"/>
  <c r="S39" i="2"/>
  <c r="G39" i="2"/>
  <c r="C2" i="3"/>
  <c r="H69" i="2"/>
  <c r="I69" i="2"/>
  <c r="J69" i="2"/>
  <c r="K69" i="2"/>
  <c r="L69" i="2"/>
  <c r="M69" i="2"/>
  <c r="N69" i="2"/>
  <c r="O69" i="2"/>
  <c r="P69" i="2"/>
  <c r="Q69" i="2"/>
  <c r="R69" i="2"/>
  <c r="S69" i="2"/>
  <c r="H43" i="2"/>
  <c r="I43" i="2"/>
  <c r="J43" i="2"/>
  <c r="K43" i="2"/>
  <c r="L43" i="2"/>
  <c r="M43" i="2"/>
  <c r="N43" i="2"/>
  <c r="O43" i="2"/>
  <c r="P43" i="2"/>
  <c r="Q43" i="2"/>
  <c r="R43" i="2"/>
  <c r="S43" i="2"/>
  <c r="H44" i="2"/>
  <c r="I44" i="2"/>
  <c r="J44" i="2"/>
  <c r="K44" i="2"/>
  <c r="L44" i="2"/>
  <c r="M44" i="2"/>
  <c r="N44" i="2"/>
  <c r="O44" i="2"/>
  <c r="P44" i="2"/>
  <c r="Q44" i="2"/>
  <c r="R44" i="2"/>
  <c r="S44" i="2"/>
  <c r="H45" i="2"/>
  <c r="I45" i="2"/>
  <c r="J45" i="2"/>
  <c r="K45" i="2"/>
  <c r="L45" i="2"/>
  <c r="M45" i="2"/>
  <c r="N45" i="2"/>
  <c r="O45" i="2"/>
  <c r="P45" i="2"/>
  <c r="Q45" i="2"/>
  <c r="R45" i="2"/>
  <c r="S45" i="2"/>
  <c r="H46" i="2"/>
  <c r="I46" i="2"/>
  <c r="J46" i="2"/>
  <c r="K46" i="2"/>
  <c r="L46" i="2"/>
  <c r="M46" i="2"/>
  <c r="N46" i="2"/>
  <c r="O46" i="2"/>
  <c r="P46" i="2"/>
  <c r="Q46" i="2"/>
  <c r="R46" i="2"/>
  <c r="S46" i="2"/>
  <c r="H47" i="2"/>
  <c r="I47" i="2"/>
  <c r="J47" i="2"/>
  <c r="K47" i="2"/>
  <c r="L47" i="2"/>
  <c r="M47" i="2"/>
  <c r="N47" i="2"/>
  <c r="O47" i="2"/>
  <c r="P47" i="2"/>
  <c r="Q47" i="2"/>
  <c r="R47" i="2"/>
  <c r="S47" i="2"/>
  <c r="H48" i="2"/>
  <c r="I48" i="2"/>
  <c r="J48" i="2"/>
  <c r="K48" i="2"/>
  <c r="L48" i="2"/>
  <c r="M48" i="2"/>
  <c r="N48" i="2"/>
  <c r="O48" i="2"/>
  <c r="P48" i="2"/>
  <c r="Q48" i="2"/>
  <c r="R48" i="2"/>
  <c r="S48" i="2"/>
  <c r="H49" i="2"/>
  <c r="I49" i="2"/>
  <c r="J49" i="2"/>
  <c r="K49" i="2"/>
  <c r="L49" i="2"/>
  <c r="M49" i="2"/>
  <c r="N49" i="2"/>
  <c r="O49" i="2"/>
  <c r="P49" i="2"/>
  <c r="Q49" i="2"/>
  <c r="R49" i="2"/>
  <c r="S49" i="2"/>
  <c r="H50" i="2"/>
  <c r="I50" i="2"/>
  <c r="J50" i="2"/>
  <c r="K50" i="2"/>
  <c r="L50" i="2"/>
  <c r="M50" i="2"/>
  <c r="N50" i="2"/>
  <c r="O50" i="2"/>
  <c r="P50" i="2"/>
  <c r="Q50" i="2"/>
  <c r="R50" i="2"/>
  <c r="S50" i="2"/>
  <c r="H51" i="2"/>
  <c r="I51" i="2"/>
  <c r="J51" i="2"/>
  <c r="K51" i="2"/>
  <c r="L51" i="2"/>
  <c r="M51" i="2"/>
  <c r="N51" i="2"/>
  <c r="O51" i="2"/>
  <c r="P51" i="2"/>
  <c r="Q51" i="2"/>
  <c r="R51" i="2"/>
  <c r="S51" i="2"/>
  <c r="H52" i="2"/>
  <c r="I52" i="2"/>
  <c r="J52" i="2"/>
  <c r="K52" i="2"/>
  <c r="L52" i="2"/>
  <c r="M52" i="2"/>
  <c r="N52" i="2"/>
  <c r="O52" i="2"/>
  <c r="P52" i="2"/>
  <c r="Q52" i="2"/>
  <c r="R52" i="2"/>
  <c r="S52" i="2"/>
  <c r="H53" i="2"/>
  <c r="I53" i="2"/>
  <c r="J53" i="2"/>
  <c r="K53" i="2"/>
  <c r="L53" i="2"/>
  <c r="M53" i="2"/>
  <c r="N53" i="2"/>
  <c r="O53" i="2"/>
  <c r="P53" i="2"/>
  <c r="Q53" i="2"/>
  <c r="R53" i="2"/>
  <c r="S53" i="2"/>
  <c r="H54" i="2"/>
  <c r="I54" i="2"/>
  <c r="J54" i="2"/>
  <c r="K54" i="2"/>
  <c r="L54" i="2"/>
  <c r="M54" i="2"/>
  <c r="N54" i="2"/>
  <c r="O54" i="2"/>
  <c r="P54" i="2"/>
  <c r="Q54" i="2"/>
  <c r="R54" i="2"/>
  <c r="S54" i="2"/>
  <c r="H55" i="2"/>
  <c r="I55" i="2"/>
  <c r="J55" i="2"/>
  <c r="K55" i="2"/>
  <c r="L55" i="2"/>
  <c r="M55" i="2"/>
  <c r="N55" i="2"/>
  <c r="O55" i="2"/>
  <c r="P55" i="2"/>
  <c r="Q55" i="2"/>
  <c r="R55" i="2"/>
  <c r="S55" i="2"/>
  <c r="H56" i="2"/>
  <c r="I56" i="2"/>
  <c r="J56" i="2"/>
  <c r="K56" i="2"/>
  <c r="L56" i="2"/>
  <c r="M56" i="2"/>
  <c r="N56" i="2"/>
  <c r="O56" i="2"/>
  <c r="P56" i="2"/>
  <c r="Q56" i="2"/>
  <c r="R56" i="2"/>
  <c r="S56" i="2"/>
  <c r="H57" i="2"/>
  <c r="I57" i="2"/>
  <c r="J57" i="2"/>
  <c r="K57" i="2"/>
  <c r="L57" i="2"/>
  <c r="M57" i="2"/>
  <c r="N57" i="2"/>
  <c r="O57" i="2"/>
  <c r="P57" i="2"/>
  <c r="Q57" i="2"/>
  <c r="R57" i="2"/>
  <c r="S57" i="2"/>
  <c r="H58" i="2"/>
  <c r="I58" i="2"/>
  <c r="J58" i="2"/>
  <c r="K58" i="2"/>
  <c r="L58" i="2"/>
  <c r="M58" i="2"/>
  <c r="N58" i="2"/>
  <c r="O58" i="2"/>
  <c r="P58" i="2"/>
  <c r="Q58" i="2"/>
  <c r="R58" i="2"/>
  <c r="S58" i="2"/>
  <c r="H59" i="2"/>
  <c r="I59" i="2"/>
  <c r="J59" i="2"/>
  <c r="K59" i="2"/>
  <c r="L59" i="2"/>
  <c r="M59" i="2"/>
  <c r="N59" i="2"/>
  <c r="O59" i="2"/>
  <c r="P59" i="2"/>
  <c r="Q59" i="2"/>
  <c r="R59" i="2"/>
  <c r="S59" i="2"/>
  <c r="H60" i="2"/>
  <c r="I60" i="2"/>
  <c r="J60" i="2"/>
  <c r="K60" i="2"/>
  <c r="L60" i="2"/>
  <c r="M60" i="2"/>
  <c r="N60" i="2"/>
  <c r="O60" i="2"/>
  <c r="P60" i="2"/>
  <c r="Q60" i="2"/>
  <c r="R60" i="2"/>
  <c r="S60" i="2"/>
  <c r="H61" i="2"/>
  <c r="I61" i="2"/>
  <c r="J61" i="2"/>
  <c r="K61" i="2"/>
  <c r="L61" i="2"/>
  <c r="M61" i="2"/>
  <c r="N61" i="2"/>
  <c r="O61" i="2"/>
  <c r="P61" i="2"/>
  <c r="Q61" i="2"/>
  <c r="R61" i="2"/>
  <c r="S61" i="2"/>
  <c r="H62" i="2"/>
  <c r="I62" i="2"/>
  <c r="J62" i="2"/>
  <c r="K62" i="2"/>
  <c r="L62" i="2"/>
  <c r="M62" i="2"/>
  <c r="N62" i="2"/>
  <c r="O62" i="2"/>
  <c r="P62" i="2"/>
  <c r="Q62" i="2"/>
  <c r="R62" i="2"/>
  <c r="S62" i="2"/>
  <c r="H63" i="2"/>
  <c r="I63" i="2"/>
  <c r="J63" i="2"/>
  <c r="K63" i="2"/>
  <c r="L63" i="2"/>
  <c r="M63" i="2"/>
  <c r="N63" i="2"/>
  <c r="O63" i="2"/>
  <c r="P63" i="2"/>
  <c r="Q63" i="2"/>
  <c r="R63" i="2"/>
  <c r="S63" i="2"/>
  <c r="H64" i="2"/>
  <c r="I64" i="2"/>
  <c r="J64" i="2"/>
  <c r="K64" i="2"/>
  <c r="L64" i="2"/>
  <c r="M64" i="2"/>
  <c r="N64" i="2"/>
  <c r="O64" i="2"/>
  <c r="P64" i="2"/>
  <c r="Q64" i="2"/>
  <c r="R64" i="2"/>
  <c r="S64" i="2"/>
  <c r="H65" i="2"/>
  <c r="I65" i="2"/>
  <c r="J65" i="2"/>
  <c r="K65" i="2"/>
  <c r="L65" i="2"/>
  <c r="M65" i="2"/>
  <c r="N65" i="2"/>
  <c r="O65" i="2"/>
  <c r="P65" i="2"/>
  <c r="Q65" i="2"/>
  <c r="R65" i="2"/>
  <c r="S65" i="2"/>
  <c r="H66" i="2"/>
  <c r="I66" i="2"/>
  <c r="J66" i="2"/>
  <c r="K66" i="2"/>
  <c r="L66" i="2"/>
  <c r="M66" i="2"/>
  <c r="N66" i="2"/>
  <c r="O66" i="2"/>
  <c r="P66" i="2"/>
  <c r="Q66" i="2"/>
  <c r="R66" i="2"/>
  <c r="S66" i="2"/>
  <c r="H67" i="2"/>
  <c r="I67" i="2"/>
  <c r="J67" i="2"/>
  <c r="K67" i="2"/>
  <c r="L67" i="2"/>
  <c r="M67" i="2"/>
  <c r="N67" i="2"/>
  <c r="O67" i="2"/>
  <c r="P67" i="2"/>
  <c r="Q67" i="2"/>
  <c r="R67" i="2"/>
  <c r="S67" i="2"/>
  <c r="H68" i="2"/>
  <c r="I68" i="2"/>
  <c r="J68" i="2"/>
  <c r="K68" i="2"/>
  <c r="L68" i="2"/>
  <c r="M68" i="2"/>
  <c r="N68" i="2"/>
  <c r="O68" i="2"/>
  <c r="P68" i="2"/>
  <c r="Q68" i="2"/>
  <c r="R68" i="2"/>
  <c r="S68" i="2"/>
  <c r="D13" i="15"/>
  <c r="D25" i="15"/>
  <c r="C9" i="3"/>
  <c r="C7" i="15" s="1"/>
  <c r="C10" i="3"/>
  <c r="C8" i="15" s="1"/>
  <c r="C11" i="3"/>
  <c r="C9" i="15" s="1"/>
  <c r="C12" i="3"/>
  <c r="C10" i="15" s="1"/>
  <c r="C13" i="3"/>
  <c r="C11" i="15" s="1"/>
  <c r="C14" i="3"/>
  <c r="C12" i="15" s="1"/>
  <c r="C15" i="3"/>
  <c r="C13" i="15" s="1"/>
  <c r="C16" i="3"/>
  <c r="C14" i="15" s="1"/>
  <c r="C17" i="3"/>
  <c r="C15" i="15" s="1"/>
  <c r="C18" i="3"/>
  <c r="C16" i="15" s="1"/>
  <c r="C19" i="3"/>
  <c r="C17" i="15" s="1"/>
  <c r="C20" i="3"/>
  <c r="C18" i="15" s="1"/>
  <c r="C21" i="3"/>
  <c r="C19" i="15" s="1"/>
  <c r="C22" i="3"/>
  <c r="C20" i="15" s="1"/>
  <c r="C23" i="3"/>
  <c r="C21" i="15" s="1"/>
  <c r="C24" i="3"/>
  <c r="C22" i="15" s="1"/>
  <c r="C25" i="3"/>
  <c r="C23" i="15" s="1"/>
  <c r="C26" i="3"/>
  <c r="C24" i="15" s="1"/>
  <c r="C27" i="3"/>
  <c r="C25" i="15" s="1"/>
  <c r="C28" i="3"/>
  <c r="C26" i="15" s="1"/>
  <c r="C29" i="3"/>
  <c r="C27" i="15" s="1"/>
  <c r="C30" i="3"/>
  <c r="C28" i="15" s="1"/>
  <c r="C31" i="3"/>
  <c r="C29" i="15" s="1"/>
  <c r="C32" i="3"/>
  <c r="C30" i="15" s="1"/>
  <c r="C33" i="3"/>
  <c r="C31" i="15" s="1"/>
  <c r="C34" i="3"/>
  <c r="C32" i="15" s="1"/>
  <c r="C35" i="3"/>
  <c r="C33" i="15" s="1"/>
  <c r="C36" i="3"/>
  <c r="C34" i="15" s="1"/>
  <c r="C8" i="3"/>
  <c r="B9" i="3"/>
  <c r="B7" i="15" s="1"/>
  <c r="D9" i="3"/>
  <c r="D7" i="15" s="1"/>
  <c r="E9" i="3"/>
  <c r="B10" i="3"/>
  <c r="B8" i="15" s="1"/>
  <c r="D10" i="3"/>
  <c r="D8" i="15" s="1"/>
  <c r="E10" i="3"/>
  <c r="B11" i="3"/>
  <c r="B9" i="15" s="1"/>
  <c r="D11" i="3"/>
  <c r="D9" i="15" s="1"/>
  <c r="E11" i="3"/>
  <c r="E9" i="15" s="1"/>
  <c r="B12" i="3"/>
  <c r="B10" i="15" s="1"/>
  <c r="D12" i="3"/>
  <c r="D10" i="15" s="1"/>
  <c r="E12" i="3"/>
  <c r="E10" i="15" s="1"/>
  <c r="B13" i="3"/>
  <c r="B11" i="15" s="1"/>
  <c r="D13" i="3"/>
  <c r="D11" i="15" s="1"/>
  <c r="E13" i="3"/>
  <c r="E11" i="15" s="1"/>
  <c r="B14" i="3"/>
  <c r="B12" i="15" s="1"/>
  <c r="D14" i="3"/>
  <c r="D12" i="15" s="1"/>
  <c r="E14" i="3"/>
  <c r="E12" i="15" s="1"/>
  <c r="B15" i="3"/>
  <c r="B13" i="15" s="1"/>
  <c r="D15" i="3"/>
  <c r="E15" i="3"/>
  <c r="B16" i="3"/>
  <c r="B14" i="15" s="1"/>
  <c r="D16" i="3"/>
  <c r="D14" i="15" s="1"/>
  <c r="E16" i="3"/>
  <c r="B17" i="3"/>
  <c r="B15" i="15" s="1"/>
  <c r="D17" i="3"/>
  <c r="D15" i="15" s="1"/>
  <c r="E17" i="3"/>
  <c r="B18" i="3"/>
  <c r="B16" i="15" s="1"/>
  <c r="D18" i="3"/>
  <c r="D16" i="15" s="1"/>
  <c r="E18" i="3"/>
  <c r="B19" i="3"/>
  <c r="B17" i="15" s="1"/>
  <c r="D19" i="3"/>
  <c r="D17" i="15" s="1"/>
  <c r="E19" i="3"/>
  <c r="B20" i="3"/>
  <c r="B18" i="15" s="1"/>
  <c r="D20" i="3"/>
  <c r="D18" i="15" s="1"/>
  <c r="E20" i="3"/>
  <c r="B21" i="3"/>
  <c r="B19" i="15" s="1"/>
  <c r="D21" i="3"/>
  <c r="D19" i="15" s="1"/>
  <c r="E21" i="3"/>
  <c r="B22" i="3"/>
  <c r="B20" i="15" s="1"/>
  <c r="D22" i="3"/>
  <c r="D20" i="15" s="1"/>
  <c r="E22" i="3"/>
  <c r="B23" i="3"/>
  <c r="B21" i="15" s="1"/>
  <c r="D23" i="3"/>
  <c r="D21" i="15" s="1"/>
  <c r="E23" i="3"/>
  <c r="B24" i="3"/>
  <c r="B22" i="15" s="1"/>
  <c r="D24" i="3"/>
  <c r="D22" i="15" s="1"/>
  <c r="E24" i="3"/>
  <c r="B25" i="3"/>
  <c r="B23" i="15" s="1"/>
  <c r="D25" i="3"/>
  <c r="D23" i="15" s="1"/>
  <c r="E25" i="3"/>
  <c r="E23" i="15" s="1"/>
  <c r="B26" i="3"/>
  <c r="B24" i="15" s="1"/>
  <c r="D26" i="3"/>
  <c r="D24" i="15" s="1"/>
  <c r="E26" i="3"/>
  <c r="E24" i="15" s="1"/>
  <c r="B27" i="3"/>
  <c r="B25" i="15" s="1"/>
  <c r="D27" i="3"/>
  <c r="E27" i="3"/>
  <c r="E25" i="15" s="1"/>
  <c r="B28" i="3"/>
  <c r="B26" i="15" s="1"/>
  <c r="D28" i="3"/>
  <c r="E28" i="3"/>
  <c r="E26" i="15" s="1"/>
  <c r="B29" i="3"/>
  <c r="B27" i="15" s="1"/>
  <c r="D29" i="3"/>
  <c r="D27" i="15" s="1"/>
  <c r="E29" i="3"/>
  <c r="E27" i="15" s="1"/>
  <c r="B30" i="3"/>
  <c r="B28" i="15" s="1"/>
  <c r="D30" i="3"/>
  <c r="D28" i="15" s="1"/>
  <c r="E30" i="3"/>
  <c r="E28" i="15" s="1"/>
  <c r="B31" i="3"/>
  <c r="B29" i="15" s="1"/>
  <c r="D31" i="3"/>
  <c r="D29" i="15" s="1"/>
  <c r="E31" i="3"/>
  <c r="E29" i="15" s="1"/>
  <c r="B32" i="3"/>
  <c r="B30" i="15" s="1"/>
  <c r="D32" i="3"/>
  <c r="D30" i="15" s="1"/>
  <c r="E32" i="3"/>
  <c r="B33" i="3"/>
  <c r="B31" i="15" s="1"/>
  <c r="D33" i="3"/>
  <c r="D31" i="15" s="1"/>
  <c r="E33" i="3"/>
  <c r="E31" i="15" s="1"/>
  <c r="B34" i="3"/>
  <c r="B32" i="15" s="1"/>
  <c r="D34" i="3"/>
  <c r="D32" i="15" s="1"/>
  <c r="E34" i="3"/>
  <c r="B35" i="3"/>
  <c r="B33" i="15" s="1"/>
  <c r="D35" i="3"/>
  <c r="D33" i="15" s="1"/>
  <c r="E35" i="3"/>
  <c r="E33" i="15" s="1"/>
  <c r="B36" i="3"/>
  <c r="B34" i="15" s="1"/>
  <c r="D36" i="3"/>
  <c r="D34" i="15" s="1"/>
  <c r="E36" i="3"/>
  <c r="E34" i="15" s="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BP50" i="11"/>
  <c r="BQ50" i="11"/>
  <c r="BR50" i="11"/>
  <c r="BS50" i="11"/>
  <c r="BT50" i="11"/>
  <c r="BU50" i="11"/>
  <c r="BV50" i="11"/>
  <c r="BW50" i="11"/>
  <c r="BX50" i="11"/>
  <c r="BY50" i="11"/>
  <c r="BZ50" i="11"/>
  <c r="CA50" i="11"/>
  <c r="CB50" i="11"/>
  <c r="CC50" i="11"/>
  <c r="CD50" i="11"/>
  <c r="CE50" i="11"/>
  <c r="CF50" i="11"/>
  <c r="CG50" i="11"/>
  <c r="CH50" i="11"/>
  <c r="CI50" i="11"/>
  <c r="CJ50" i="11"/>
  <c r="CK50" i="11"/>
  <c r="CL50" i="11"/>
  <c r="CM50" i="11"/>
  <c r="CN50" i="11"/>
  <c r="CO50" i="11"/>
  <c r="CP50" i="11"/>
  <c r="CQ50" i="11"/>
  <c r="CR50" i="11"/>
  <c r="CS50" i="11"/>
  <c r="CT50" i="11"/>
  <c r="CU50" i="11"/>
  <c r="CV50" i="11"/>
  <c r="CW50" i="11"/>
  <c r="CX50" i="11"/>
  <c r="CY50" i="11"/>
  <c r="CZ50" i="11"/>
  <c r="DA50" i="11"/>
  <c r="DB50" i="11"/>
  <c r="DC50" i="11"/>
  <c r="DD50" i="11"/>
  <c r="DE50" i="11"/>
  <c r="DF50" i="11"/>
  <c r="DG50" i="11"/>
  <c r="DH50" i="11"/>
  <c r="DI50" i="11"/>
  <c r="DJ50" i="11"/>
  <c r="DK50" i="11"/>
  <c r="DL50" i="11"/>
  <c r="DM50" i="11"/>
  <c r="DN50" i="11"/>
  <c r="DO50" i="11"/>
  <c r="DP50" i="11"/>
  <c r="DQ50" i="11"/>
  <c r="DR50" i="11"/>
  <c r="DS50" i="11"/>
  <c r="DT50" i="11"/>
  <c r="DU50" i="11"/>
  <c r="DV50" i="11"/>
  <c r="DW50" i="11"/>
  <c r="DX50" i="11"/>
  <c r="DY50" i="11"/>
  <c r="DZ50" i="11"/>
  <c r="EA50" i="11"/>
  <c r="EB50" i="11"/>
  <c r="EC50" i="11"/>
  <c r="ED50" i="11"/>
  <c r="EE50" i="11"/>
  <c r="EF50" i="11"/>
  <c r="EG50" i="11"/>
  <c r="EH50" i="11"/>
  <c r="EI50" i="11"/>
  <c r="EJ50" i="11"/>
  <c r="EK50" i="11"/>
  <c r="EL50" i="11"/>
  <c r="EM50" i="11"/>
  <c r="EN50" i="11"/>
  <c r="EO50" i="11"/>
  <c r="EP50" i="11"/>
  <c r="EQ50" i="11"/>
  <c r="ER50" i="11"/>
  <c r="ES50" i="11"/>
  <c r="ET50" i="11"/>
  <c r="EU50" i="11"/>
  <c r="EV50" i="11"/>
  <c r="EW50" i="11"/>
  <c r="EX50" i="11"/>
  <c r="EY50" i="11"/>
  <c r="EZ50" i="11"/>
  <c r="FA50" i="11"/>
  <c r="FB50" i="11"/>
  <c r="FC50" i="11"/>
  <c r="FD50" i="11"/>
  <c r="FE50" i="11"/>
  <c r="FF50" i="11"/>
  <c r="FG50" i="11"/>
  <c r="FH50" i="11"/>
  <c r="FI50" i="11"/>
  <c r="FJ50" i="11"/>
  <c r="FK50" i="11"/>
  <c r="FL50" i="11"/>
  <c r="FM50" i="11"/>
  <c r="FN50" i="11"/>
  <c r="FO50" i="11"/>
  <c r="FP50" i="11"/>
  <c r="FQ50" i="11"/>
  <c r="FR50" i="11"/>
  <c r="FS50" i="11"/>
  <c r="FT50" i="11"/>
  <c r="FU50" i="11"/>
  <c r="FV50" i="11"/>
  <c r="FW50" i="11"/>
  <c r="FX50" i="11"/>
  <c r="FY50" i="11"/>
  <c r="FZ50" i="11"/>
  <c r="GA50" i="11"/>
  <c r="GB50" i="11"/>
  <c r="GC50" i="11"/>
  <c r="GD50" i="11"/>
  <c r="GE50" i="11"/>
  <c r="GF50" i="11"/>
  <c r="GG50" i="11"/>
  <c r="GH50" i="11"/>
  <c r="GI50" i="11"/>
  <c r="GJ50" i="11"/>
  <c r="GK50" i="11"/>
  <c r="GL50" i="11"/>
  <c r="GM50" i="11"/>
  <c r="GN50" i="11"/>
  <c r="GO50" i="11"/>
  <c r="GP50" i="11"/>
  <c r="GQ50" i="11"/>
  <c r="GR50" i="11"/>
  <c r="GS50" i="11"/>
  <c r="GT50" i="11"/>
  <c r="GU50" i="11"/>
  <c r="GV50" i="11"/>
  <c r="GW50" i="11"/>
  <c r="GX50" i="11"/>
  <c r="GY50" i="11"/>
  <c r="GZ50" i="11"/>
  <c r="HA50" i="11"/>
  <c r="HB50" i="11"/>
  <c r="HC50" i="11"/>
  <c r="HD50" i="11"/>
  <c r="HE50" i="11"/>
  <c r="HF50" i="11"/>
  <c r="HG50" i="11"/>
  <c r="HH50" i="11"/>
  <c r="HI50" i="11"/>
  <c r="HJ50" i="11"/>
  <c r="HK50" i="11"/>
  <c r="HL50" i="11"/>
  <c r="HM50" i="11"/>
  <c r="HN50" i="11"/>
  <c r="HO50" i="11"/>
  <c r="HP50" i="11"/>
  <c r="HQ50" i="11"/>
  <c r="HR50" i="11"/>
  <c r="HS50" i="11"/>
  <c r="HT50" i="11"/>
  <c r="HU50" i="11"/>
  <c r="HV50" i="11"/>
  <c r="HW50" i="11"/>
  <c r="HX50" i="11"/>
  <c r="HY50" i="11"/>
  <c r="HZ50" i="11"/>
  <c r="IA50" i="11"/>
  <c r="IB50" i="11"/>
  <c r="IC50" i="11"/>
  <c r="ID50" i="11"/>
  <c r="IE50" i="11"/>
  <c r="IF50" i="11"/>
  <c r="IG50" i="11"/>
  <c r="IH50" i="11"/>
  <c r="II50" i="11"/>
  <c r="IJ50" i="11"/>
  <c r="IK50" i="11"/>
  <c r="IL50" i="11"/>
  <c r="IM50" i="11"/>
  <c r="IN50" i="11"/>
  <c r="IO50" i="11"/>
  <c r="IP50" i="11"/>
  <c r="IQ50" i="11"/>
  <c r="IR50" i="11"/>
  <c r="IS50" i="11"/>
  <c r="IT50" i="11"/>
  <c r="IU50" i="11"/>
  <c r="IV50" i="11"/>
  <c r="IW50" i="11"/>
  <c r="IX50" i="11"/>
  <c r="IY50" i="11"/>
  <c r="IZ50" i="11"/>
  <c r="JA50" i="11"/>
  <c r="JB50" i="11"/>
  <c r="JC50" i="11"/>
  <c r="JD50" i="11"/>
  <c r="JE50" i="11"/>
  <c r="JF50" i="11"/>
  <c r="JG50" i="11"/>
  <c r="JH50" i="11"/>
  <c r="JI50" i="11"/>
  <c r="JJ50" i="11"/>
  <c r="JK50" i="11"/>
  <c r="JL50" i="11"/>
  <c r="JM50" i="11"/>
  <c r="JN50" i="11"/>
  <c r="JO50" i="11"/>
  <c r="JP50" i="11"/>
  <c r="JQ50" i="11"/>
  <c r="JR50" i="11"/>
  <c r="JS50" i="11"/>
  <c r="JT50" i="11"/>
  <c r="JU50" i="11"/>
  <c r="JV50" i="11"/>
  <c r="JW50" i="11"/>
  <c r="JX50" i="11"/>
  <c r="JY50" i="11"/>
  <c r="JZ50" i="11"/>
  <c r="KA50" i="11"/>
  <c r="KB50" i="11"/>
  <c r="KC50" i="11"/>
  <c r="KD50" i="11"/>
  <c r="KE50" i="11"/>
  <c r="KF50" i="11"/>
  <c r="KG50" i="11"/>
  <c r="KH50" i="11"/>
  <c r="KI50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BP51" i="11"/>
  <c r="BQ51" i="11"/>
  <c r="BR51" i="11"/>
  <c r="BS51" i="11"/>
  <c r="BT51" i="11"/>
  <c r="BU51" i="11"/>
  <c r="BV51" i="11"/>
  <c r="BW51" i="11"/>
  <c r="BX51" i="11"/>
  <c r="BY51" i="11"/>
  <c r="BZ51" i="11"/>
  <c r="CA51" i="11"/>
  <c r="CB51" i="11"/>
  <c r="CC51" i="11"/>
  <c r="CD51" i="11"/>
  <c r="CE51" i="11"/>
  <c r="CF51" i="11"/>
  <c r="CG51" i="11"/>
  <c r="CH51" i="11"/>
  <c r="CI51" i="11"/>
  <c r="CJ51" i="11"/>
  <c r="CK51" i="11"/>
  <c r="CL51" i="11"/>
  <c r="CM51" i="11"/>
  <c r="CN51" i="11"/>
  <c r="CO51" i="11"/>
  <c r="CP51" i="11"/>
  <c r="CQ51" i="11"/>
  <c r="CR51" i="11"/>
  <c r="CS51" i="11"/>
  <c r="CT51" i="11"/>
  <c r="CU51" i="11"/>
  <c r="CV51" i="11"/>
  <c r="CW51" i="11"/>
  <c r="CX51" i="11"/>
  <c r="CY51" i="11"/>
  <c r="CZ51" i="11"/>
  <c r="DA51" i="11"/>
  <c r="DB51" i="11"/>
  <c r="DC51" i="11"/>
  <c r="DD51" i="11"/>
  <c r="DE51" i="11"/>
  <c r="DF51" i="11"/>
  <c r="DG51" i="11"/>
  <c r="DH51" i="11"/>
  <c r="DI51" i="11"/>
  <c r="DJ51" i="11"/>
  <c r="DK51" i="11"/>
  <c r="DL51" i="11"/>
  <c r="DM51" i="11"/>
  <c r="DN51" i="11"/>
  <c r="DO51" i="11"/>
  <c r="DP51" i="11"/>
  <c r="DQ51" i="11"/>
  <c r="DR51" i="11"/>
  <c r="DS51" i="11"/>
  <c r="DT51" i="11"/>
  <c r="DU51" i="11"/>
  <c r="DV51" i="11"/>
  <c r="DW51" i="11"/>
  <c r="DX51" i="11"/>
  <c r="DY51" i="11"/>
  <c r="DZ51" i="11"/>
  <c r="EA51" i="11"/>
  <c r="EB51" i="11"/>
  <c r="EC51" i="11"/>
  <c r="ED51" i="11"/>
  <c r="EE51" i="11"/>
  <c r="EF51" i="11"/>
  <c r="EG51" i="11"/>
  <c r="EH51" i="11"/>
  <c r="EI51" i="11"/>
  <c r="EJ51" i="11"/>
  <c r="EK51" i="11"/>
  <c r="EL51" i="11"/>
  <c r="EM51" i="11"/>
  <c r="EN51" i="11"/>
  <c r="EO51" i="11"/>
  <c r="EP51" i="11"/>
  <c r="EQ51" i="11"/>
  <c r="ER51" i="11"/>
  <c r="ES51" i="11"/>
  <c r="ET51" i="11"/>
  <c r="EU51" i="11"/>
  <c r="EV51" i="11"/>
  <c r="EW51" i="11"/>
  <c r="EX51" i="11"/>
  <c r="EY51" i="11"/>
  <c r="EZ51" i="11"/>
  <c r="FA51" i="11"/>
  <c r="FB51" i="11"/>
  <c r="FC51" i="11"/>
  <c r="FD51" i="11"/>
  <c r="FE51" i="11"/>
  <c r="FF51" i="11"/>
  <c r="FG51" i="11"/>
  <c r="FH51" i="11"/>
  <c r="FI51" i="11"/>
  <c r="FJ51" i="11"/>
  <c r="FK51" i="11"/>
  <c r="FL51" i="11"/>
  <c r="FM51" i="11"/>
  <c r="FN51" i="11"/>
  <c r="FO51" i="11"/>
  <c r="FP51" i="11"/>
  <c r="FQ51" i="11"/>
  <c r="FR51" i="11"/>
  <c r="FS51" i="11"/>
  <c r="FT51" i="11"/>
  <c r="FU51" i="11"/>
  <c r="FV51" i="11"/>
  <c r="FW51" i="11"/>
  <c r="FX51" i="11"/>
  <c r="FY51" i="11"/>
  <c r="FZ51" i="11"/>
  <c r="GA51" i="11"/>
  <c r="GB51" i="11"/>
  <c r="GC51" i="11"/>
  <c r="GD51" i="11"/>
  <c r="GE51" i="11"/>
  <c r="GF51" i="11"/>
  <c r="GG51" i="11"/>
  <c r="GH51" i="11"/>
  <c r="GI51" i="11"/>
  <c r="GJ51" i="11"/>
  <c r="GK51" i="11"/>
  <c r="GL51" i="11"/>
  <c r="GM51" i="11"/>
  <c r="GN51" i="11"/>
  <c r="GO51" i="11"/>
  <c r="GP51" i="11"/>
  <c r="GQ51" i="11"/>
  <c r="GR51" i="11"/>
  <c r="GS51" i="11"/>
  <c r="GT51" i="11"/>
  <c r="GU51" i="11"/>
  <c r="GV51" i="11"/>
  <c r="GW51" i="11"/>
  <c r="GX51" i="11"/>
  <c r="GY51" i="11"/>
  <c r="GZ51" i="11"/>
  <c r="HA51" i="11"/>
  <c r="HB51" i="11"/>
  <c r="HC51" i="11"/>
  <c r="HD51" i="11"/>
  <c r="HE51" i="11"/>
  <c r="HF51" i="11"/>
  <c r="HG51" i="11"/>
  <c r="HH51" i="11"/>
  <c r="HI51" i="11"/>
  <c r="HJ51" i="11"/>
  <c r="HK51" i="11"/>
  <c r="HL51" i="11"/>
  <c r="HM51" i="11"/>
  <c r="HN51" i="11"/>
  <c r="HO51" i="11"/>
  <c r="HP51" i="11"/>
  <c r="HQ51" i="11"/>
  <c r="HR51" i="11"/>
  <c r="HS51" i="11"/>
  <c r="HT51" i="11"/>
  <c r="HU51" i="11"/>
  <c r="HV51" i="11"/>
  <c r="HW51" i="11"/>
  <c r="HX51" i="11"/>
  <c r="HY51" i="11"/>
  <c r="HZ51" i="11"/>
  <c r="IA51" i="11"/>
  <c r="IB51" i="11"/>
  <c r="IC51" i="11"/>
  <c r="ID51" i="11"/>
  <c r="IE51" i="11"/>
  <c r="IF51" i="11"/>
  <c r="IG51" i="11"/>
  <c r="IH51" i="11"/>
  <c r="II51" i="11"/>
  <c r="IJ51" i="11"/>
  <c r="IK51" i="11"/>
  <c r="IL51" i="11"/>
  <c r="IM51" i="11"/>
  <c r="IN51" i="11"/>
  <c r="IO51" i="11"/>
  <c r="IP51" i="11"/>
  <c r="IQ51" i="11"/>
  <c r="IR51" i="11"/>
  <c r="IS51" i="11"/>
  <c r="IT51" i="11"/>
  <c r="IU51" i="11"/>
  <c r="IV51" i="11"/>
  <c r="IW51" i="11"/>
  <c r="IX51" i="11"/>
  <c r="IY51" i="11"/>
  <c r="IZ51" i="11"/>
  <c r="JA51" i="11"/>
  <c r="JB51" i="11"/>
  <c r="JC51" i="11"/>
  <c r="JD51" i="11"/>
  <c r="JE51" i="11"/>
  <c r="JF51" i="11"/>
  <c r="JG51" i="11"/>
  <c r="JH51" i="11"/>
  <c r="JI51" i="11"/>
  <c r="JJ51" i="11"/>
  <c r="JK51" i="11"/>
  <c r="JL51" i="11"/>
  <c r="JM51" i="11"/>
  <c r="JN51" i="11"/>
  <c r="JO51" i="11"/>
  <c r="JP51" i="11"/>
  <c r="JQ51" i="11"/>
  <c r="JR51" i="11"/>
  <c r="JS51" i="11"/>
  <c r="JT51" i="11"/>
  <c r="JU51" i="11"/>
  <c r="JV51" i="11"/>
  <c r="JW51" i="11"/>
  <c r="JX51" i="11"/>
  <c r="JY51" i="11"/>
  <c r="JZ51" i="11"/>
  <c r="KA51" i="11"/>
  <c r="KB51" i="11"/>
  <c r="KC51" i="11"/>
  <c r="KD51" i="11"/>
  <c r="KE51" i="11"/>
  <c r="KF51" i="11"/>
  <c r="KG51" i="11"/>
  <c r="KH51" i="11"/>
  <c r="KI51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CD52" i="11"/>
  <c r="CE52" i="11"/>
  <c r="CF52" i="11"/>
  <c r="CG52" i="11"/>
  <c r="CH52" i="11"/>
  <c r="CI52" i="11"/>
  <c r="CJ52" i="11"/>
  <c r="CK52" i="11"/>
  <c r="CL52" i="11"/>
  <c r="CM52" i="11"/>
  <c r="CN52" i="11"/>
  <c r="CO52" i="11"/>
  <c r="CP52" i="11"/>
  <c r="CQ52" i="11"/>
  <c r="CR52" i="11"/>
  <c r="CS52" i="11"/>
  <c r="CT52" i="11"/>
  <c r="CU52" i="11"/>
  <c r="CV52" i="11"/>
  <c r="CW52" i="11"/>
  <c r="CX52" i="11"/>
  <c r="CY52" i="11"/>
  <c r="CZ52" i="11"/>
  <c r="DA52" i="11"/>
  <c r="DB52" i="11"/>
  <c r="DC52" i="11"/>
  <c r="DD52" i="11"/>
  <c r="DE52" i="11"/>
  <c r="DF52" i="11"/>
  <c r="DG52" i="11"/>
  <c r="DH52" i="11"/>
  <c r="DI52" i="11"/>
  <c r="DJ52" i="11"/>
  <c r="DK52" i="11"/>
  <c r="DL52" i="11"/>
  <c r="DM52" i="11"/>
  <c r="DN52" i="11"/>
  <c r="DO52" i="11"/>
  <c r="DP52" i="11"/>
  <c r="DQ52" i="11"/>
  <c r="DR52" i="11"/>
  <c r="DS52" i="11"/>
  <c r="DT52" i="11"/>
  <c r="DU52" i="11"/>
  <c r="DV52" i="11"/>
  <c r="DW52" i="11"/>
  <c r="DX52" i="11"/>
  <c r="DY52" i="11"/>
  <c r="DZ52" i="11"/>
  <c r="EA52" i="11"/>
  <c r="EB52" i="11"/>
  <c r="EC52" i="11"/>
  <c r="ED52" i="11"/>
  <c r="EE52" i="11"/>
  <c r="EF52" i="11"/>
  <c r="EG52" i="11"/>
  <c r="EH52" i="11"/>
  <c r="EI52" i="11"/>
  <c r="EJ52" i="11"/>
  <c r="EK52" i="11"/>
  <c r="EL52" i="11"/>
  <c r="EM52" i="11"/>
  <c r="EN52" i="11"/>
  <c r="EO52" i="11"/>
  <c r="EP52" i="11"/>
  <c r="EQ52" i="11"/>
  <c r="ER52" i="11"/>
  <c r="ES52" i="11"/>
  <c r="ET52" i="11"/>
  <c r="EU52" i="11"/>
  <c r="EV52" i="11"/>
  <c r="EW52" i="11"/>
  <c r="EX52" i="11"/>
  <c r="EY52" i="11"/>
  <c r="EZ52" i="11"/>
  <c r="FA52" i="11"/>
  <c r="FB52" i="11"/>
  <c r="FC52" i="11"/>
  <c r="FD52" i="11"/>
  <c r="FE52" i="11"/>
  <c r="FF52" i="11"/>
  <c r="FG52" i="11"/>
  <c r="FH52" i="11"/>
  <c r="FI52" i="11"/>
  <c r="FJ52" i="11"/>
  <c r="FK52" i="11"/>
  <c r="FL52" i="11"/>
  <c r="FM52" i="11"/>
  <c r="FN52" i="11"/>
  <c r="FO52" i="11"/>
  <c r="FP52" i="11"/>
  <c r="FQ52" i="11"/>
  <c r="FR52" i="11"/>
  <c r="FS52" i="11"/>
  <c r="FT52" i="11"/>
  <c r="FU52" i="11"/>
  <c r="FV52" i="11"/>
  <c r="FW52" i="11"/>
  <c r="FX52" i="11"/>
  <c r="FY52" i="11"/>
  <c r="FZ52" i="11"/>
  <c r="GA52" i="11"/>
  <c r="GB52" i="11"/>
  <c r="GC52" i="11"/>
  <c r="GD52" i="11"/>
  <c r="GE52" i="11"/>
  <c r="GF52" i="11"/>
  <c r="GG52" i="11"/>
  <c r="GH52" i="11"/>
  <c r="GI52" i="11"/>
  <c r="GJ52" i="11"/>
  <c r="GK52" i="11"/>
  <c r="GL52" i="11"/>
  <c r="GM52" i="11"/>
  <c r="GN52" i="11"/>
  <c r="GO52" i="11"/>
  <c r="GP52" i="11"/>
  <c r="GQ52" i="11"/>
  <c r="GR52" i="11"/>
  <c r="GS52" i="11"/>
  <c r="GT52" i="11"/>
  <c r="GU52" i="11"/>
  <c r="GV52" i="11"/>
  <c r="GW52" i="11"/>
  <c r="GX52" i="11"/>
  <c r="GY52" i="11"/>
  <c r="GZ52" i="11"/>
  <c r="HA52" i="11"/>
  <c r="HB52" i="11"/>
  <c r="HC52" i="11"/>
  <c r="HD52" i="11"/>
  <c r="HE52" i="11"/>
  <c r="HF52" i="11"/>
  <c r="HG52" i="11"/>
  <c r="HH52" i="11"/>
  <c r="HI52" i="11"/>
  <c r="HJ52" i="11"/>
  <c r="HK52" i="11"/>
  <c r="HL52" i="11"/>
  <c r="HM52" i="11"/>
  <c r="HN52" i="11"/>
  <c r="HO52" i="11"/>
  <c r="HP52" i="11"/>
  <c r="HQ52" i="11"/>
  <c r="HR52" i="11"/>
  <c r="HS52" i="11"/>
  <c r="HT52" i="11"/>
  <c r="HU52" i="11"/>
  <c r="HV52" i="11"/>
  <c r="HW52" i="11"/>
  <c r="HX52" i="11"/>
  <c r="HY52" i="11"/>
  <c r="HZ52" i="11"/>
  <c r="IA52" i="11"/>
  <c r="IB52" i="11"/>
  <c r="IC52" i="11"/>
  <c r="ID52" i="11"/>
  <c r="IE52" i="11"/>
  <c r="IF52" i="11"/>
  <c r="IG52" i="11"/>
  <c r="IH52" i="11"/>
  <c r="II52" i="11"/>
  <c r="IJ52" i="11"/>
  <c r="IK52" i="11"/>
  <c r="IL52" i="11"/>
  <c r="IM52" i="11"/>
  <c r="IN52" i="11"/>
  <c r="IO52" i="11"/>
  <c r="IP52" i="11"/>
  <c r="IQ52" i="11"/>
  <c r="IR52" i="11"/>
  <c r="IS52" i="11"/>
  <c r="IT52" i="11"/>
  <c r="IU52" i="11"/>
  <c r="IV52" i="11"/>
  <c r="IW52" i="11"/>
  <c r="IX52" i="11"/>
  <c r="IY52" i="11"/>
  <c r="IZ52" i="11"/>
  <c r="JA52" i="11"/>
  <c r="JB52" i="11"/>
  <c r="JC52" i="11"/>
  <c r="JD52" i="11"/>
  <c r="JE52" i="11"/>
  <c r="JF52" i="11"/>
  <c r="JG52" i="11"/>
  <c r="JH52" i="11"/>
  <c r="JI52" i="11"/>
  <c r="JJ52" i="11"/>
  <c r="JK52" i="11"/>
  <c r="JL52" i="11"/>
  <c r="JM52" i="11"/>
  <c r="JN52" i="11"/>
  <c r="JO52" i="11"/>
  <c r="JP52" i="11"/>
  <c r="JQ52" i="11"/>
  <c r="JR52" i="11"/>
  <c r="JS52" i="11"/>
  <c r="JT52" i="11"/>
  <c r="JU52" i="11"/>
  <c r="JV52" i="11"/>
  <c r="JW52" i="11"/>
  <c r="JX52" i="11"/>
  <c r="JY52" i="11"/>
  <c r="JZ52" i="11"/>
  <c r="KA52" i="11"/>
  <c r="KB52" i="11"/>
  <c r="KC52" i="11"/>
  <c r="KD52" i="11"/>
  <c r="KE52" i="11"/>
  <c r="KF52" i="11"/>
  <c r="KG52" i="11"/>
  <c r="KH52" i="11"/>
  <c r="KI52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CD53" i="11"/>
  <c r="CE53" i="11"/>
  <c r="CF53" i="11"/>
  <c r="CG53" i="11"/>
  <c r="CH53" i="11"/>
  <c r="CI53" i="11"/>
  <c r="CJ53" i="11"/>
  <c r="CK53" i="11"/>
  <c r="CL53" i="11"/>
  <c r="CM53" i="11"/>
  <c r="CN53" i="11"/>
  <c r="CO53" i="11"/>
  <c r="CP53" i="11"/>
  <c r="CQ53" i="11"/>
  <c r="CR53" i="11"/>
  <c r="CS53" i="11"/>
  <c r="CT53" i="11"/>
  <c r="CU53" i="11"/>
  <c r="CV53" i="11"/>
  <c r="CW53" i="11"/>
  <c r="CX53" i="11"/>
  <c r="CY53" i="11"/>
  <c r="CZ53" i="11"/>
  <c r="DA53" i="11"/>
  <c r="DB53" i="11"/>
  <c r="DC53" i="11"/>
  <c r="DD53" i="11"/>
  <c r="DE53" i="11"/>
  <c r="DF53" i="11"/>
  <c r="DG53" i="11"/>
  <c r="DH53" i="11"/>
  <c r="DI53" i="11"/>
  <c r="DJ53" i="11"/>
  <c r="DK53" i="11"/>
  <c r="DL53" i="11"/>
  <c r="DM53" i="11"/>
  <c r="DN53" i="11"/>
  <c r="DO53" i="11"/>
  <c r="DP53" i="11"/>
  <c r="DQ53" i="11"/>
  <c r="DR53" i="11"/>
  <c r="DS53" i="11"/>
  <c r="DT53" i="11"/>
  <c r="DU53" i="11"/>
  <c r="DV53" i="11"/>
  <c r="DW53" i="11"/>
  <c r="DX53" i="11"/>
  <c r="DY53" i="11"/>
  <c r="DZ53" i="11"/>
  <c r="EA53" i="11"/>
  <c r="EB53" i="11"/>
  <c r="EC53" i="11"/>
  <c r="ED53" i="11"/>
  <c r="EE53" i="11"/>
  <c r="EF53" i="11"/>
  <c r="EG53" i="11"/>
  <c r="EH53" i="11"/>
  <c r="EI53" i="11"/>
  <c r="EJ53" i="11"/>
  <c r="EK53" i="11"/>
  <c r="EL53" i="11"/>
  <c r="EM53" i="11"/>
  <c r="EN53" i="11"/>
  <c r="EO53" i="11"/>
  <c r="EP53" i="11"/>
  <c r="EQ53" i="11"/>
  <c r="ER53" i="11"/>
  <c r="ES53" i="11"/>
  <c r="ET53" i="11"/>
  <c r="EU53" i="11"/>
  <c r="EV53" i="11"/>
  <c r="EW53" i="11"/>
  <c r="EX53" i="11"/>
  <c r="EY53" i="11"/>
  <c r="EZ53" i="11"/>
  <c r="FA53" i="11"/>
  <c r="FB53" i="11"/>
  <c r="FC53" i="11"/>
  <c r="FD53" i="11"/>
  <c r="FE53" i="11"/>
  <c r="FF53" i="11"/>
  <c r="FG53" i="11"/>
  <c r="FH53" i="11"/>
  <c r="FI53" i="11"/>
  <c r="FJ53" i="11"/>
  <c r="FK53" i="11"/>
  <c r="FL53" i="11"/>
  <c r="FM53" i="11"/>
  <c r="FN53" i="11"/>
  <c r="FO53" i="11"/>
  <c r="FP53" i="11"/>
  <c r="FQ53" i="11"/>
  <c r="FR53" i="11"/>
  <c r="FS53" i="11"/>
  <c r="FT53" i="11"/>
  <c r="FU53" i="11"/>
  <c r="FV53" i="11"/>
  <c r="FW53" i="11"/>
  <c r="FX53" i="11"/>
  <c r="FY53" i="11"/>
  <c r="FZ53" i="11"/>
  <c r="GA53" i="11"/>
  <c r="GB53" i="11"/>
  <c r="GC53" i="11"/>
  <c r="GD53" i="11"/>
  <c r="GE53" i="11"/>
  <c r="GF53" i="11"/>
  <c r="GG53" i="11"/>
  <c r="GH53" i="11"/>
  <c r="GI53" i="11"/>
  <c r="GJ53" i="11"/>
  <c r="GK53" i="11"/>
  <c r="GL53" i="11"/>
  <c r="GM53" i="11"/>
  <c r="GN53" i="11"/>
  <c r="GO53" i="11"/>
  <c r="GP53" i="11"/>
  <c r="GQ53" i="11"/>
  <c r="GR53" i="11"/>
  <c r="GS53" i="11"/>
  <c r="GT53" i="11"/>
  <c r="GU53" i="11"/>
  <c r="GV53" i="11"/>
  <c r="GW53" i="11"/>
  <c r="GX53" i="11"/>
  <c r="GY53" i="11"/>
  <c r="GZ53" i="11"/>
  <c r="HA53" i="11"/>
  <c r="HB53" i="11"/>
  <c r="HC53" i="11"/>
  <c r="HD53" i="11"/>
  <c r="HE53" i="11"/>
  <c r="HF53" i="11"/>
  <c r="HG53" i="11"/>
  <c r="HH53" i="11"/>
  <c r="HI53" i="11"/>
  <c r="HJ53" i="11"/>
  <c r="HK53" i="11"/>
  <c r="HL53" i="11"/>
  <c r="HM53" i="11"/>
  <c r="HN53" i="11"/>
  <c r="HO53" i="11"/>
  <c r="HP53" i="11"/>
  <c r="HQ53" i="11"/>
  <c r="HR53" i="11"/>
  <c r="HS53" i="11"/>
  <c r="HT53" i="11"/>
  <c r="HU53" i="11"/>
  <c r="HV53" i="11"/>
  <c r="HW53" i="11"/>
  <c r="HX53" i="11"/>
  <c r="HY53" i="11"/>
  <c r="HZ53" i="11"/>
  <c r="IA53" i="11"/>
  <c r="IB53" i="11"/>
  <c r="IC53" i="11"/>
  <c r="ID53" i="11"/>
  <c r="IE53" i="11"/>
  <c r="IF53" i="11"/>
  <c r="IG53" i="11"/>
  <c r="IH53" i="11"/>
  <c r="II53" i="11"/>
  <c r="IJ53" i="11"/>
  <c r="IK53" i="11"/>
  <c r="IL53" i="11"/>
  <c r="IM53" i="11"/>
  <c r="IN53" i="11"/>
  <c r="IO53" i="11"/>
  <c r="IP53" i="11"/>
  <c r="IQ53" i="11"/>
  <c r="IR53" i="11"/>
  <c r="IS53" i="11"/>
  <c r="IT53" i="11"/>
  <c r="IU53" i="11"/>
  <c r="IV53" i="11"/>
  <c r="IW53" i="11"/>
  <c r="IX53" i="11"/>
  <c r="IY53" i="11"/>
  <c r="IZ53" i="11"/>
  <c r="JA53" i="11"/>
  <c r="JB53" i="11"/>
  <c r="JC53" i="11"/>
  <c r="JD53" i="11"/>
  <c r="JE53" i="11"/>
  <c r="JF53" i="11"/>
  <c r="JG53" i="11"/>
  <c r="JH53" i="11"/>
  <c r="JI53" i="11"/>
  <c r="JJ53" i="11"/>
  <c r="JK53" i="11"/>
  <c r="JL53" i="11"/>
  <c r="JM53" i="11"/>
  <c r="JN53" i="11"/>
  <c r="JO53" i="11"/>
  <c r="JP53" i="11"/>
  <c r="JQ53" i="11"/>
  <c r="JR53" i="11"/>
  <c r="JS53" i="11"/>
  <c r="JT53" i="11"/>
  <c r="JU53" i="11"/>
  <c r="JV53" i="11"/>
  <c r="JW53" i="11"/>
  <c r="JX53" i="11"/>
  <c r="JY53" i="11"/>
  <c r="JZ53" i="11"/>
  <c r="KA53" i="11"/>
  <c r="KB53" i="11"/>
  <c r="KC53" i="11"/>
  <c r="KD53" i="11"/>
  <c r="KE53" i="11"/>
  <c r="KF53" i="11"/>
  <c r="KG53" i="11"/>
  <c r="KH53" i="11"/>
  <c r="KI53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G54" i="11"/>
  <c r="CH54" i="11"/>
  <c r="CI54" i="11"/>
  <c r="CJ54" i="11"/>
  <c r="CK54" i="11"/>
  <c r="CL54" i="11"/>
  <c r="CM54" i="11"/>
  <c r="CN54" i="11"/>
  <c r="CO54" i="11"/>
  <c r="CP54" i="11"/>
  <c r="CQ54" i="11"/>
  <c r="CR54" i="11"/>
  <c r="CS54" i="11"/>
  <c r="CT54" i="11"/>
  <c r="CU54" i="11"/>
  <c r="CV54" i="11"/>
  <c r="CW54" i="11"/>
  <c r="CX54" i="11"/>
  <c r="CY54" i="11"/>
  <c r="CZ54" i="11"/>
  <c r="DA54" i="11"/>
  <c r="DB54" i="11"/>
  <c r="DC54" i="11"/>
  <c r="DD54" i="11"/>
  <c r="DE54" i="11"/>
  <c r="DF54" i="11"/>
  <c r="DG54" i="11"/>
  <c r="DH54" i="11"/>
  <c r="DI54" i="11"/>
  <c r="DJ54" i="11"/>
  <c r="DK54" i="11"/>
  <c r="DL54" i="11"/>
  <c r="DM54" i="11"/>
  <c r="DN54" i="11"/>
  <c r="DO54" i="11"/>
  <c r="DP54" i="11"/>
  <c r="DQ54" i="11"/>
  <c r="DR54" i="11"/>
  <c r="DS54" i="11"/>
  <c r="DT54" i="11"/>
  <c r="DU54" i="11"/>
  <c r="DV54" i="11"/>
  <c r="DW54" i="11"/>
  <c r="DX54" i="11"/>
  <c r="DY54" i="11"/>
  <c r="DZ54" i="11"/>
  <c r="EA54" i="11"/>
  <c r="EB54" i="11"/>
  <c r="EC54" i="11"/>
  <c r="ED54" i="11"/>
  <c r="EE54" i="11"/>
  <c r="EF54" i="11"/>
  <c r="EG54" i="11"/>
  <c r="EH54" i="11"/>
  <c r="EI54" i="11"/>
  <c r="EJ54" i="11"/>
  <c r="EK54" i="11"/>
  <c r="EL54" i="11"/>
  <c r="EM54" i="11"/>
  <c r="EN54" i="11"/>
  <c r="EO54" i="11"/>
  <c r="EP54" i="11"/>
  <c r="EQ54" i="11"/>
  <c r="ER54" i="11"/>
  <c r="ES54" i="11"/>
  <c r="ET54" i="11"/>
  <c r="EU54" i="11"/>
  <c r="EV54" i="11"/>
  <c r="EW54" i="11"/>
  <c r="EX54" i="11"/>
  <c r="EY54" i="11"/>
  <c r="EZ54" i="11"/>
  <c r="FA54" i="11"/>
  <c r="FB54" i="11"/>
  <c r="FC54" i="11"/>
  <c r="FD54" i="11"/>
  <c r="FE54" i="11"/>
  <c r="FF54" i="11"/>
  <c r="FG54" i="11"/>
  <c r="FH54" i="11"/>
  <c r="FI54" i="11"/>
  <c r="FJ54" i="11"/>
  <c r="FK54" i="11"/>
  <c r="FL54" i="11"/>
  <c r="FM54" i="11"/>
  <c r="FN54" i="11"/>
  <c r="FO54" i="11"/>
  <c r="FP54" i="11"/>
  <c r="FQ54" i="11"/>
  <c r="FR54" i="11"/>
  <c r="FS54" i="11"/>
  <c r="FT54" i="11"/>
  <c r="FU54" i="11"/>
  <c r="FV54" i="11"/>
  <c r="FW54" i="11"/>
  <c r="FX54" i="11"/>
  <c r="FY54" i="11"/>
  <c r="FZ54" i="11"/>
  <c r="GA54" i="11"/>
  <c r="GB54" i="11"/>
  <c r="GC54" i="11"/>
  <c r="GD54" i="11"/>
  <c r="GE54" i="11"/>
  <c r="GF54" i="11"/>
  <c r="GG54" i="11"/>
  <c r="GH54" i="11"/>
  <c r="GI54" i="11"/>
  <c r="GJ54" i="11"/>
  <c r="GK54" i="11"/>
  <c r="GL54" i="11"/>
  <c r="GM54" i="11"/>
  <c r="GN54" i="11"/>
  <c r="GO54" i="11"/>
  <c r="GP54" i="11"/>
  <c r="GQ54" i="11"/>
  <c r="GR54" i="11"/>
  <c r="GS54" i="11"/>
  <c r="GT54" i="11"/>
  <c r="GU54" i="11"/>
  <c r="GV54" i="11"/>
  <c r="GW54" i="11"/>
  <c r="GX54" i="11"/>
  <c r="GY54" i="11"/>
  <c r="GZ54" i="11"/>
  <c r="HA54" i="11"/>
  <c r="HB54" i="11"/>
  <c r="HC54" i="11"/>
  <c r="HD54" i="11"/>
  <c r="HE54" i="11"/>
  <c r="HF54" i="11"/>
  <c r="HG54" i="11"/>
  <c r="HH54" i="11"/>
  <c r="HI54" i="11"/>
  <c r="HJ54" i="11"/>
  <c r="HK54" i="11"/>
  <c r="HL54" i="11"/>
  <c r="HM54" i="11"/>
  <c r="HN54" i="11"/>
  <c r="HO54" i="11"/>
  <c r="HP54" i="11"/>
  <c r="HQ54" i="11"/>
  <c r="HR54" i="11"/>
  <c r="HS54" i="11"/>
  <c r="HT54" i="11"/>
  <c r="HU54" i="11"/>
  <c r="HV54" i="11"/>
  <c r="HW54" i="11"/>
  <c r="HX54" i="11"/>
  <c r="HY54" i="11"/>
  <c r="HZ54" i="11"/>
  <c r="IA54" i="11"/>
  <c r="IB54" i="11"/>
  <c r="IC54" i="11"/>
  <c r="ID54" i="11"/>
  <c r="IE54" i="11"/>
  <c r="IF54" i="11"/>
  <c r="IG54" i="11"/>
  <c r="IH54" i="11"/>
  <c r="II54" i="11"/>
  <c r="IJ54" i="11"/>
  <c r="IK54" i="11"/>
  <c r="IL54" i="11"/>
  <c r="IM54" i="11"/>
  <c r="IN54" i="11"/>
  <c r="IO54" i="11"/>
  <c r="IP54" i="11"/>
  <c r="IQ54" i="11"/>
  <c r="IR54" i="11"/>
  <c r="IS54" i="11"/>
  <c r="IT54" i="11"/>
  <c r="IU54" i="11"/>
  <c r="IV54" i="11"/>
  <c r="IW54" i="11"/>
  <c r="IX54" i="11"/>
  <c r="IY54" i="11"/>
  <c r="IZ54" i="11"/>
  <c r="JA54" i="11"/>
  <c r="JB54" i="11"/>
  <c r="JC54" i="11"/>
  <c r="JD54" i="11"/>
  <c r="JE54" i="11"/>
  <c r="JF54" i="11"/>
  <c r="JG54" i="11"/>
  <c r="JH54" i="11"/>
  <c r="JI54" i="11"/>
  <c r="JJ54" i="11"/>
  <c r="JK54" i="11"/>
  <c r="JL54" i="11"/>
  <c r="JM54" i="11"/>
  <c r="JN54" i="11"/>
  <c r="JO54" i="11"/>
  <c r="JP54" i="11"/>
  <c r="JQ54" i="11"/>
  <c r="JR54" i="11"/>
  <c r="JS54" i="11"/>
  <c r="JT54" i="11"/>
  <c r="JU54" i="11"/>
  <c r="JV54" i="11"/>
  <c r="JW54" i="11"/>
  <c r="JX54" i="11"/>
  <c r="JY54" i="11"/>
  <c r="JZ54" i="11"/>
  <c r="KA54" i="11"/>
  <c r="KB54" i="11"/>
  <c r="KC54" i="11"/>
  <c r="KD54" i="11"/>
  <c r="KE54" i="11"/>
  <c r="KF54" i="11"/>
  <c r="KG54" i="11"/>
  <c r="KH54" i="11"/>
  <c r="KI54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CD55" i="11"/>
  <c r="CE55" i="11"/>
  <c r="CF55" i="11"/>
  <c r="CG55" i="11"/>
  <c r="CH55" i="11"/>
  <c r="CI55" i="11"/>
  <c r="CJ55" i="11"/>
  <c r="CK55" i="11"/>
  <c r="CL55" i="11"/>
  <c r="CM55" i="11"/>
  <c r="CN55" i="11"/>
  <c r="CO55" i="11"/>
  <c r="CP55" i="11"/>
  <c r="CQ55" i="11"/>
  <c r="CR55" i="11"/>
  <c r="CS55" i="11"/>
  <c r="CT55" i="11"/>
  <c r="CU55" i="11"/>
  <c r="CV55" i="11"/>
  <c r="CW55" i="11"/>
  <c r="CX55" i="11"/>
  <c r="CY55" i="11"/>
  <c r="CZ55" i="11"/>
  <c r="DA55" i="11"/>
  <c r="DB55" i="11"/>
  <c r="DC55" i="11"/>
  <c r="DD55" i="11"/>
  <c r="DE55" i="11"/>
  <c r="DF55" i="11"/>
  <c r="DG55" i="11"/>
  <c r="DH55" i="11"/>
  <c r="DI55" i="11"/>
  <c r="DJ55" i="11"/>
  <c r="DK55" i="11"/>
  <c r="DL55" i="11"/>
  <c r="DM55" i="11"/>
  <c r="DN55" i="11"/>
  <c r="DO55" i="11"/>
  <c r="DP55" i="11"/>
  <c r="DQ55" i="11"/>
  <c r="DR55" i="11"/>
  <c r="DS55" i="11"/>
  <c r="DT55" i="11"/>
  <c r="DU55" i="11"/>
  <c r="DV55" i="11"/>
  <c r="DW55" i="11"/>
  <c r="DX55" i="11"/>
  <c r="DY55" i="11"/>
  <c r="DZ55" i="11"/>
  <c r="EA55" i="11"/>
  <c r="EB55" i="11"/>
  <c r="EC55" i="11"/>
  <c r="ED55" i="11"/>
  <c r="EE55" i="11"/>
  <c r="EF55" i="11"/>
  <c r="EG55" i="11"/>
  <c r="EH55" i="11"/>
  <c r="EI55" i="11"/>
  <c r="EJ55" i="11"/>
  <c r="EK55" i="11"/>
  <c r="EL55" i="11"/>
  <c r="EM55" i="11"/>
  <c r="EN55" i="11"/>
  <c r="EO55" i="11"/>
  <c r="EP55" i="11"/>
  <c r="EQ55" i="11"/>
  <c r="ER55" i="11"/>
  <c r="ES55" i="11"/>
  <c r="ET55" i="11"/>
  <c r="EU55" i="11"/>
  <c r="EV55" i="11"/>
  <c r="EW55" i="11"/>
  <c r="EX55" i="11"/>
  <c r="EY55" i="11"/>
  <c r="EZ55" i="11"/>
  <c r="FA55" i="11"/>
  <c r="FB55" i="11"/>
  <c r="FC55" i="11"/>
  <c r="FD55" i="11"/>
  <c r="FE55" i="11"/>
  <c r="FF55" i="11"/>
  <c r="FG55" i="11"/>
  <c r="FH55" i="11"/>
  <c r="FI55" i="11"/>
  <c r="FJ55" i="11"/>
  <c r="FK55" i="11"/>
  <c r="FL55" i="11"/>
  <c r="FM55" i="11"/>
  <c r="FN55" i="11"/>
  <c r="FO55" i="11"/>
  <c r="FP55" i="11"/>
  <c r="FQ55" i="11"/>
  <c r="FR55" i="11"/>
  <c r="FS55" i="11"/>
  <c r="FT55" i="11"/>
  <c r="FU55" i="11"/>
  <c r="FV55" i="11"/>
  <c r="FW55" i="11"/>
  <c r="FX55" i="11"/>
  <c r="FY55" i="11"/>
  <c r="FZ55" i="11"/>
  <c r="GA55" i="11"/>
  <c r="GB55" i="11"/>
  <c r="GC55" i="11"/>
  <c r="GD55" i="11"/>
  <c r="GE55" i="11"/>
  <c r="GF55" i="11"/>
  <c r="GG55" i="11"/>
  <c r="GH55" i="11"/>
  <c r="GI55" i="11"/>
  <c r="GJ55" i="11"/>
  <c r="GK55" i="11"/>
  <c r="GL55" i="11"/>
  <c r="GM55" i="11"/>
  <c r="GN55" i="11"/>
  <c r="GO55" i="11"/>
  <c r="GP55" i="11"/>
  <c r="GQ55" i="11"/>
  <c r="GR55" i="11"/>
  <c r="GS55" i="11"/>
  <c r="GT55" i="11"/>
  <c r="GU55" i="11"/>
  <c r="GV55" i="11"/>
  <c r="GW55" i="11"/>
  <c r="GX55" i="11"/>
  <c r="GY55" i="11"/>
  <c r="GZ55" i="11"/>
  <c r="HA55" i="11"/>
  <c r="HB55" i="11"/>
  <c r="HC55" i="11"/>
  <c r="HD55" i="11"/>
  <c r="HE55" i="11"/>
  <c r="HF55" i="11"/>
  <c r="HG55" i="11"/>
  <c r="HH55" i="11"/>
  <c r="HI55" i="11"/>
  <c r="HJ55" i="11"/>
  <c r="HK55" i="11"/>
  <c r="HL55" i="11"/>
  <c r="HM55" i="11"/>
  <c r="HN55" i="11"/>
  <c r="HO55" i="11"/>
  <c r="HP55" i="11"/>
  <c r="HQ55" i="11"/>
  <c r="HR55" i="11"/>
  <c r="HS55" i="11"/>
  <c r="HT55" i="11"/>
  <c r="HU55" i="11"/>
  <c r="HV55" i="11"/>
  <c r="HW55" i="11"/>
  <c r="HX55" i="11"/>
  <c r="HY55" i="11"/>
  <c r="HZ55" i="11"/>
  <c r="IA55" i="11"/>
  <c r="IB55" i="11"/>
  <c r="IC55" i="11"/>
  <c r="ID55" i="11"/>
  <c r="IE55" i="11"/>
  <c r="IF55" i="11"/>
  <c r="IG55" i="11"/>
  <c r="IH55" i="11"/>
  <c r="II55" i="11"/>
  <c r="IJ55" i="11"/>
  <c r="IK55" i="11"/>
  <c r="IL55" i="11"/>
  <c r="IM55" i="11"/>
  <c r="IN55" i="11"/>
  <c r="IO55" i="11"/>
  <c r="IP55" i="11"/>
  <c r="IQ55" i="11"/>
  <c r="IR55" i="11"/>
  <c r="IS55" i="11"/>
  <c r="IT55" i="11"/>
  <c r="IU55" i="11"/>
  <c r="IV55" i="11"/>
  <c r="IW55" i="11"/>
  <c r="IX55" i="11"/>
  <c r="IY55" i="11"/>
  <c r="IZ55" i="11"/>
  <c r="JA55" i="11"/>
  <c r="JB55" i="11"/>
  <c r="JC55" i="11"/>
  <c r="JD55" i="11"/>
  <c r="JE55" i="11"/>
  <c r="JF55" i="11"/>
  <c r="JG55" i="11"/>
  <c r="JH55" i="11"/>
  <c r="JI55" i="11"/>
  <c r="JJ55" i="11"/>
  <c r="JK55" i="11"/>
  <c r="JL55" i="11"/>
  <c r="JM55" i="11"/>
  <c r="JN55" i="11"/>
  <c r="JO55" i="11"/>
  <c r="JP55" i="11"/>
  <c r="JQ55" i="11"/>
  <c r="JR55" i="11"/>
  <c r="JS55" i="11"/>
  <c r="JT55" i="11"/>
  <c r="JU55" i="11"/>
  <c r="JV55" i="11"/>
  <c r="JW55" i="11"/>
  <c r="JX55" i="11"/>
  <c r="JY55" i="11"/>
  <c r="JZ55" i="11"/>
  <c r="KA55" i="11"/>
  <c r="KB55" i="11"/>
  <c r="KC55" i="11"/>
  <c r="KD55" i="11"/>
  <c r="KE55" i="11"/>
  <c r="KF55" i="11"/>
  <c r="KG55" i="11"/>
  <c r="KH55" i="11"/>
  <c r="KI55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CD56" i="11"/>
  <c r="CE56" i="11"/>
  <c r="CF56" i="11"/>
  <c r="CG56" i="11"/>
  <c r="CH56" i="11"/>
  <c r="CI56" i="11"/>
  <c r="CJ56" i="11"/>
  <c r="CK56" i="11"/>
  <c r="CL56" i="11"/>
  <c r="CM56" i="11"/>
  <c r="CN56" i="11"/>
  <c r="CO56" i="11"/>
  <c r="CP56" i="11"/>
  <c r="CQ56" i="11"/>
  <c r="CR56" i="11"/>
  <c r="CS56" i="11"/>
  <c r="CT56" i="11"/>
  <c r="CU56" i="11"/>
  <c r="CV56" i="11"/>
  <c r="CW56" i="11"/>
  <c r="CX56" i="11"/>
  <c r="CY56" i="11"/>
  <c r="CZ56" i="11"/>
  <c r="DA56" i="11"/>
  <c r="DB56" i="11"/>
  <c r="DC56" i="11"/>
  <c r="DD56" i="11"/>
  <c r="DE56" i="11"/>
  <c r="DF56" i="11"/>
  <c r="DG56" i="11"/>
  <c r="DH56" i="11"/>
  <c r="DI56" i="11"/>
  <c r="DJ56" i="11"/>
  <c r="DK56" i="11"/>
  <c r="DL56" i="11"/>
  <c r="DM56" i="11"/>
  <c r="DN56" i="11"/>
  <c r="DO56" i="11"/>
  <c r="DP56" i="11"/>
  <c r="DQ56" i="11"/>
  <c r="DR56" i="11"/>
  <c r="DS56" i="11"/>
  <c r="DT56" i="11"/>
  <c r="DU56" i="11"/>
  <c r="DV56" i="11"/>
  <c r="DW56" i="11"/>
  <c r="DX56" i="11"/>
  <c r="DY56" i="11"/>
  <c r="DZ56" i="11"/>
  <c r="EA56" i="11"/>
  <c r="EB56" i="11"/>
  <c r="EC56" i="11"/>
  <c r="ED56" i="11"/>
  <c r="EE56" i="11"/>
  <c r="EF56" i="11"/>
  <c r="EG56" i="11"/>
  <c r="EH56" i="11"/>
  <c r="EI56" i="11"/>
  <c r="EJ56" i="11"/>
  <c r="EK56" i="11"/>
  <c r="EL56" i="11"/>
  <c r="EM56" i="11"/>
  <c r="EN56" i="11"/>
  <c r="EO56" i="11"/>
  <c r="EP56" i="11"/>
  <c r="EQ56" i="11"/>
  <c r="ER56" i="11"/>
  <c r="ES56" i="11"/>
  <c r="ET56" i="11"/>
  <c r="EU56" i="11"/>
  <c r="EV56" i="11"/>
  <c r="EW56" i="11"/>
  <c r="EX56" i="11"/>
  <c r="EY56" i="11"/>
  <c r="EZ56" i="11"/>
  <c r="FA56" i="11"/>
  <c r="FB56" i="11"/>
  <c r="FC56" i="11"/>
  <c r="FD56" i="11"/>
  <c r="FE56" i="11"/>
  <c r="FF56" i="11"/>
  <c r="FG56" i="11"/>
  <c r="FH56" i="11"/>
  <c r="FI56" i="11"/>
  <c r="FJ56" i="11"/>
  <c r="FK56" i="11"/>
  <c r="FL56" i="11"/>
  <c r="FM56" i="11"/>
  <c r="FN56" i="11"/>
  <c r="FO56" i="11"/>
  <c r="FP56" i="11"/>
  <c r="FQ56" i="11"/>
  <c r="FR56" i="11"/>
  <c r="FS56" i="11"/>
  <c r="FT56" i="11"/>
  <c r="FU56" i="11"/>
  <c r="FV56" i="11"/>
  <c r="FW56" i="11"/>
  <c r="FX56" i="11"/>
  <c r="FY56" i="11"/>
  <c r="FZ56" i="11"/>
  <c r="GA56" i="11"/>
  <c r="GB56" i="11"/>
  <c r="GC56" i="11"/>
  <c r="GD56" i="11"/>
  <c r="GE56" i="11"/>
  <c r="GF56" i="11"/>
  <c r="GG56" i="11"/>
  <c r="GH56" i="11"/>
  <c r="GI56" i="11"/>
  <c r="GJ56" i="11"/>
  <c r="GK56" i="11"/>
  <c r="GL56" i="11"/>
  <c r="GM56" i="11"/>
  <c r="GN56" i="11"/>
  <c r="GO56" i="11"/>
  <c r="GP56" i="11"/>
  <c r="GQ56" i="11"/>
  <c r="GR56" i="11"/>
  <c r="GS56" i="11"/>
  <c r="GT56" i="11"/>
  <c r="GU56" i="11"/>
  <c r="GV56" i="11"/>
  <c r="GW56" i="11"/>
  <c r="GX56" i="11"/>
  <c r="GY56" i="11"/>
  <c r="GZ56" i="11"/>
  <c r="HA56" i="11"/>
  <c r="HB56" i="11"/>
  <c r="HC56" i="11"/>
  <c r="HD56" i="11"/>
  <c r="HE56" i="11"/>
  <c r="HF56" i="11"/>
  <c r="HG56" i="11"/>
  <c r="HH56" i="11"/>
  <c r="HI56" i="11"/>
  <c r="HJ56" i="11"/>
  <c r="HK56" i="11"/>
  <c r="HL56" i="11"/>
  <c r="HM56" i="11"/>
  <c r="HN56" i="11"/>
  <c r="HO56" i="11"/>
  <c r="HP56" i="11"/>
  <c r="HQ56" i="11"/>
  <c r="HR56" i="11"/>
  <c r="HS56" i="11"/>
  <c r="HT56" i="11"/>
  <c r="HU56" i="11"/>
  <c r="HV56" i="11"/>
  <c r="HW56" i="11"/>
  <c r="HX56" i="11"/>
  <c r="HY56" i="11"/>
  <c r="HZ56" i="11"/>
  <c r="IA56" i="11"/>
  <c r="IB56" i="11"/>
  <c r="IC56" i="11"/>
  <c r="ID56" i="11"/>
  <c r="IE56" i="11"/>
  <c r="IF56" i="11"/>
  <c r="IG56" i="11"/>
  <c r="IH56" i="11"/>
  <c r="II56" i="11"/>
  <c r="IJ56" i="11"/>
  <c r="IK56" i="11"/>
  <c r="IL56" i="11"/>
  <c r="IM56" i="11"/>
  <c r="IN56" i="11"/>
  <c r="IO56" i="11"/>
  <c r="IP56" i="11"/>
  <c r="IQ56" i="11"/>
  <c r="IR56" i="11"/>
  <c r="IS56" i="11"/>
  <c r="IT56" i="11"/>
  <c r="IU56" i="11"/>
  <c r="IV56" i="11"/>
  <c r="IW56" i="11"/>
  <c r="IX56" i="11"/>
  <c r="IY56" i="11"/>
  <c r="IZ56" i="11"/>
  <c r="JA56" i="11"/>
  <c r="JB56" i="11"/>
  <c r="JC56" i="11"/>
  <c r="JD56" i="11"/>
  <c r="JE56" i="11"/>
  <c r="JF56" i="11"/>
  <c r="JG56" i="11"/>
  <c r="JH56" i="11"/>
  <c r="JI56" i="11"/>
  <c r="JJ56" i="11"/>
  <c r="JK56" i="11"/>
  <c r="JL56" i="11"/>
  <c r="JM56" i="11"/>
  <c r="JN56" i="11"/>
  <c r="JO56" i="11"/>
  <c r="JP56" i="11"/>
  <c r="JQ56" i="11"/>
  <c r="JR56" i="11"/>
  <c r="JS56" i="11"/>
  <c r="JT56" i="11"/>
  <c r="JU56" i="11"/>
  <c r="JV56" i="11"/>
  <c r="JW56" i="11"/>
  <c r="JX56" i="11"/>
  <c r="JY56" i="11"/>
  <c r="JZ56" i="11"/>
  <c r="KA56" i="11"/>
  <c r="KB56" i="11"/>
  <c r="KC56" i="11"/>
  <c r="KD56" i="11"/>
  <c r="KE56" i="11"/>
  <c r="KF56" i="11"/>
  <c r="KG56" i="11"/>
  <c r="KH56" i="11"/>
  <c r="KI56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CD57" i="11"/>
  <c r="CE57" i="11"/>
  <c r="CF57" i="11"/>
  <c r="CG57" i="11"/>
  <c r="CH57" i="11"/>
  <c r="CI57" i="11"/>
  <c r="CJ57" i="11"/>
  <c r="CK57" i="11"/>
  <c r="CL57" i="11"/>
  <c r="CM57" i="11"/>
  <c r="CN57" i="11"/>
  <c r="CO57" i="11"/>
  <c r="CP57" i="11"/>
  <c r="CQ57" i="11"/>
  <c r="CR57" i="11"/>
  <c r="CS57" i="11"/>
  <c r="CT57" i="11"/>
  <c r="CU57" i="11"/>
  <c r="CV57" i="11"/>
  <c r="CW57" i="11"/>
  <c r="CX57" i="11"/>
  <c r="CY57" i="11"/>
  <c r="CZ57" i="11"/>
  <c r="DA57" i="11"/>
  <c r="DB57" i="11"/>
  <c r="DC57" i="11"/>
  <c r="DD57" i="11"/>
  <c r="DE57" i="11"/>
  <c r="DF57" i="11"/>
  <c r="DG57" i="11"/>
  <c r="DH57" i="11"/>
  <c r="DI57" i="11"/>
  <c r="DJ57" i="11"/>
  <c r="DK57" i="11"/>
  <c r="DL57" i="11"/>
  <c r="DM57" i="11"/>
  <c r="DN57" i="11"/>
  <c r="DO57" i="11"/>
  <c r="DP57" i="11"/>
  <c r="DQ57" i="11"/>
  <c r="DR57" i="11"/>
  <c r="DS57" i="11"/>
  <c r="DT57" i="11"/>
  <c r="DU57" i="11"/>
  <c r="DV57" i="11"/>
  <c r="DW57" i="11"/>
  <c r="DX57" i="11"/>
  <c r="DY57" i="11"/>
  <c r="DZ57" i="11"/>
  <c r="EA57" i="11"/>
  <c r="EB57" i="11"/>
  <c r="EC57" i="11"/>
  <c r="ED57" i="11"/>
  <c r="EE57" i="11"/>
  <c r="EF57" i="11"/>
  <c r="EG57" i="11"/>
  <c r="EH57" i="11"/>
  <c r="EI57" i="11"/>
  <c r="EJ57" i="11"/>
  <c r="EK57" i="11"/>
  <c r="EL57" i="11"/>
  <c r="EM57" i="11"/>
  <c r="EN57" i="11"/>
  <c r="EO57" i="11"/>
  <c r="EP57" i="11"/>
  <c r="EQ57" i="11"/>
  <c r="ER57" i="11"/>
  <c r="ES57" i="11"/>
  <c r="ET57" i="11"/>
  <c r="EU57" i="11"/>
  <c r="EV57" i="11"/>
  <c r="EW57" i="11"/>
  <c r="EX57" i="11"/>
  <c r="EY57" i="11"/>
  <c r="EZ57" i="11"/>
  <c r="FA57" i="11"/>
  <c r="FB57" i="11"/>
  <c r="FC57" i="11"/>
  <c r="FD57" i="11"/>
  <c r="FE57" i="11"/>
  <c r="FF57" i="11"/>
  <c r="FG57" i="11"/>
  <c r="FH57" i="11"/>
  <c r="FI57" i="11"/>
  <c r="FJ57" i="11"/>
  <c r="FK57" i="11"/>
  <c r="FL57" i="11"/>
  <c r="FM57" i="11"/>
  <c r="FN57" i="11"/>
  <c r="FO57" i="11"/>
  <c r="FP57" i="11"/>
  <c r="FQ57" i="11"/>
  <c r="FR57" i="11"/>
  <c r="FS57" i="11"/>
  <c r="FT57" i="11"/>
  <c r="FU57" i="11"/>
  <c r="FV57" i="11"/>
  <c r="FW57" i="11"/>
  <c r="FX57" i="11"/>
  <c r="FY57" i="11"/>
  <c r="FZ57" i="11"/>
  <c r="GA57" i="11"/>
  <c r="GB57" i="11"/>
  <c r="GC57" i="11"/>
  <c r="GD57" i="11"/>
  <c r="GE57" i="11"/>
  <c r="GF57" i="11"/>
  <c r="GG57" i="11"/>
  <c r="GH57" i="11"/>
  <c r="GI57" i="11"/>
  <c r="GJ57" i="11"/>
  <c r="GK57" i="11"/>
  <c r="GL57" i="11"/>
  <c r="GM57" i="11"/>
  <c r="GN57" i="11"/>
  <c r="GO57" i="11"/>
  <c r="GP57" i="11"/>
  <c r="GQ57" i="11"/>
  <c r="GR57" i="11"/>
  <c r="GS57" i="11"/>
  <c r="GT57" i="11"/>
  <c r="GU57" i="11"/>
  <c r="GV57" i="11"/>
  <c r="GW57" i="11"/>
  <c r="GX57" i="11"/>
  <c r="GY57" i="11"/>
  <c r="GZ57" i="11"/>
  <c r="HA57" i="11"/>
  <c r="HB57" i="11"/>
  <c r="HC57" i="11"/>
  <c r="HD57" i="11"/>
  <c r="HE57" i="11"/>
  <c r="HF57" i="11"/>
  <c r="HG57" i="11"/>
  <c r="HH57" i="11"/>
  <c r="HI57" i="11"/>
  <c r="HJ57" i="11"/>
  <c r="HK57" i="11"/>
  <c r="HL57" i="11"/>
  <c r="HM57" i="11"/>
  <c r="HN57" i="11"/>
  <c r="HO57" i="11"/>
  <c r="HP57" i="11"/>
  <c r="HQ57" i="11"/>
  <c r="HR57" i="11"/>
  <c r="HS57" i="11"/>
  <c r="HT57" i="11"/>
  <c r="HU57" i="11"/>
  <c r="HV57" i="11"/>
  <c r="HW57" i="11"/>
  <c r="HX57" i="11"/>
  <c r="HY57" i="11"/>
  <c r="HZ57" i="11"/>
  <c r="IA57" i="11"/>
  <c r="IB57" i="11"/>
  <c r="IC57" i="11"/>
  <c r="ID57" i="11"/>
  <c r="IE57" i="11"/>
  <c r="IF57" i="11"/>
  <c r="IG57" i="11"/>
  <c r="IH57" i="11"/>
  <c r="II57" i="11"/>
  <c r="IJ57" i="11"/>
  <c r="IK57" i="11"/>
  <c r="IL57" i="11"/>
  <c r="IM57" i="11"/>
  <c r="IN57" i="11"/>
  <c r="IO57" i="11"/>
  <c r="IP57" i="11"/>
  <c r="IQ57" i="11"/>
  <c r="IR57" i="11"/>
  <c r="IS57" i="11"/>
  <c r="IT57" i="11"/>
  <c r="IU57" i="11"/>
  <c r="IV57" i="11"/>
  <c r="IW57" i="11"/>
  <c r="IX57" i="11"/>
  <c r="IY57" i="11"/>
  <c r="IZ57" i="11"/>
  <c r="JA57" i="11"/>
  <c r="JB57" i="11"/>
  <c r="JC57" i="11"/>
  <c r="JD57" i="11"/>
  <c r="JE57" i="11"/>
  <c r="JF57" i="11"/>
  <c r="JG57" i="11"/>
  <c r="JH57" i="11"/>
  <c r="JI57" i="11"/>
  <c r="JJ57" i="11"/>
  <c r="JK57" i="11"/>
  <c r="JL57" i="11"/>
  <c r="JM57" i="11"/>
  <c r="JN57" i="11"/>
  <c r="JO57" i="11"/>
  <c r="JP57" i="11"/>
  <c r="JQ57" i="11"/>
  <c r="JR57" i="11"/>
  <c r="JS57" i="11"/>
  <c r="JT57" i="11"/>
  <c r="JU57" i="11"/>
  <c r="JV57" i="11"/>
  <c r="JW57" i="11"/>
  <c r="JX57" i="11"/>
  <c r="JY57" i="11"/>
  <c r="JZ57" i="11"/>
  <c r="KA57" i="11"/>
  <c r="KB57" i="11"/>
  <c r="KC57" i="11"/>
  <c r="KD57" i="11"/>
  <c r="KE57" i="11"/>
  <c r="KF57" i="11"/>
  <c r="KG57" i="11"/>
  <c r="KH57" i="11"/>
  <c r="KI57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CD58" i="11"/>
  <c r="CE58" i="11"/>
  <c r="CF58" i="11"/>
  <c r="CG58" i="11"/>
  <c r="CH58" i="11"/>
  <c r="CI58" i="11"/>
  <c r="CJ58" i="11"/>
  <c r="CK58" i="11"/>
  <c r="CL58" i="11"/>
  <c r="CM58" i="11"/>
  <c r="CN58" i="11"/>
  <c r="CO58" i="11"/>
  <c r="CP58" i="11"/>
  <c r="CQ58" i="11"/>
  <c r="CR58" i="11"/>
  <c r="CS58" i="11"/>
  <c r="CT58" i="11"/>
  <c r="CU58" i="11"/>
  <c r="CV58" i="11"/>
  <c r="CW58" i="11"/>
  <c r="CX58" i="11"/>
  <c r="CY58" i="11"/>
  <c r="CZ58" i="11"/>
  <c r="DA58" i="11"/>
  <c r="DB58" i="11"/>
  <c r="DC58" i="11"/>
  <c r="DD58" i="11"/>
  <c r="DE58" i="11"/>
  <c r="DF58" i="11"/>
  <c r="DG58" i="11"/>
  <c r="DH58" i="11"/>
  <c r="DI58" i="11"/>
  <c r="DJ58" i="11"/>
  <c r="DK58" i="11"/>
  <c r="DL58" i="11"/>
  <c r="DM58" i="11"/>
  <c r="DN58" i="11"/>
  <c r="DO58" i="11"/>
  <c r="DP58" i="11"/>
  <c r="DQ58" i="11"/>
  <c r="DR58" i="11"/>
  <c r="DS58" i="11"/>
  <c r="DT58" i="11"/>
  <c r="DU58" i="11"/>
  <c r="DV58" i="11"/>
  <c r="DW58" i="11"/>
  <c r="DX58" i="11"/>
  <c r="DY58" i="11"/>
  <c r="DZ58" i="11"/>
  <c r="EA58" i="11"/>
  <c r="EB58" i="11"/>
  <c r="EC58" i="11"/>
  <c r="ED58" i="11"/>
  <c r="EE58" i="11"/>
  <c r="EF58" i="11"/>
  <c r="EG58" i="11"/>
  <c r="EH58" i="11"/>
  <c r="EI58" i="11"/>
  <c r="EJ58" i="11"/>
  <c r="EK58" i="11"/>
  <c r="EL58" i="11"/>
  <c r="EM58" i="11"/>
  <c r="EN58" i="11"/>
  <c r="EO58" i="11"/>
  <c r="EP58" i="11"/>
  <c r="EQ58" i="11"/>
  <c r="ER58" i="11"/>
  <c r="ES58" i="11"/>
  <c r="ET58" i="11"/>
  <c r="EU58" i="11"/>
  <c r="EV58" i="11"/>
  <c r="EW58" i="11"/>
  <c r="EX58" i="11"/>
  <c r="EY58" i="11"/>
  <c r="EZ58" i="11"/>
  <c r="FA58" i="11"/>
  <c r="FB58" i="11"/>
  <c r="FC58" i="11"/>
  <c r="FD58" i="11"/>
  <c r="FE58" i="11"/>
  <c r="FF58" i="11"/>
  <c r="FG58" i="11"/>
  <c r="FH58" i="11"/>
  <c r="FI58" i="11"/>
  <c r="FJ58" i="11"/>
  <c r="FK58" i="11"/>
  <c r="FL58" i="11"/>
  <c r="FM58" i="11"/>
  <c r="FN58" i="11"/>
  <c r="FO58" i="11"/>
  <c r="FP58" i="11"/>
  <c r="FQ58" i="11"/>
  <c r="FR58" i="11"/>
  <c r="FS58" i="11"/>
  <c r="FT58" i="11"/>
  <c r="FU58" i="11"/>
  <c r="FV58" i="11"/>
  <c r="FW58" i="11"/>
  <c r="FX58" i="11"/>
  <c r="FY58" i="11"/>
  <c r="FZ58" i="11"/>
  <c r="GA58" i="11"/>
  <c r="GB58" i="11"/>
  <c r="GC58" i="11"/>
  <c r="GD58" i="11"/>
  <c r="GE58" i="11"/>
  <c r="GF58" i="11"/>
  <c r="GG58" i="11"/>
  <c r="GH58" i="11"/>
  <c r="GI58" i="11"/>
  <c r="GJ58" i="11"/>
  <c r="GK58" i="11"/>
  <c r="GL58" i="11"/>
  <c r="GM58" i="11"/>
  <c r="GN58" i="11"/>
  <c r="GO58" i="11"/>
  <c r="GP58" i="11"/>
  <c r="GQ58" i="11"/>
  <c r="GR58" i="11"/>
  <c r="GS58" i="11"/>
  <c r="GT58" i="11"/>
  <c r="GU58" i="11"/>
  <c r="GV58" i="11"/>
  <c r="GW58" i="11"/>
  <c r="GX58" i="11"/>
  <c r="GY58" i="11"/>
  <c r="GZ58" i="11"/>
  <c r="HA58" i="11"/>
  <c r="HB58" i="11"/>
  <c r="HC58" i="11"/>
  <c r="HD58" i="11"/>
  <c r="HE58" i="11"/>
  <c r="HF58" i="11"/>
  <c r="HG58" i="11"/>
  <c r="HH58" i="11"/>
  <c r="HI58" i="11"/>
  <c r="HJ58" i="11"/>
  <c r="HK58" i="11"/>
  <c r="HL58" i="11"/>
  <c r="HM58" i="11"/>
  <c r="HN58" i="11"/>
  <c r="HO58" i="11"/>
  <c r="HP58" i="11"/>
  <c r="HQ58" i="11"/>
  <c r="HR58" i="11"/>
  <c r="HS58" i="11"/>
  <c r="HT58" i="11"/>
  <c r="HU58" i="11"/>
  <c r="HV58" i="11"/>
  <c r="HW58" i="11"/>
  <c r="HX58" i="11"/>
  <c r="HY58" i="11"/>
  <c r="HZ58" i="11"/>
  <c r="IA58" i="11"/>
  <c r="IB58" i="11"/>
  <c r="IC58" i="11"/>
  <c r="ID58" i="11"/>
  <c r="IE58" i="11"/>
  <c r="IF58" i="11"/>
  <c r="IG58" i="11"/>
  <c r="IH58" i="11"/>
  <c r="II58" i="11"/>
  <c r="IJ58" i="11"/>
  <c r="IK58" i="11"/>
  <c r="IL58" i="11"/>
  <c r="IM58" i="11"/>
  <c r="IN58" i="11"/>
  <c r="IO58" i="11"/>
  <c r="IP58" i="11"/>
  <c r="IQ58" i="11"/>
  <c r="IR58" i="11"/>
  <c r="IS58" i="11"/>
  <c r="IT58" i="11"/>
  <c r="IU58" i="11"/>
  <c r="IV58" i="11"/>
  <c r="IW58" i="11"/>
  <c r="IX58" i="11"/>
  <c r="IY58" i="11"/>
  <c r="IZ58" i="11"/>
  <c r="JA58" i="11"/>
  <c r="JB58" i="11"/>
  <c r="JC58" i="11"/>
  <c r="JD58" i="11"/>
  <c r="JE58" i="11"/>
  <c r="JF58" i="11"/>
  <c r="JG58" i="11"/>
  <c r="JH58" i="11"/>
  <c r="JI58" i="11"/>
  <c r="JJ58" i="11"/>
  <c r="JK58" i="11"/>
  <c r="JL58" i="11"/>
  <c r="JM58" i="11"/>
  <c r="JN58" i="11"/>
  <c r="JO58" i="11"/>
  <c r="JP58" i="11"/>
  <c r="JQ58" i="11"/>
  <c r="JR58" i="11"/>
  <c r="JS58" i="11"/>
  <c r="JT58" i="11"/>
  <c r="JU58" i="11"/>
  <c r="JV58" i="11"/>
  <c r="JW58" i="11"/>
  <c r="JX58" i="11"/>
  <c r="JY58" i="11"/>
  <c r="JZ58" i="11"/>
  <c r="KA58" i="11"/>
  <c r="KB58" i="11"/>
  <c r="KC58" i="11"/>
  <c r="KD58" i="11"/>
  <c r="KE58" i="11"/>
  <c r="KF58" i="11"/>
  <c r="KG58" i="11"/>
  <c r="KH58" i="11"/>
  <c r="KI58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CD59" i="11"/>
  <c r="CE59" i="11"/>
  <c r="CF59" i="11"/>
  <c r="CG59" i="11"/>
  <c r="CH59" i="11"/>
  <c r="CI59" i="11"/>
  <c r="CJ59" i="11"/>
  <c r="CK59" i="11"/>
  <c r="CL59" i="11"/>
  <c r="CM59" i="11"/>
  <c r="CN59" i="11"/>
  <c r="CO59" i="11"/>
  <c r="CP59" i="11"/>
  <c r="CQ59" i="11"/>
  <c r="CR59" i="11"/>
  <c r="CS59" i="11"/>
  <c r="CT59" i="11"/>
  <c r="CU59" i="11"/>
  <c r="CV59" i="11"/>
  <c r="CW59" i="11"/>
  <c r="CX59" i="11"/>
  <c r="CY59" i="11"/>
  <c r="CZ59" i="11"/>
  <c r="DA59" i="11"/>
  <c r="DB59" i="11"/>
  <c r="DC59" i="11"/>
  <c r="DD59" i="11"/>
  <c r="DE59" i="11"/>
  <c r="DF59" i="11"/>
  <c r="DG59" i="11"/>
  <c r="DH59" i="11"/>
  <c r="DI59" i="11"/>
  <c r="DJ59" i="11"/>
  <c r="DK59" i="11"/>
  <c r="DL59" i="11"/>
  <c r="DM59" i="11"/>
  <c r="DN59" i="11"/>
  <c r="DO59" i="11"/>
  <c r="DP59" i="11"/>
  <c r="DQ59" i="11"/>
  <c r="DR59" i="11"/>
  <c r="DS59" i="11"/>
  <c r="DT59" i="11"/>
  <c r="DU59" i="11"/>
  <c r="DV59" i="11"/>
  <c r="DW59" i="11"/>
  <c r="DX59" i="11"/>
  <c r="DY59" i="11"/>
  <c r="DZ59" i="11"/>
  <c r="EA59" i="11"/>
  <c r="EB59" i="11"/>
  <c r="EC59" i="11"/>
  <c r="ED59" i="11"/>
  <c r="EE59" i="11"/>
  <c r="EF59" i="11"/>
  <c r="EG59" i="11"/>
  <c r="EH59" i="11"/>
  <c r="EI59" i="11"/>
  <c r="EJ59" i="11"/>
  <c r="EK59" i="11"/>
  <c r="EL59" i="11"/>
  <c r="EM59" i="11"/>
  <c r="EN59" i="11"/>
  <c r="EO59" i="11"/>
  <c r="EP59" i="11"/>
  <c r="EQ59" i="11"/>
  <c r="ER59" i="11"/>
  <c r="ES59" i="11"/>
  <c r="ET59" i="11"/>
  <c r="EU59" i="11"/>
  <c r="EV59" i="11"/>
  <c r="EW59" i="11"/>
  <c r="EX59" i="11"/>
  <c r="EY59" i="11"/>
  <c r="EZ59" i="11"/>
  <c r="FA59" i="11"/>
  <c r="FB59" i="11"/>
  <c r="FC59" i="11"/>
  <c r="FD59" i="11"/>
  <c r="FE59" i="11"/>
  <c r="FF59" i="11"/>
  <c r="FG59" i="11"/>
  <c r="FH59" i="11"/>
  <c r="FI59" i="11"/>
  <c r="FJ59" i="11"/>
  <c r="FK59" i="11"/>
  <c r="FL59" i="11"/>
  <c r="FM59" i="11"/>
  <c r="FN59" i="11"/>
  <c r="FO59" i="11"/>
  <c r="FP59" i="11"/>
  <c r="FQ59" i="11"/>
  <c r="FR59" i="11"/>
  <c r="FS59" i="11"/>
  <c r="FT59" i="11"/>
  <c r="FU59" i="11"/>
  <c r="FV59" i="11"/>
  <c r="FW59" i="11"/>
  <c r="FX59" i="11"/>
  <c r="FY59" i="11"/>
  <c r="FZ59" i="11"/>
  <c r="GA59" i="11"/>
  <c r="GB59" i="11"/>
  <c r="GC59" i="11"/>
  <c r="GD59" i="11"/>
  <c r="GE59" i="11"/>
  <c r="GF59" i="11"/>
  <c r="GG59" i="11"/>
  <c r="GH59" i="11"/>
  <c r="GI59" i="11"/>
  <c r="GJ59" i="11"/>
  <c r="GK59" i="11"/>
  <c r="GL59" i="11"/>
  <c r="GM59" i="11"/>
  <c r="GN59" i="11"/>
  <c r="GO59" i="11"/>
  <c r="GP59" i="11"/>
  <c r="GQ59" i="11"/>
  <c r="GR59" i="11"/>
  <c r="GS59" i="11"/>
  <c r="GT59" i="11"/>
  <c r="GU59" i="11"/>
  <c r="GV59" i="11"/>
  <c r="GW59" i="11"/>
  <c r="GX59" i="11"/>
  <c r="GY59" i="11"/>
  <c r="GZ59" i="11"/>
  <c r="HA59" i="11"/>
  <c r="HB59" i="11"/>
  <c r="HC59" i="11"/>
  <c r="HD59" i="11"/>
  <c r="HE59" i="11"/>
  <c r="HF59" i="11"/>
  <c r="HG59" i="11"/>
  <c r="HH59" i="11"/>
  <c r="HI59" i="11"/>
  <c r="HJ59" i="11"/>
  <c r="HK59" i="11"/>
  <c r="HL59" i="11"/>
  <c r="HM59" i="11"/>
  <c r="HN59" i="11"/>
  <c r="HO59" i="11"/>
  <c r="HP59" i="11"/>
  <c r="HQ59" i="11"/>
  <c r="HR59" i="11"/>
  <c r="HS59" i="11"/>
  <c r="HT59" i="11"/>
  <c r="HU59" i="11"/>
  <c r="HV59" i="11"/>
  <c r="HW59" i="11"/>
  <c r="HX59" i="11"/>
  <c r="HY59" i="11"/>
  <c r="HZ59" i="11"/>
  <c r="IA59" i="11"/>
  <c r="IB59" i="11"/>
  <c r="IC59" i="11"/>
  <c r="ID59" i="11"/>
  <c r="IE59" i="11"/>
  <c r="IF59" i="11"/>
  <c r="IG59" i="11"/>
  <c r="IH59" i="11"/>
  <c r="II59" i="11"/>
  <c r="IJ59" i="11"/>
  <c r="IK59" i="11"/>
  <c r="IL59" i="11"/>
  <c r="IM59" i="11"/>
  <c r="IN59" i="11"/>
  <c r="IO59" i="11"/>
  <c r="IP59" i="11"/>
  <c r="IQ59" i="11"/>
  <c r="IR59" i="11"/>
  <c r="IS59" i="11"/>
  <c r="IT59" i="11"/>
  <c r="IU59" i="11"/>
  <c r="IV59" i="11"/>
  <c r="IW59" i="11"/>
  <c r="IX59" i="11"/>
  <c r="IY59" i="11"/>
  <c r="IZ59" i="11"/>
  <c r="JA59" i="11"/>
  <c r="JB59" i="11"/>
  <c r="JC59" i="11"/>
  <c r="JD59" i="11"/>
  <c r="JE59" i="11"/>
  <c r="JF59" i="11"/>
  <c r="JG59" i="11"/>
  <c r="JH59" i="11"/>
  <c r="JI59" i="11"/>
  <c r="JJ59" i="11"/>
  <c r="JK59" i="11"/>
  <c r="JL59" i="11"/>
  <c r="JM59" i="11"/>
  <c r="JN59" i="11"/>
  <c r="JO59" i="11"/>
  <c r="JP59" i="11"/>
  <c r="JQ59" i="11"/>
  <c r="JR59" i="11"/>
  <c r="JS59" i="11"/>
  <c r="JT59" i="11"/>
  <c r="JU59" i="11"/>
  <c r="JV59" i="11"/>
  <c r="JW59" i="11"/>
  <c r="JX59" i="11"/>
  <c r="JY59" i="11"/>
  <c r="JZ59" i="11"/>
  <c r="KA59" i="11"/>
  <c r="KB59" i="11"/>
  <c r="KC59" i="11"/>
  <c r="KD59" i="11"/>
  <c r="KE59" i="11"/>
  <c r="KF59" i="11"/>
  <c r="KG59" i="11"/>
  <c r="KH59" i="11"/>
  <c r="KI59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CD60" i="11"/>
  <c r="CE60" i="11"/>
  <c r="CF60" i="11"/>
  <c r="CG60" i="11"/>
  <c r="CH60" i="11"/>
  <c r="CI60" i="11"/>
  <c r="CJ60" i="11"/>
  <c r="CK60" i="11"/>
  <c r="CL60" i="11"/>
  <c r="CM60" i="11"/>
  <c r="CN60" i="11"/>
  <c r="CO60" i="11"/>
  <c r="CP60" i="11"/>
  <c r="CQ60" i="11"/>
  <c r="CR60" i="11"/>
  <c r="CS60" i="11"/>
  <c r="CT60" i="11"/>
  <c r="CU60" i="11"/>
  <c r="CV60" i="11"/>
  <c r="CW60" i="11"/>
  <c r="CX60" i="11"/>
  <c r="CY60" i="11"/>
  <c r="CZ60" i="11"/>
  <c r="DA60" i="11"/>
  <c r="DB60" i="11"/>
  <c r="DC60" i="11"/>
  <c r="DD60" i="11"/>
  <c r="DE60" i="11"/>
  <c r="DF60" i="11"/>
  <c r="DG60" i="11"/>
  <c r="DH60" i="11"/>
  <c r="DI60" i="11"/>
  <c r="DJ60" i="11"/>
  <c r="DK60" i="11"/>
  <c r="DL60" i="11"/>
  <c r="DM60" i="11"/>
  <c r="DN60" i="11"/>
  <c r="DO60" i="11"/>
  <c r="DP60" i="11"/>
  <c r="DQ60" i="11"/>
  <c r="DR60" i="11"/>
  <c r="DS60" i="11"/>
  <c r="DT60" i="11"/>
  <c r="DU60" i="11"/>
  <c r="DV60" i="11"/>
  <c r="DW60" i="11"/>
  <c r="DX60" i="11"/>
  <c r="DY60" i="11"/>
  <c r="DZ60" i="11"/>
  <c r="EA60" i="11"/>
  <c r="EB60" i="11"/>
  <c r="EC60" i="11"/>
  <c r="ED60" i="11"/>
  <c r="EE60" i="11"/>
  <c r="EF60" i="11"/>
  <c r="EG60" i="11"/>
  <c r="EH60" i="11"/>
  <c r="EI60" i="11"/>
  <c r="EJ60" i="11"/>
  <c r="EK60" i="11"/>
  <c r="EL60" i="11"/>
  <c r="EM60" i="11"/>
  <c r="EN60" i="11"/>
  <c r="EO60" i="11"/>
  <c r="EP60" i="11"/>
  <c r="EQ60" i="11"/>
  <c r="ER60" i="11"/>
  <c r="ES60" i="11"/>
  <c r="ET60" i="11"/>
  <c r="EU60" i="11"/>
  <c r="EV60" i="11"/>
  <c r="EW60" i="11"/>
  <c r="EX60" i="11"/>
  <c r="EY60" i="11"/>
  <c r="EZ60" i="11"/>
  <c r="FA60" i="11"/>
  <c r="FB60" i="11"/>
  <c r="FC60" i="11"/>
  <c r="FD60" i="11"/>
  <c r="FE60" i="11"/>
  <c r="FF60" i="11"/>
  <c r="FG60" i="11"/>
  <c r="FH60" i="11"/>
  <c r="FI60" i="11"/>
  <c r="FJ60" i="11"/>
  <c r="FK60" i="11"/>
  <c r="FL60" i="11"/>
  <c r="FM60" i="11"/>
  <c r="FN60" i="11"/>
  <c r="FO60" i="11"/>
  <c r="FP60" i="11"/>
  <c r="FQ60" i="11"/>
  <c r="FR60" i="11"/>
  <c r="FS60" i="11"/>
  <c r="FT60" i="11"/>
  <c r="FU60" i="11"/>
  <c r="FV60" i="11"/>
  <c r="FW60" i="11"/>
  <c r="FX60" i="11"/>
  <c r="FY60" i="11"/>
  <c r="FZ60" i="11"/>
  <c r="GA60" i="11"/>
  <c r="GB60" i="11"/>
  <c r="GC60" i="11"/>
  <c r="GD60" i="11"/>
  <c r="GE60" i="11"/>
  <c r="GF60" i="11"/>
  <c r="GG60" i="11"/>
  <c r="GH60" i="11"/>
  <c r="GI60" i="11"/>
  <c r="GJ60" i="11"/>
  <c r="GK60" i="11"/>
  <c r="GL60" i="11"/>
  <c r="GM60" i="11"/>
  <c r="GN60" i="11"/>
  <c r="GO60" i="11"/>
  <c r="GP60" i="11"/>
  <c r="GQ60" i="11"/>
  <c r="GR60" i="11"/>
  <c r="GS60" i="11"/>
  <c r="GT60" i="11"/>
  <c r="GU60" i="11"/>
  <c r="GV60" i="11"/>
  <c r="GW60" i="11"/>
  <c r="GX60" i="11"/>
  <c r="GY60" i="11"/>
  <c r="GZ60" i="11"/>
  <c r="HA60" i="11"/>
  <c r="HB60" i="11"/>
  <c r="HC60" i="11"/>
  <c r="HD60" i="11"/>
  <c r="HE60" i="11"/>
  <c r="HF60" i="11"/>
  <c r="HG60" i="11"/>
  <c r="HH60" i="11"/>
  <c r="HI60" i="11"/>
  <c r="HJ60" i="11"/>
  <c r="HK60" i="11"/>
  <c r="HL60" i="11"/>
  <c r="HM60" i="11"/>
  <c r="HN60" i="11"/>
  <c r="HO60" i="11"/>
  <c r="HP60" i="11"/>
  <c r="HQ60" i="11"/>
  <c r="HR60" i="11"/>
  <c r="HS60" i="11"/>
  <c r="HT60" i="11"/>
  <c r="HU60" i="11"/>
  <c r="HV60" i="11"/>
  <c r="HW60" i="11"/>
  <c r="HX60" i="11"/>
  <c r="HY60" i="11"/>
  <c r="HZ60" i="11"/>
  <c r="IA60" i="11"/>
  <c r="IB60" i="11"/>
  <c r="IC60" i="11"/>
  <c r="ID60" i="11"/>
  <c r="IE60" i="11"/>
  <c r="IF60" i="11"/>
  <c r="IG60" i="11"/>
  <c r="IH60" i="11"/>
  <c r="II60" i="11"/>
  <c r="IJ60" i="11"/>
  <c r="IK60" i="11"/>
  <c r="IL60" i="11"/>
  <c r="IM60" i="11"/>
  <c r="IN60" i="11"/>
  <c r="IO60" i="11"/>
  <c r="IP60" i="11"/>
  <c r="IQ60" i="11"/>
  <c r="IR60" i="11"/>
  <c r="IS60" i="11"/>
  <c r="IT60" i="11"/>
  <c r="IU60" i="11"/>
  <c r="IV60" i="11"/>
  <c r="IW60" i="11"/>
  <c r="IX60" i="11"/>
  <c r="IY60" i="11"/>
  <c r="IZ60" i="11"/>
  <c r="JA60" i="11"/>
  <c r="JB60" i="11"/>
  <c r="JC60" i="11"/>
  <c r="JD60" i="11"/>
  <c r="JE60" i="11"/>
  <c r="JF60" i="11"/>
  <c r="JG60" i="11"/>
  <c r="JH60" i="11"/>
  <c r="JI60" i="11"/>
  <c r="JJ60" i="11"/>
  <c r="JK60" i="11"/>
  <c r="JL60" i="11"/>
  <c r="JM60" i="11"/>
  <c r="JN60" i="11"/>
  <c r="JO60" i="11"/>
  <c r="JP60" i="11"/>
  <c r="JQ60" i="11"/>
  <c r="JR60" i="11"/>
  <c r="JS60" i="11"/>
  <c r="JT60" i="11"/>
  <c r="JU60" i="11"/>
  <c r="JV60" i="11"/>
  <c r="JW60" i="11"/>
  <c r="JX60" i="11"/>
  <c r="JY60" i="11"/>
  <c r="JZ60" i="11"/>
  <c r="KA60" i="11"/>
  <c r="KB60" i="11"/>
  <c r="KC60" i="11"/>
  <c r="KD60" i="11"/>
  <c r="KE60" i="11"/>
  <c r="KF60" i="11"/>
  <c r="KG60" i="11"/>
  <c r="KH60" i="11"/>
  <c r="KI60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CD61" i="11"/>
  <c r="CE61" i="11"/>
  <c r="CF61" i="11"/>
  <c r="CG61" i="11"/>
  <c r="CH61" i="11"/>
  <c r="CI61" i="11"/>
  <c r="CJ61" i="11"/>
  <c r="CK61" i="11"/>
  <c r="CL61" i="11"/>
  <c r="CM61" i="11"/>
  <c r="CN61" i="11"/>
  <c r="CO61" i="11"/>
  <c r="CP61" i="11"/>
  <c r="CQ61" i="11"/>
  <c r="CR61" i="11"/>
  <c r="CS61" i="11"/>
  <c r="CT61" i="11"/>
  <c r="CU61" i="11"/>
  <c r="CV61" i="11"/>
  <c r="CW61" i="11"/>
  <c r="CX61" i="11"/>
  <c r="CY61" i="11"/>
  <c r="CZ61" i="11"/>
  <c r="DA61" i="11"/>
  <c r="DB61" i="11"/>
  <c r="DC61" i="11"/>
  <c r="DD61" i="11"/>
  <c r="DE61" i="11"/>
  <c r="DF61" i="11"/>
  <c r="DG61" i="11"/>
  <c r="DH61" i="11"/>
  <c r="DI61" i="11"/>
  <c r="DJ61" i="11"/>
  <c r="DK61" i="11"/>
  <c r="DL61" i="11"/>
  <c r="DM61" i="11"/>
  <c r="DN61" i="11"/>
  <c r="DO61" i="11"/>
  <c r="DP61" i="11"/>
  <c r="DQ61" i="11"/>
  <c r="DR61" i="11"/>
  <c r="DS61" i="11"/>
  <c r="DT61" i="11"/>
  <c r="DU61" i="11"/>
  <c r="DV61" i="11"/>
  <c r="DW61" i="11"/>
  <c r="DX61" i="11"/>
  <c r="DY61" i="11"/>
  <c r="DZ61" i="11"/>
  <c r="EA61" i="11"/>
  <c r="EB61" i="11"/>
  <c r="EC61" i="11"/>
  <c r="ED61" i="11"/>
  <c r="EE61" i="11"/>
  <c r="EF61" i="11"/>
  <c r="EG61" i="11"/>
  <c r="EH61" i="11"/>
  <c r="EI61" i="11"/>
  <c r="EJ61" i="11"/>
  <c r="EK61" i="11"/>
  <c r="EL61" i="11"/>
  <c r="EM61" i="11"/>
  <c r="EN61" i="11"/>
  <c r="EO61" i="11"/>
  <c r="EP61" i="11"/>
  <c r="EQ61" i="11"/>
  <c r="ER61" i="11"/>
  <c r="ES61" i="11"/>
  <c r="ET61" i="11"/>
  <c r="EU61" i="11"/>
  <c r="EV61" i="11"/>
  <c r="EW61" i="11"/>
  <c r="EX61" i="11"/>
  <c r="EY61" i="11"/>
  <c r="EZ61" i="11"/>
  <c r="FA61" i="11"/>
  <c r="FB61" i="11"/>
  <c r="FC61" i="11"/>
  <c r="FD61" i="11"/>
  <c r="FE61" i="11"/>
  <c r="FF61" i="11"/>
  <c r="FG61" i="11"/>
  <c r="FH61" i="11"/>
  <c r="FI61" i="11"/>
  <c r="FJ61" i="11"/>
  <c r="FK61" i="11"/>
  <c r="FL61" i="11"/>
  <c r="FM61" i="11"/>
  <c r="FN61" i="11"/>
  <c r="FO61" i="11"/>
  <c r="FP61" i="11"/>
  <c r="FQ61" i="11"/>
  <c r="FR61" i="11"/>
  <c r="FS61" i="11"/>
  <c r="FT61" i="11"/>
  <c r="FU61" i="11"/>
  <c r="FV61" i="11"/>
  <c r="FW61" i="11"/>
  <c r="FX61" i="11"/>
  <c r="FY61" i="11"/>
  <c r="FZ61" i="11"/>
  <c r="GA61" i="11"/>
  <c r="GB61" i="11"/>
  <c r="GC61" i="11"/>
  <c r="GD61" i="11"/>
  <c r="GE61" i="11"/>
  <c r="GF61" i="11"/>
  <c r="GG61" i="11"/>
  <c r="GH61" i="11"/>
  <c r="GI61" i="11"/>
  <c r="GJ61" i="11"/>
  <c r="GK61" i="11"/>
  <c r="GL61" i="11"/>
  <c r="GM61" i="11"/>
  <c r="GN61" i="11"/>
  <c r="GO61" i="11"/>
  <c r="GP61" i="11"/>
  <c r="GQ61" i="11"/>
  <c r="GR61" i="11"/>
  <c r="GS61" i="11"/>
  <c r="GT61" i="11"/>
  <c r="GU61" i="11"/>
  <c r="GV61" i="11"/>
  <c r="GW61" i="11"/>
  <c r="GX61" i="11"/>
  <c r="GY61" i="11"/>
  <c r="GZ61" i="11"/>
  <c r="HA61" i="11"/>
  <c r="HB61" i="11"/>
  <c r="HC61" i="11"/>
  <c r="HD61" i="11"/>
  <c r="HE61" i="11"/>
  <c r="HF61" i="11"/>
  <c r="HG61" i="11"/>
  <c r="HH61" i="11"/>
  <c r="HI61" i="11"/>
  <c r="HJ61" i="11"/>
  <c r="HK61" i="11"/>
  <c r="HL61" i="11"/>
  <c r="HM61" i="11"/>
  <c r="HN61" i="11"/>
  <c r="HO61" i="11"/>
  <c r="HP61" i="11"/>
  <c r="HQ61" i="11"/>
  <c r="HR61" i="11"/>
  <c r="HS61" i="11"/>
  <c r="HT61" i="11"/>
  <c r="HU61" i="11"/>
  <c r="HV61" i="11"/>
  <c r="HW61" i="11"/>
  <c r="HX61" i="11"/>
  <c r="HY61" i="11"/>
  <c r="HZ61" i="11"/>
  <c r="IA61" i="11"/>
  <c r="IB61" i="11"/>
  <c r="IC61" i="11"/>
  <c r="ID61" i="11"/>
  <c r="IE61" i="11"/>
  <c r="IF61" i="11"/>
  <c r="IG61" i="11"/>
  <c r="IH61" i="11"/>
  <c r="II61" i="11"/>
  <c r="IJ61" i="11"/>
  <c r="IK61" i="11"/>
  <c r="IL61" i="11"/>
  <c r="IM61" i="11"/>
  <c r="IN61" i="11"/>
  <c r="IO61" i="11"/>
  <c r="IP61" i="11"/>
  <c r="IQ61" i="11"/>
  <c r="IR61" i="11"/>
  <c r="IS61" i="11"/>
  <c r="IT61" i="11"/>
  <c r="IU61" i="11"/>
  <c r="IV61" i="11"/>
  <c r="IW61" i="11"/>
  <c r="IX61" i="11"/>
  <c r="IY61" i="11"/>
  <c r="IZ61" i="11"/>
  <c r="JA61" i="11"/>
  <c r="JB61" i="11"/>
  <c r="JC61" i="11"/>
  <c r="JD61" i="11"/>
  <c r="JE61" i="11"/>
  <c r="JF61" i="11"/>
  <c r="JG61" i="11"/>
  <c r="JH61" i="11"/>
  <c r="JI61" i="11"/>
  <c r="JJ61" i="11"/>
  <c r="JK61" i="11"/>
  <c r="JL61" i="11"/>
  <c r="JM61" i="11"/>
  <c r="JN61" i="11"/>
  <c r="JO61" i="11"/>
  <c r="JP61" i="11"/>
  <c r="JQ61" i="11"/>
  <c r="JR61" i="11"/>
  <c r="JS61" i="11"/>
  <c r="JT61" i="11"/>
  <c r="JU61" i="11"/>
  <c r="JV61" i="11"/>
  <c r="JW61" i="11"/>
  <c r="JX61" i="11"/>
  <c r="JY61" i="11"/>
  <c r="JZ61" i="11"/>
  <c r="KA61" i="11"/>
  <c r="KB61" i="11"/>
  <c r="KC61" i="11"/>
  <c r="KD61" i="11"/>
  <c r="KE61" i="11"/>
  <c r="KF61" i="11"/>
  <c r="KG61" i="11"/>
  <c r="KH61" i="11"/>
  <c r="KI61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CD62" i="11"/>
  <c r="CE62" i="11"/>
  <c r="CF62" i="11"/>
  <c r="CG62" i="11"/>
  <c r="CH62" i="11"/>
  <c r="CI62" i="11"/>
  <c r="CJ62" i="11"/>
  <c r="CK62" i="11"/>
  <c r="CL62" i="11"/>
  <c r="CM62" i="11"/>
  <c r="CN62" i="11"/>
  <c r="CO62" i="11"/>
  <c r="CP62" i="11"/>
  <c r="CQ62" i="11"/>
  <c r="CR62" i="11"/>
  <c r="CS62" i="11"/>
  <c r="CT62" i="11"/>
  <c r="CU62" i="11"/>
  <c r="CV62" i="11"/>
  <c r="CW62" i="11"/>
  <c r="CX62" i="11"/>
  <c r="CY62" i="11"/>
  <c r="CZ62" i="11"/>
  <c r="DA62" i="11"/>
  <c r="DB62" i="11"/>
  <c r="DC62" i="11"/>
  <c r="DD62" i="11"/>
  <c r="DE62" i="11"/>
  <c r="DF62" i="11"/>
  <c r="DG62" i="11"/>
  <c r="DH62" i="11"/>
  <c r="DI62" i="11"/>
  <c r="DJ62" i="11"/>
  <c r="DK62" i="11"/>
  <c r="DL62" i="11"/>
  <c r="DM62" i="11"/>
  <c r="DN62" i="11"/>
  <c r="DO62" i="11"/>
  <c r="DP62" i="11"/>
  <c r="DQ62" i="11"/>
  <c r="DR62" i="11"/>
  <c r="DS62" i="11"/>
  <c r="DT62" i="11"/>
  <c r="DU62" i="11"/>
  <c r="DV62" i="11"/>
  <c r="DW62" i="11"/>
  <c r="DX62" i="11"/>
  <c r="DY62" i="11"/>
  <c r="DZ62" i="11"/>
  <c r="EA62" i="11"/>
  <c r="EB62" i="11"/>
  <c r="EC62" i="11"/>
  <c r="ED62" i="11"/>
  <c r="EE62" i="11"/>
  <c r="EF62" i="11"/>
  <c r="EG62" i="11"/>
  <c r="EH62" i="11"/>
  <c r="EI62" i="11"/>
  <c r="EJ62" i="11"/>
  <c r="EK62" i="11"/>
  <c r="EL62" i="11"/>
  <c r="EM62" i="11"/>
  <c r="EN62" i="11"/>
  <c r="EO62" i="11"/>
  <c r="EP62" i="11"/>
  <c r="EQ62" i="11"/>
  <c r="ER62" i="11"/>
  <c r="ES62" i="11"/>
  <c r="ET62" i="11"/>
  <c r="EU62" i="11"/>
  <c r="EV62" i="11"/>
  <c r="EW62" i="11"/>
  <c r="EX62" i="11"/>
  <c r="EY62" i="11"/>
  <c r="EZ62" i="11"/>
  <c r="FA62" i="11"/>
  <c r="FB62" i="11"/>
  <c r="FC62" i="11"/>
  <c r="FD62" i="11"/>
  <c r="FE62" i="11"/>
  <c r="FF62" i="11"/>
  <c r="FG62" i="11"/>
  <c r="FH62" i="11"/>
  <c r="FI62" i="11"/>
  <c r="FJ62" i="11"/>
  <c r="FK62" i="11"/>
  <c r="FL62" i="11"/>
  <c r="FM62" i="11"/>
  <c r="FN62" i="11"/>
  <c r="FO62" i="11"/>
  <c r="FP62" i="11"/>
  <c r="FQ62" i="11"/>
  <c r="FR62" i="11"/>
  <c r="FS62" i="11"/>
  <c r="FT62" i="11"/>
  <c r="FU62" i="11"/>
  <c r="FV62" i="11"/>
  <c r="FW62" i="11"/>
  <c r="FX62" i="11"/>
  <c r="FY62" i="11"/>
  <c r="FZ62" i="11"/>
  <c r="GA62" i="11"/>
  <c r="GB62" i="11"/>
  <c r="GC62" i="11"/>
  <c r="GD62" i="11"/>
  <c r="GE62" i="11"/>
  <c r="GF62" i="11"/>
  <c r="GG62" i="11"/>
  <c r="GH62" i="11"/>
  <c r="GI62" i="11"/>
  <c r="GJ62" i="11"/>
  <c r="GK62" i="11"/>
  <c r="GL62" i="11"/>
  <c r="GM62" i="11"/>
  <c r="GN62" i="11"/>
  <c r="GO62" i="11"/>
  <c r="GP62" i="11"/>
  <c r="GQ62" i="11"/>
  <c r="GR62" i="11"/>
  <c r="GS62" i="11"/>
  <c r="GT62" i="11"/>
  <c r="GU62" i="11"/>
  <c r="GV62" i="11"/>
  <c r="GW62" i="11"/>
  <c r="GX62" i="11"/>
  <c r="GY62" i="11"/>
  <c r="GZ62" i="11"/>
  <c r="HA62" i="11"/>
  <c r="HB62" i="11"/>
  <c r="HC62" i="11"/>
  <c r="HD62" i="11"/>
  <c r="HE62" i="11"/>
  <c r="HF62" i="11"/>
  <c r="HG62" i="11"/>
  <c r="HH62" i="11"/>
  <c r="HI62" i="11"/>
  <c r="HJ62" i="11"/>
  <c r="HK62" i="11"/>
  <c r="HL62" i="11"/>
  <c r="HM62" i="11"/>
  <c r="HN62" i="11"/>
  <c r="HO62" i="11"/>
  <c r="HP62" i="11"/>
  <c r="HQ62" i="11"/>
  <c r="HR62" i="11"/>
  <c r="HS62" i="11"/>
  <c r="HT62" i="11"/>
  <c r="HU62" i="11"/>
  <c r="HV62" i="11"/>
  <c r="HW62" i="11"/>
  <c r="HX62" i="11"/>
  <c r="HY62" i="11"/>
  <c r="HZ62" i="11"/>
  <c r="IA62" i="11"/>
  <c r="IB62" i="11"/>
  <c r="IC62" i="11"/>
  <c r="ID62" i="11"/>
  <c r="IE62" i="11"/>
  <c r="IF62" i="11"/>
  <c r="IG62" i="11"/>
  <c r="IH62" i="11"/>
  <c r="II62" i="11"/>
  <c r="IJ62" i="11"/>
  <c r="IK62" i="11"/>
  <c r="IL62" i="11"/>
  <c r="IM62" i="11"/>
  <c r="IN62" i="11"/>
  <c r="IO62" i="11"/>
  <c r="IP62" i="11"/>
  <c r="IQ62" i="11"/>
  <c r="IR62" i="11"/>
  <c r="IS62" i="11"/>
  <c r="IT62" i="11"/>
  <c r="IU62" i="11"/>
  <c r="IV62" i="11"/>
  <c r="IW62" i="11"/>
  <c r="IX62" i="11"/>
  <c r="IY62" i="11"/>
  <c r="IZ62" i="11"/>
  <c r="JA62" i="11"/>
  <c r="JB62" i="11"/>
  <c r="JC62" i="11"/>
  <c r="JD62" i="11"/>
  <c r="JE62" i="11"/>
  <c r="JF62" i="11"/>
  <c r="JG62" i="11"/>
  <c r="JH62" i="11"/>
  <c r="JI62" i="11"/>
  <c r="JJ62" i="11"/>
  <c r="JK62" i="11"/>
  <c r="JL62" i="11"/>
  <c r="JM62" i="11"/>
  <c r="JN62" i="11"/>
  <c r="JO62" i="11"/>
  <c r="JP62" i="11"/>
  <c r="JQ62" i="11"/>
  <c r="JR62" i="11"/>
  <c r="JS62" i="11"/>
  <c r="JT62" i="11"/>
  <c r="JU62" i="11"/>
  <c r="JV62" i="11"/>
  <c r="JW62" i="11"/>
  <c r="JX62" i="11"/>
  <c r="JY62" i="11"/>
  <c r="JZ62" i="11"/>
  <c r="KA62" i="11"/>
  <c r="KB62" i="11"/>
  <c r="KC62" i="11"/>
  <c r="KD62" i="11"/>
  <c r="KE62" i="11"/>
  <c r="KF62" i="11"/>
  <c r="KG62" i="11"/>
  <c r="KH62" i="11"/>
  <c r="KI62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CD63" i="11"/>
  <c r="CE63" i="11"/>
  <c r="CF63" i="11"/>
  <c r="CG63" i="11"/>
  <c r="CH63" i="11"/>
  <c r="CI63" i="11"/>
  <c r="CJ63" i="11"/>
  <c r="CK63" i="11"/>
  <c r="CL63" i="11"/>
  <c r="CM63" i="11"/>
  <c r="CN63" i="11"/>
  <c r="CO63" i="11"/>
  <c r="CP63" i="11"/>
  <c r="CQ63" i="11"/>
  <c r="CR63" i="11"/>
  <c r="CS63" i="11"/>
  <c r="CT63" i="11"/>
  <c r="CU63" i="11"/>
  <c r="CV63" i="11"/>
  <c r="CW63" i="11"/>
  <c r="CX63" i="11"/>
  <c r="CY63" i="11"/>
  <c r="CZ63" i="11"/>
  <c r="DA63" i="11"/>
  <c r="DB63" i="11"/>
  <c r="DC63" i="11"/>
  <c r="DD63" i="11"/>
  <c r="DE63" i="11"/>
  <c r="DF63" i="11"/>
  <c r="DG63" i="11"/>
  <c r="DH63" i="11"/>
  <c r="DI63" i="11"/>
  <c r="DJ63" i="11"/>
  <c r="DK63" i="11"/>
  <c r="DL63" i="11"/>
  <c r="DM63" i="11"/>
  <c r="DN63" i="11"/>
  <c r="DO63" i="11"/>
  <c r="DP63" i="11"/>
  <c r="DQ63" i="11"/>
  <c r="DR63" i="11"/>
  <c r="DS63" i="11"/>
  <c r="DT63" i="11"/>
  <c r="DU63" i="11"/>
  <c r="DV63" i="11"/>
  <c r="DW63" i="11"/>
  <c r="DX63" i="11"/>
  <c r="DY63" i="11"/>
  <c r="DZ63" i="11"/>
  <c r="EA63" i="11"/>
  <c r="EB63" i="11"/>
  <c r="EC63" i="11"/>
  <c r="ED63" i="11"/>
  <c r="EE63" i="11"/>
  <c r="EF63" i="11"/>
  <c r="EG63" i="11"/>
  <c r="EH63" i="11"/>
  <c r="EI63" i="11"/>
  <c r="EJ63" i="11"/>
  <c r="EK63" i="11"/>
  <c r="EL63" i="11"/>
  <c r="EM63" i="11"/>
  <c r="EN63" i="11"/>
  <c r="EO63" i="11"/>
  <c r="EP63" i="11"/>
  <c r="EQ63" i="11"/>
  <c r="ER63" i="11"/>
  <c r="ES63" i="11"/>
  <c r="ET63" i="11"/>
  <c r="EU63" i="11"/>
  <c r="EV63" i="11"/>
  <c r="EW63" i="11"/>
  <c r="EX63" i="11"/>
  <c r="EY63" i="11"/>
  <c r="EZ63" i="11"/>
  <c r="FA63" i="11"/>
  <c r="FB63" i="11"/>
  <c r="FC63" i="11"/>
  <c r="FD63" i="11"/>
  <c r="FE63" i="11"/>
  <c r="FF63" i="11"/>
  <c r="FG63" i="11"/>
  <c r="FH63" i="11"/>
  <c r="FI63" i="11"/>
  <c r="FJ63" i="11"/>
  <c r="FK63" i="11"/>
  <c r="FL63" i="11"/>
  <c r="FM63" i="11"/>
  <c r="FN63" i="11"/>
  <c r="FO63" i="11"/>
  <c r="FP63" i="11"/>
  <c r="FQ63" i="11"/>
  <c r="FR63" i="11"/>
  <c r="FS63" i="11"/>
  <c r="FT63" i="11"/>
  <c r="FU63" i="11"/>
  <c r="FV63" i="11"/>
  <c r="FW63" i="11"/>
  <c r="FX63" i="11"/>
  <c r="FY63" i="11"/>
  <c r="FZ63" i="11"/>
  <c r="GA63" i="11"/>
  <c r="GB63" i="11"/>
  <c r="GC63" i="11"/>
  <c r="GD63" i="11"/>
  <c r="GE63" i="11"/>
  <c r="GF63" i="11"/>
  <c r="GG63" i="11"/>
  <c r="GH63" i="11"/>
  <c r="GI63" i="11"/>
  <c r="GJ63" i="11"/>
  <c r="GK63" i="11"/>
  <c r="GL63" i="11"/>
  <c r="GM63" i="11"/>
  <c r="GN63" i="11"/>
  <c r="GO63" i="11"/>
  <c r="GP63" i="11"/>
  <c r="GQ63" i="11"/>
  <c r="GR63" i="11"/>
  <c r="GS63" i="11"/>
  <c r="GT63" i="11"/>
  <c r="GU63" i="11"/>
  <c r="GV63" i="11"/>
  <c r="GW63" i="11"/>
  <c r="GX63" i="11"/>
  <c r="GY63" i="11"/>
  <c r="GZ63" i="11"/>
  <c r="HA63" i="11"/>
  <c r="HB63" i="11"/>
  <c r="HC63" i="11"/>
  <c r="HD63" i="11"/>
  <c r="HE63" i="11"/>
  <c r="HF63" i="11"/>
  <c r="HG63" i="11"/>
  <c r="HH63" i="11"/>
  <c r="HI63" i="11"/>
  <c r="HJ63" i="11"/>
  <c r="HK63" i="11"/>
  <c r="HL63" i="11"/>
  <c r="HM63" i="11"/>
  <c r="HN63" i="11"/>
  <c r="HO63" i="11"/>
  <c r="HP63" i="11"/>
  <c r="HQ63" i="11"/>
  <c r="HR63" i="11"/>
  <c r="HS63" i="11"/>
  <c r="HT63" i="11"/>
  <c r="HU63" i="11"/>
  <c r="HV63" i="11"/>
  <c r="HW63" i="11"/>
  <c r="HX63" i="11"/>
  <c r="HY63" i="11"/>
  <c r="HZ63" i="11"/>
  <c r="IA63" i="11"/>
  <c r="IB63" i="11"/>
  <c r="IC63" i="11"/>
  <c r="ID63" i="11"/>
  <c r="IE63" i="11"/>
  <c r="IF63" i="11"/>
  <c r="IG63" i="11"/>
  <c r="IH63" i="11"/>
  <c r="II63" i="11"/>
  <c r="IJ63" i="11"/>
  <c r="IK63" i="11"/>
  <c r="IL63" i="11"/>
  <c r="IM63" i="11"/>
  <c r="IN63" i="11"/>
  <c r="IO63" i="11"/>
  <c r="IP63" i="11"/>
  <c r="IQ63" i="11"/>
  <c r="IR63" i="11"/>
  <c r="IS63" i="11"/>
  <c r="IT63" i="11"/>
  <c r="IU63" i="11"/>
  <c r="IV63" i="11"/>
  <c r="IW63" i="11"/>
  <c r="IX63" i="11"/>
  <c r="IY63" i="11"/>
  <c r="IZ63" i="11"/>
  <c r="JA63" i="11"/>
  <c r="JB63" i="11"/>
  <c r="JC63" i="11"/>
  <c r="JD63" i="11"/>
  <c r="JE63" i="11"/>
  <c r="JF63" i="11"/>
  <c r="JG63" i="11"/>
  <c r="JH63" i="11"/>
  <c r="JI63" i="11"/>
  <c r="JJ63" i="11"/>
  <c r="JK63" i="11"/>
  <c r="JL63" i="11"/>
  <c r="JM63" i="11"/>
  <c r="JN63" i="11"/>
  <c r="JO63" i="11"/>
  <c r="JP63" i="11"/>
  <c r="JQ63" i="11"/>
  <c r="JR63" i="11"/>
  <c r="JS63" i="11"/>
  <c r="JT63" i="11"/>
  <c r="JU63" i="11"/>
  <c r="JV63" i="11"/>
  <c r="JW63" i="11"/>
  <c r="JX63" i="11"/>
  <c r="JY63" i="11"/>
  <c r="JZ63" i="11"/>
  <c r="KA63" i="11"/>
  <c r="KB63" i="11"/>
  <c r="KC63" i="11"/>
  <c r="KD63" i="11"/>
  <c r="KE63" i="11"/>
  <c r="KF63" i="11"/>
  <c r="KG63" i="11"/>
  <c r="KH63" i="11"/>
  <c r="KI63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CD64" i="11"/>
  <c r="CE64" i="11"/>
  <c r="CF64" i="11"/>
  <c r="CG64" i="11"/>
  <c r="CH64" i="11"/>
  <c r="CI64" i="11"/>
  <c r="CJ64" i="11"/>
  <c r="CK64" i="11"/>
  <c r="CL64" i="11"/>
  <c r="CM64" i="11"/>
  <c r="CN64" i="11"/>
  <c r="CO64" i="11"/>
  <c r="CP64" i="11"/>
  <c r="CQ64" i="11"/>
  <c r="CR64" i="11"/>
  <c r="CS64" i="11"/>
  <c r="CT64" i="11"/>
  <c r="CU64" i="11"/>
  <c r="CV64" i="11"/>
  <c r="CW64" i="11"/>
  <c r="CX64" i="11"/>
  <c r="CY64" i="11"/>
  <c r="CZ64" i="11"/>
  <c r="DA64" i="11"/>
  <c r="DB64" i="11"/>
  <c r="DC64" i="11"/>
  <c r="DD64" i="11"/>
  <c r="DE64" i="11"/>
  <c r="DF64" i="11"/>
  <c r="DG64" i="11"/>
  <c r="DH64" i="11"/>
  <c r="DI64" i="11"/>
  <c r="DJ64" i="11"/>
  <c r="DK64" i="11"/>
  <c r="DL64" i="11"/>
  <c r="DM64" i="11"/>
  <c r="DN64" i="11"/>
  <c r="DO64" i="11"/>
  <c r="DP64" i="11"/>
  <c r="DQ64" i="11"/>
  <c r="DR64" i="11"/>
  <c r="DS64" i="11"/>
  <c r="DT64" i="11"/>
  <c r="DU64" i="11"/>
  <c r="DV64" i="11"/>
  <c r="DW64" i="11"/>
  <c r="DX64" i="11"/>
  <c r="DY64" i="11"/>
  <c r="DZ64" i="11"/>
  <c r="EA64" i="11"/>
  <c r="EB64" i="11"/>
  <c r="EC64" i="11"/>
  <c r="ED64" i="11"/>
  <c r="EE64" i="11"/>
  <c r="EF64" i="11"/>
  <c r="EG64" i="11"/>
  <c r="EH64" i="11"/>
  <c r="EI64" i="11"/>
  <c r="EJ64" i="11"/>
  <c r="EK64" i="11"/>
  <c r="EL64" i="11"/>
  <c r="EM64" i="11"/>
  <c r="EN64" i="11"/>
  <c r="EO64" i="11"/>
  <c r="EP64" i="11"/>
  <c r="EQ64" i="11"/>
  <c r="ER64" i="11"/>
  <c r="ES64" i="11"/>
  <c r="ET64" i="11"/>
  <c r="EU64" i="11"/>
  <c r="EV64" i="11"/>
  <c r="EW64" i="11"/>
  <c r="EX64" i="11"/>
  <c r="EY64" i="11"/>
  <c r="EZ64" i="11"/>
  <c r="FA64" i="11"/>
  <c r="FB64" i="11"/>
  <c r="FC64" i="11"/>
  <c r="FD64" i="11"/>
  <c r="FE64" i="11"/>
  <c r="FF64" i="11"/>
  <c r="FG64" i="11"/>
  <c r="FH64" i="11"/>
  <c r="FI64" i="11"/>
  <c r="FJ64" i="11"/>
  <c r="FK64" i="11"/>
  <c r="FL64" i="11"/>
  <c r="FM64" i="11"/>
  <c r="FN64" i="11"/>
  <c r="FO64" i="11"/>
  <c r="FP64" i="11"/>
  <c r="FQ64" i="11"/>
  <c r="FR64" i="11"/>
  <c r="FS64" i="11"/>
  <c r="FT64" i="11"/>
  <c r="FU64" i="11"/>
  <c r="FV64" i="11"/>
  <c r="FW64" i="11"/>
  <c r="FX64" i="11"/>
  <c r="FY64" i="11"/>
  <c r="FZ64" i="11"/>
  <c r="GA64" i="11"/>
  <c r="GB64" i="11"/>
  <c r="GC64" i="11"/>
  <c r="GD64" i="11"/>
  <c r="GE64" i="11"/>
  <c r="GF64" i="11"/>
  <c r="GG64" i="11"/>
  <c r="GH64" i="11"/>
  <c r="GI64" i="11"/>
  <c r="GJ64" i="11"/>
  <c r="GK64" i="11"/>
  <c r="GL64" i="11"/>
  <c r="GM64" i="11"/>
  <c r="GN64" i="11"/>
  <c r="GO64" i="11"/>
  <c r="GP64" i="11"/>
  <c r="GQ64" i="11"/>
  <c r="GR64" i="11"/>
  <c r="GS64" i="11"/>
  <c r="GT64" i="11"/>
  <c r="GU64" i="11"/>
  <c r="GV64" i="11"/>
  <c r="GW64" i="11"/>
  <c r="GX64" i="11"/>
  <c r="GY64" i="11"/>
  <c r="GZ64" i="11"/>
  <c r="HA64" i="11"/>
  <c r="HB64" i="11"/>
  <c r="HC64" i="11"/>
  <c r="HD64" i="11"/>
  <c r="HE64" i="11"/>
  <c r="HF64" i="11"/>
  <c r="HG64" i="11"/>
  <c r="HH64" i="11"/>
  <c r="HI64" i="11"/>
  <c r="HJ64" i="11"/>
  <c r="HK64" i="11"/>
  <c r="HL64" i="11"/>
  <c r="HM64" i="11"/>
  <c r="HN64" i="11"/>
  <c r="HO64" i="11"/>
  <c r="HP64" i="11"/>
  <c r="HQ64" i="11"/>
  <c r="HR64" i="11"/>
  <c r="HS64" i="11"/>
  <c r="HT64" i="11"/>
  <c r="HU64" i="11"/>
  <c r="HV64" i="11"/>
  <c r="HW64" i="11"/>
  <c r="HX64" i="11"/>
  <c r="HY64" i="11"/>
  <c r="HZ64" i="11"/>
  <c r="IA64" i="11"/>
  <c r="IB64" i="11"/>
  <c r="IC64" i="11"/>
  <c r="ID64" i="11"/>
  <c r="IE64" i="11"/>
  <c r="IF64" i="11"/>
  <c r="IG64" i="11"/>
  <c r="IH64" i="11"/>
  <c r="II64" i="11"/>
  <c r="IJ64" i="11"/>
  <c r="IK64" i="11"/>
  <c r="IL64" i="11"/>
  <c r="IM64" i="11"/>
  <c r="IN64" i="11"/>
  <c r="IO64" i="11"/>
  <c r="IP64" i="11"/>
  <c r="IQ64" i="11"/>
  <c r="IR64" i="11"/>
  <c r="IS64" i="11"/>
  <c r="IT64" i="11"/>
  <c r="IU64" i="11"/>
  <c r="IV64" i="11"/>
  <c r="IW64" i="11"/>
  <c r="IX64" i="11"/>
  <c r="IY64" i="11"/>
  <c r="IZ64" i="11"/>
  <c r="JA64" i="11"/>
  <c r="JB64" i="11"/>
  <c r="JC64" i="11"/>
  <c r="JD64" i="11"/>
  <c r="JE64" i="11"/>
  <c r="JF64" i="11"/>
  <c r="JG64" i="11"/>
  <c r="JH64" i="11"/>
  <c r="JI64" i="11"/>
  <c r="JJ64" i="11"/>
  <c r="JK64" i="11"/>
  <c r="JL64" i="11"/>
  <c r="JM64" i="11"/>
  <c r="JN64" i="11"/>
  <c r="JO64" i="11"/>
  <c r="JP64" i="11"/>
  <c r="JQ64" i="11"/>
  <c r="JR64" i="11"/>
  <c r="JS64" i="11"/>
  <c r="JT64" i="11"/>
  <c r="JU64" i="11"/>
  <c r="JV64" i="11"/>
  <c r="JW64" i="11"/>
  <c r="JX64" i="11"/>
  <c r="JY64" i="11"/>
  <c r="JZ64" i="11"/>
  <c r="KA64" i="11"/>
  <c r="KB64" i="11"/>
  <c r="KC64" i="11"/>
  <c r="KD64" i="11"/>
  <c r="KE64" i="11"/>
  <c r="KF64" i="11"/>
  <c r="KG64" i="11"/>
  <c r="KH64" i="11"/>
  <c r="KI64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CD65" i="11"/>
  <c r="CE65" i="11"/>
  <c r="CF65" i="11"/>
  <c r="CG65" i="11"/>
  <c r="CH65" i="11"/>
  <c r="CI65" i="11"/>
  <c r="CJ65" i="11"/>
  <c r="CK65" i="11"/>
  <c r="CL65" i="11"/>
  <c r="CM65" i="11"/>
  <c r="CN65" i="11"/>
  <c r="CO65" i="11"/>
  <c r="CP65" i="11"/>
  <c r="CQ65" i="11"/>
  <c r="CR65" i="11"/>
  <c r="CS65" i="11"/>
  <c r="CT65" i="11"/>
  <c r="CU65" i="11"/>
  <c r="CV65" i="11"/>
  <c r="CW65" i="11"/>
  <c r="CX65" i="11"/>
  <c r="CY65" i="11"/>
  <c r="CZ65" i="11"/>
  <c r="DA65" i="11"/>
  <c r="DB65" i="11"/>
  <c r="DC65" i="11"/>
  <c r="DD65" i="11"/>
  <c r="DE65" i="11"/>
  <c r="DF65" i="11"/>
  <c r="DG65" i="11"/>
  <c r="DH65" i="11"/>
  <c r="DI65" i="11"/>
  <c r="DJ65" i="11"/>
  <c r="DK65" i="11"/>
  <c r="DL65" i="11"/>
  <c r="DM65" i="11"/>
  <c r="DN65" i="11"/>
  <c r="DO65" i="11"/>
  <c r="DP65" i="11"/>
  <c r="DQ65" i="11"/>
  <c r="DR65" i="11"/>
  <c r="DS65" i="11"/>
  <c r="DT65" i="11"/>
  <c r="DU65" i="11"/>
  <c r="DV65" i="11"/>
  <c r="DW65" i="11"/>
  <c r="DX65" i="11"/>
  <c r="DY65" i="11"/>
  <c r="DZ65" i="11"/>
  <c r="EA65" i="11"/>
  <c r="EB65" i="11"/>
  <c r="EC65" i="11"/>
  <c r="ED65" i="11"/>
  <c r="EE65" i="11"/>
  <c r="EF65" i="11"/>
  <c r="EG65" i="11"/>
  <c r="EH65" i="11"/>
  <c r="EI65" i="11"/>
  <c r="EJ65" i="11"/>
  <c r="EK65" i="11"/>
  <c r="EL65" i="11"/>
  <c r="EM65" i="11"/>
  <c r="EN65" i="11"/>
  <c r="EO65" i="11"/>
  <c r="EP65" i="11"/>
  <c r="EQ65" i="11"/>
  <c r="ER65" i="11"/>
  <c r="ES65" i="11"/>
  <c r="ET65" i="11"/>
  <c r="EU65" i="11"/>
  <c r="EV65" i="11"/>
  <c r="EW65" i="11"/>
  <c r="EX65" i="11"/>
  <c r="EY65" i="11"/>
  <c r="EZ65" i="11"/>
  <c r="FA65" i="11"/>
  <c r="FB65" i="11"/>
  <c r="FC65" i="11"/>
  <c r="FD65" i="11"/>
  <c r="FE65" i="11"/>
  <c r="FF65" i="11"/>
  <c r="FG65" i="11"/>
  <c r="FH65" i="11"/>
  <c r="FI65" i="11"/>
  <c r="FJ65" i="11"/>
  <c r="FK65" i="11"/>
  <c r="FL65" i="11"/>
  <c r="FM65" i="11"/>
  <c r="FN65" i="11"/>
  <c r="FO65" i="11"/>
  <c r="FP65" i="11"/>
  <c r="FQ65" i="11"/>
  <c r="FR65" i="11"/>
  <c r="FS65" i="11"/>
  <c r="FT65" i="11"/>
  <c r="FU65" i="11"/>
  <c r="FV65" i="11"/>
  <c r="FW65" i="11"/>
  <c r="FX65" i="11"/>
  <c r="FY65" i="11"/>
  <c r="FZ65" i="11"/>
  <c r="GA65" i="11"/>
  <c r="GB65" i="11"/>
  <c r="GC65" i="11"/>
  <c r="GD65" i="11"/>
  <c r="GE65" i="11"/>
  <c r="GF65" i="11"/>
  <c r="GG65" i="11"/>
  <c r="GH65" i="11"/>
  <c r="GI65" i="11"/>
  <c r="GJ65" i="11"/>
  <c r="GK65" i="11"/>
  <c r="GL65" i="11"/>
  <c r="GM65" i="11"/>
  <c r="GN65" i="11"/>
  <c r="GO65" i="11"/>
  <c r="GP65" i="11"/>
  <c r="GQ65" i="11"/>
  <c r="GR65" i="11"/>
  <c r="GS65" i="11"/>
  <c r="GT65" i="11"/>
  <c r="GU65" i="11"/>
  <c r="GV65" i="11"/>
  <c r="GW65" i="11"/>
  <c r="GX65" i="11"/>
  <c r="GY65" i="11"/>
  <c r="GZ65" i="11"/>
  <c r="HA65" i="11"/>
  <c r="HB65" i="11"/>
  <c r="HC65" i="11"/>
  <c r="HD65" i="11"/>
  <c r="HE65" i="11"/>
  <c r="HF65" i="11"/>
  <c r="HG65" i="11"/>
  <c r="HH65" i="11"/>
  <c r="HI65" i="11"/>
  <c r="HJ65" i="11"/>
  <c r="HK65" i="11"/>
  <c r="HL65" i="11"/>
  <c r="HM65" i="11"/>
  <c r="HN65" i="11"/>
  <c r="HO65" i="11"/>
  <c r="HP65" i="11"/>
  <c r="HQ65" i="11"/>
  <c r="HR65" i="11"/>
  <c r="HS65" i="11"/>
  <c r="HT65" i="11"/>
  <c r="HU65" i="11"/>
  <c r="HV65" i="11"/>
  <c r="HW65" i="11"/>
  <c r="HX65" i="11"/>
  <c r="HY65" i="11"/>
  <c r="HZ65" i="11"/>
  <c r="IA65" i="11"/>
  <c r="IB65" i="11"/>
  <c r="IC65" i="11"/>
  <c r="ID65" i="11"/>
  <c r="IE65" i="11"/>
  <c r="IF65" i="11"/>
  <c r="IG65" i="11"/>
  <c r="IH65" i="11"/>
  <c r="II65" i="11"/>
  <c r="IJ65" i="11"/>
  <c r="IK65" i="11"/>
  <c r="IL65" i="11"/>
  <c r="IM65" i="11"/>
  <c r="IN65" i="11"/>
  <c r="IO65" i="11"/>
  <c r="IP65" i="11"/>
  <c r="IQ65" i="11"/>
  <c r="IR65" i="11"/>
  <c r="IS65" i="11"/>
  <c r="IT65" i="11"/>
  <c r="IU65" i="11"/>
  <c r="IV65" i="11"/>
  <c r="IW65" i="11"/>
  <c r="IX65" i="11"/>
  <c r="IY65" i="11"/>
  <c r="IZ65" i="11"/>
  <c r="JA65" i="11"/>
  <c r="JB65" i="11"/>
  <c r="JC65" i="11"/>
  <c r="JD65" i="11"/>
  <c r="JE65" i="11"/>
  <c r="JF65" i="11"/>
  <c r="JG65" i="11"/>
  <c r="JH65" i="11"/>
  <c r="JI65" i="11"/>
  <c r="JJ65" i="11"/>
  <c r="JK65" i="11"/>
  <c r="JL65" i="11"/>
  <c r="JM65" i="11"/>
  <c r="JN65" i="11"/>
  <c r="JO65" i="11"/>
  <c r="JP65" i="11"/>
  <c r="JQ65" i="11"/>
  <c r="JR65" i="11"/>
  <c r="JS65" i="11"/>
  <c r="JT65" i="11"/>
  <c r="JU65" i="11"/>
  <c r="JV65" i="11"/>
  <c r="JW65" i="11"/>
  <c r="JX65" i="11"/>
  <c r="JY65" i="11"/>
  <c r="JZ65" i="11"/>
  <c r="KA65" i="11"/>
  <c r="KB65" i="11"/>
  <c r="KC65" i="11"/>
  <c r="KD65" i="11"/>
  <c r="KE65" i="11"/>
  <c r="KF65" i="11"/>
  <c r="KG65" i="11"/>
  <c r="KH65" i="11"/>
  <c r="KI65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CD66" i="11"/>
  <c r="CE66" i="11"/>
  <c r="CF66" i="11"/>
  <c r="CG66" i="11"/>
  <c r="CH66" i="11"/>
  <c r="CI66" i="11"/>
  <c r="CJ66" i="11"/>
  <c r="CK66" i="11"/>
  <c r="CL66" i="11"/>
  <c r="CM66" i="11"/>
  <c r="CN66" i="11"/>
  <c r="CO66" i="11"/>
  <c r="CP66" i="11"/>
  <c r="CQ66" i="11"/>
  <c r="CR66" i="11"/>
  <c r="CS66" i="11"/>
  <c r="CT66" i="11"/>
  <c r="CU66" i="11"/>
  <c r="CV66" i="11"/>
  <c r="CW66" i="11"/>
  <c r="CX66" i="11"/>
  <c r="CY66" i="11"/>
  <c r="CZ66" i="11"/>
  <c r="DA66" i="11"/>
  <c r="DB66" i="11"/>
  <c r="DC66" i="11"/>
  <c r="DD66" i="11"/>
  <c r="DE66" i="11"/>
  <c r="DF66" i="11"/>
  <c r="DG66" i="11"/>
  <c r="DH66" i="11"/>
  <c r="DI66" i="11"/>
  <c r="DJ66" i="11"/>
  <c r="DK66" i="11"/>
  <c r="DL66" i="11"/>
  <c r="DM66" i="11"/>
  <c r="DN66" i="11"/>
  <c r="DO66" i="11"/>
  <c r="DP66" i="11"/>
  <c r="DQ66" i="11"/>
  <c r="DR66" i="11"/>
  <c r="DS66" i="11"/>
  <c r="DT66" i="11"/>
  <c r="DU66" i="11"/>
  <c r="DV66" i="11"/>
  <c r="DW66" i="11"/>
  <c r="DX66" i="11"/>
  <c r="DY66" i="11"/>
  <c r="DZ66" i="11"/>
  <c r="EA66" i="11"/>
  <c r="EB66" i="11"/>
  <c r="EC66" i="11"/>
  <c r="ED66" i="11"/>
  <c r="EE66" i="11"/>
  <c r="EF66" i="11"/>
  <c r="EG66" i="11"/>
  <c r="EH66" i="11"/>
  <c r="EI66" i="11"/>
  <c r="EJ66" i="11"/>
  <c r="EK66" i="11"/>
  <c r="EL66" i="11"/>
  <c r="EM66" i="11"/>
  <c r="EN66" i="11"/>
  <c r="EO66" i="11"/>
  <c r="EP66" i="11"/>
  <c r="EQ66" i="11"/>
  <c r="ER66" i="11"/>
  <c r="ES66" i="11"/>
  <c r="ET66" i="11"/>
  <c r="EU66" i="11"/>
  <c r="EV66" i="11"/>
  <c r="EW66" i="11"/>
  <c r="EX66" i="11"/>
  <c r="EY66" i="11"/>
  <c r="EZ66" i="11"/>
  <c r="FA66" i="11"/>
  <c r="FB66" i="11"/>
  <c r="FC66" i="11"/>
  <c r="FD66" i="11"/>
  <c r="FE66" i="11"/>
  <c r="FF66" i="11"/>
  <c r="FG66" i="11"/>
  <c r="FH66" i="11"/>
  <c r="FI66" i="11"/>
  <c r="FJ66" i="11"/>
  <c r="FK66" i="11"/>
  <c r="FL66" i="11"/>
  <c r="FM66" i="11"/>
  <c r="FN66" i="11"/>
  <c r="FO66" i="11"/>
  <c r="FP66" i="11"/>
  <c r="FQ66" i="11"/>
  <c r="FR66" i="11"/>
  <c r="FS66" i="11"/>
  <c r="FT66" i="11"/>
  <c r="FU66" i="11"/>
  <c r="FV66" i="11"/>
  <c r="FW66" i="11"/>
  <c r="FX66" i="11"/>
  <c r="FY66" i="11"/>
  <c r="FZ66" i="11"/>
  <c r="GA66" i="11"/>
  <c r="GB66" i="11"/>
  <c r="GC66" i="11"/>
  <c r="GD66" i="11"/>
  <c r="GE66" i="11"/>
  <c r="GF66" i="11"/>
  <c r="GG66" i="11"/>
  <c r="GH66" i="11"/>
  <c r="GI66" i="11"/>
  <c r="GJ66" i="11"/>
  <c r="GK66" i="11"/>
  <c r="GL66" i="11"/>
  <c r="GM66" i="11"/>
  <c r="GN66" i="11"/>
  <c r="GO66" i="11"/>
  <c r="GP66" i="11"/>
  <c r="GQ66" i="11"/>
  <c r="GR66" i="11"/>
  <c r="GS66" i="11"/>
  <c r="GT66" i="11"/>
  <c r="GU66" i="11"/>
  <c r="GV66" i="11"/>
  <c r="GW66" i="11"/>
  <c r="GX66" i="11"/>
  <c r="GY66" i="11"/>
  <c r="GZ66" i="11"/>
  <c r="HA66" i="11"/>
  <c r="HB66" i="11"/>
  <c r="HC66" i="11"/>
  <c r="HD66" i="11"/>
  <c r="HE66" i="11"/>
  <c r="HF66" i="11"/>
  <c r="HG66" i="11"/>
  <c r="HH66" i="11"/>
  <c r="HI66" i="11"/>
  <c r="HJ66" i="11"/>
  <c r="HK66" i="11"/>
  <c r="HL66" i="11"/>
  <c r="HM66" i="11"/>
  <c r="HN66" i="11"/>
  <c r="HO66" i="11"/>
  <c r="HP66" i="11"/>
  <c r="HQ66" i="11"/>
  <c r="HR66" i="11"/>
  <c r="HS66" i="11"/>
  <c r="HT66" i="11"/>
  <c r="HU66" i="11"/>
  <c r="HV66" i="11"/>
  <c r="HW66" i="11"/>
  <c r="HX66" i="11"/>
  <c r="HY66" i="11"/>
  <c r="HZ66" i="11"/>
  <c r="IA66" i="11"/>
  <c r="IB66" i="11"/>
  <c r="IC66" i="11"/>
  <c r="ID66" i="11"/>
  <c r="IE66" i="11"/>
  <c r="IF66" i="11"/>
  <c r="IG66" i="11"/>
  <c r="IH66" i="11"/>
  <c r="II66" i="11"/>
  <c r="IJ66" i="11"/>
  <c r="IK66" i="11"/>
  <c r="IL66" i="11"/>
  <c r="IM66" i="11"/>
  <c r="IN66" i="11"/>
  <c r="IO66" i="11"/>
  <c r="IP66" i="11"/>
  <c r="IQ66" i="11"/>
  <c r="IR66" i="11"/>
  <c r="IS66" i="11"/>
  <c r="IT66" i="11"/>
  <c r="IU66" i="11"/>
  <c r="IV66" i="11"/>
  <c r="IW66" i="11"/>
  <c r="IX66" i="11"/>
  <c r="IY66" i="11"/>
  <c r="IZ66" i="11"/>
  <c r="JA66" i="11"/>
  <c r="JB66" i="11"/>
  <c r="JC66" i="11"/>
  <c r="JD66" i="11"/>
  <c r="JE66" i="11"/>
  <c r="JF66" i="11"/>
  <c r="JG66" i="11"/>
  <c r="JH66" i="11"/>
  <c r="JI66" i="11"/>
  <c r="JJ66" i="11"/>
  <c r="JK66" i="11"/>
  <c r="JL66" i="11"/>
  <c r="JM66" i="11"/>
  <c r="JN66" i="11"/>
  <c r="JO66" i="11"/>
  <c r="JP66" i="11"/>
  <c r="JQ66" i="11"/>
  <c r="JR66" i="11"/>
  <c r="JS66" i="11"/>
  <c r="JT66" i="11"/>
  <c r="JU66" i="11"/>
  <c r="JV66" i="11"/>
  <c r="JW66" i="11"/>
  <c r="JX66" i="11"/>
  <c r="JY66" i="11"/>
  <c r="JZ66" i="11"/>
  <c r="KA66" i="11"/>
  <c r="KB66" i="11"/>
  <c r="KC66" i="11"/>
  <c r="KD66" i="11"/>
  <c r="KE66" i="11"/>
  <c r="KF66" i="11"/>
  <c r="KG66" i="11"/>
  <c r="KH66" i="11"/>
  <c r="KI66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CD67" i="11"/>
  <c r="CE67" i="11"/>
  <c r="CF67" i="11"/>
  <c r="CG67" i="11"/>
  <c r="CH67" i="11"/>
  <c r="CI67" i="11"/>
  <c r="CJ67" i="11"/>
  <c r="CK67" i="11"/>
  <c r="CL67" i="11"/>
  <c r="CM67" i="11"/>
  <c r="CN67" i="11"/>
  <c r="CO67" i="11"/>
  <c r="CP67" i="11"/>
  <c r="CQ67" i="11"/>
  <c r="CR67" i="11"/>
  <c r="CS67" i="11"/>
  <c r="CT67" i="11"/>
  <c r="CU67" i="11"/>
  <c r="CV67" i="11"/>
  <c r="CW67" i="11"/>
  <c r="CX67" i="11"/>
  <c r="CY67" i="11"/>
  <c r="CZ67" i="11"/>
  <c r="DA67" i="11"/>
  <c r="DB67" i="11"/>
  <c r="DC67" i="11"/>
  <c r="DD67" i="11"/>
  <c r="DE67" i="11"/>
  <c r="DF67" i="11"/>
  <c r="DG67" i="11"/>
  <c r="DH67" i="11"/>
  <c r="DI67" i="11"/>
  <c r="DJ67" i="11"/>
  <c r="DK67" i="11"/>
  <c r="DL67" i="11"/>
  <c r="DM67" i="11"/>
  <c r="DN67" i="11"/>
  <c r="DO67" i="11"/>
  <c r="DP67" i="11"/>
  <c r="DQ67" i="11"/>
  <c r="DR67" i="11"/>
  <c r="DS67" i="11"/>
  <c r="DT67" i="11"/>
  <c r="DU67" i="11"/>
  <c r="DV67" i="11"/>
  <c r="DW67" i="11"/>
  <c r="DX67" i="11"/>
  <c r="DY67" i="11"/>
  <c r="DZ67" i="11"/>
  <c r="EA67" i="11"/>
  <c r="EB67" i="11"/>
  <c r="EC67" i="11"/>
  <c r="ED67" i="11"/>
  <c r="EE67" i="11"/>
  <c r="EF67" i="11"/>
  <c r="EG67" i="11"/>
  <c r="EH67" i="11"/>
  <c r="EI67" i="11"/>
  <c r="EJ67" i="11"/>
  <c r="EK67" i="11"/>
  <c r="EL67" i="11"/>
  <c r="EM67" i="11"/>
  <c r="EN67" i="11"/>
  <c r="EO67" i="11"/>
  <c r="EP67" i="11"/>
  <c r="EQ67" i="11"/>
  <c r="ER67" i="11"/>
  <c r="ES67" i="11"/>
  <c r="ET67" i="11"/>
  <c r="EU67" i="11"/>
  <c r="EV67" i="11"/>
  <c r="EW67" i="11"/>
  <c r="EX67" i="11"/>
  <c r="EY67" i="11"/>
  <c r="EZ67" i="11"/>
  <c r="FA67" i="11"/>
  <c r="FB67" i="11"/>
  <c r="FC67" i="11"/>
  <c r="FD67" i="11"/>
  <c r="FE67" i="11"/>
  <c r="FF67" i="11"/>
  <c r="FG67" i="11"/>
  <c r="FH67" i="11"/>
  <c r="FI67" i="11"/>
  <c r="FJ67" i="11"/>
  <c r="FK67" i="11"/>
  <c r="FL67" i="11"/>
  <c r="FM67" i="11"/>
  <c r="FN67" i="11"/>
  <c r="FO67" i="11"/>
  <c r="FP67" i="11"/>
  <c r="FQ67" i="11"/>
  <c r="FR67" i="11"/>
  <c r="FS67" i="11"/>
  <c r="FT67" i="11"/>
  <c r="FU67" i="11"/>
  <c r="FV67" i="11"/>
  <c r="FW67" i="11"/>
  <c r="FX67" i="11"/>
  <c r="FY67" i="11"/>
  <c r="FZ67" i="11"/>
  <c r="GA67" i="11"/>
  <c r="GB67" i="11"/>
  <c r="GC67" i="11"/>
  <c r="GD67" i="11"/>
  <c r="GE67" i="11"/>
  <c r="GF67" i="11"/>
  <c r="GG67" i="11"/>
  <c r="GH67" i="11"/>
  <c r="GI67" i="11"/>
  <c r="GJ67" i="11"/>
  <c r="GK67" i="11"/>
  <c r="GL67" i="11"/>
  <c r="GM67" i="11"/>
  <c r="GN67" i="11"/>
  <c r="GO67" i="11"/>
  <c r="GP67" i="11"/>
  <c r="GQ67" i="11"/>
  <c r="GR67" i="11"/>
  <c r="GS67" i="11"/>
  <c r="GT67" i="11"/>
  <c r="GU67" i="11"/>
  <c r="GV67" i="11"/>
  <c r="GW67" i="11"/>
  <c r="GX67" i="11"/>
  <c r="GY67" i="11"/>
  <c r="GZ67" i="11"/>
  <c r="HA67" i="11"/>
  <c r="HB67" i="11"/>
  <c r="HC67" i="11"/>
  <c r="HD67" i="11"/>
  <c r="HE67" i="11"/>
  <c r="HF67" i="11"/>
  <c r="HG67" i="11"/>
  <c r="HH67" i="11"/>
  <c r="HI67" i="11"/>
  <c r="HJ67" i="11"/>
  <c r="HK67" i="11"/>
  <c r="HL67" i="11"/>
  <c r="HM67" i="11"/>
  <c r="HN67" i="11"/>
  <c r="HO67" i="11"/>
  <c r="HP67" i="11"/>
  <c r="HQ67" i="11"/>
  <c r="HR67" i="11"/>
  <c r="HS67" i="11"/>
  <c r="HT67" i="11"/>
  <c r="HU67" i="11"/>
  <c r="HV67" i="11"/>
  <c r="HW67" i="11"/>
  <c r="HX67" i="11"/>
  <c r="HY67" i="11"/>
  <c r="HZ67" i="11"/>
  <c r="IA67" i="11"/>
  <c r="IB67" i="11"/>
  <c r="IC67" i="11"/>
  <c r="ID67" i="11"/>
  <c r="IE67" i="11"/>
  <c r="IF67" i="11"/>
  <c r="IG67" i="11"/>
  <c r="IH67" i="11"/>
  <c r="II67" i="11"/>
  <c r="IJ67" i="11"/>
  <c r="IK67" i="11"/>
  <c r="IL67" i="11"/>
  <c r="IM67" i="11"/>
  <c r="IN67" i="11"/>
  <c r="IO67" i="11"/>
  <c r="IP67" i="11"/>
  <c r="IQ67" i="11"/>
  <c r="IR67" i="11"/>
  <c r="IS67" i="11"/>
  <c r="IT67" i="11"/>
  <c r="IU67" i="11"/>
  <c r="IV67" i="11"/>
  <c r="IW67" i="11"/>
  <c r="IX67" i="11"/>
  <c r="IY67" i="11"/>
  <c r="IZ67" i="11"/>
  <c r="JA67" i="11"/>
  <c r="JB67" i="11"/>
  <c r="JC67" i="11"/>
  <c r="JD67" i="11"/>
  <c r="JE67" i="11"/>
  <c r="JF67" i="11"/>
  <c r="JG67" i="11"/>
  <c r="JH67" i="11"/>
  <c r="JI67" i="11"/>
  <c r="JJ67" i="11"/>
  <c r="JK67" i="11"/>
  <c r="JL67" i="11"/>
  <c r="JM67" i="11"/>
  <c r="JN67" i="11"/>
  <c r="JO67" i="11"/>
  <c r="JP67" i="11"/>
  <c r="JQ67" i="11"/>
  <c r="JR67" i="11"/>
  <c r="JS67" i="11"/>
  <c r="JT67" i="11"/>
  <c r="JU67" i="11"/>
  <c r="JV67" i="11"/>
  <c r="JW67" i="11"/>
  <c r="JX67" i="11"/>
  <c r="JY67" i="11"/>
  <c r="JZ67" i="11"/>
  <c r="KA67" i="11"/>
  <c r="KB67" i="11"/>
  <c r="KC67" i="11"/>
  <c r="KD67" i="11"/>
  <c r="KE67" i="11"/>
  <c r="KF67" i="11"/>
  <c r="KG67" i="11"/>
  <c r="KH67" i="11"/>
  <c r="KI67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CD68" i="11"/>
  <c r="CE68" i="11"/>
  <c r="CF68" i="11"/>
  <c r="CG68" i="11"/>
  <c r="CH68" i="11"/>
  <c r="CI68" i="11"/>
  <c r="CJ68" i="11"/>
  <c r="CK68" i="11"/>
  <c r="CL68" i="11"/>
  <c r="CM68" i="11"/>
  <c r="CN68" i="11"/>
  <c r="CO68" i="11"/>
  <c r="CP68" i="11"/>
  <c r="CQ68" i="11"/>
  <c r="CR68" i="11"/>
  <c r="CS68" i="11"/>
  <c r="CT68" i="11"/>
  <c r="CU68" i="11"/>
  <c r="CV68" i="11"/>
  <c r="CW68" i="11"/>
  <c r="CX68" i="11"/>
  <c r="CY68" i="11"/>
  <c r="CZ68" i="11"/>
  <c r="DA68" i="11"/>
  <c r="DB68" i="11"/>
  <c r="DC68" i="11"/>
  <c r="DD68" i="11"/>
  <c r="DE68" i="11"/>
  <c r="DF68" i="11"/>
  <c r="DG68" i="11"/>
  <c r="DH68" i="11"/>
  <c r="DI68" i="11"/>
  <c r="DJ68" i="11"/>
  <c r="DK68" i="11"/>
  <c r="DL68" i="11"/>
  <c r="DM68" i="11"/>
  <c r="DN68" i="11"/>
  <c r="DO68" i="11"/>
  <c r="DP68" i="11"/>
  <c r="DQ68" i="11"/>
  <c r="DR68" i="11"/>
  <c r="DS68" i="11"/>
  <c r="DT68" i="11"/>
  <c r="DU68" i="11"/>
  <c r="DV68" i="11"/>
  <c r="DW68" i="11"/>
  <c r="DX68" i="11"/>
  <c r="DY68" i="11"/>
  <c r="DZ68" i="11"/>
  <c r="EA68" i="11"/>
  <c r="EB68" i="11"/>
  <c r="EC68" i="11"/>
  <c r="ED68" i="11"/>
  <c r="EE68" i="11"/>
  <c r="EF68" i="11"/>
  <c r="EG68" i="11"/>
  <c r="EH68" i="11"/>
  <c r="EI68" i="11"/>
  <c r="EJ68" i="11"/>
  <c r="EK68" i="11"/>
  <c r="EL68" i="11"/>
  <c r="EM68" i="11"/>
  <c r="EN68" i="11"/>
  <c r="EO68" i="11"/>
  <c r="EP68" i="11"/>
  <c r="EQ68" i="11"/>
  <c r="ER68" i="11"/>
  <c r="ES68" i="11"/>
  <c r="ET68" i="11"/>
  <c r="EU68" i="11"/>
  <c r="EV68" i="11"/>
  <c r="EW68" i="11"/>
  <c r="EX68" i="11"/>
  <c r="EY68" i="11"/>
  <c r="EZ68" i="11"/>
  <c r="FA68" i="11"/>
  <c r="FB68" i="11"/>
  <c r="FC68" i="11"/>
  <c r="FD68" i="11"/>
  <c r="FE68" i="11"/>
  <c r="FF68" i="11"/>
  <c r="FG68" i="11"/>
  <c r="FH68" i="11"/>
  <c r="FI68" i="11"/>
  <c r="FJ68" i="11"/>
  <c r="FK68" i="11"/>
  <c r="FL68" i="11"/>
  <c r="FM68" i="11"/>
  <c r="FN68" i="11"/>
  <c r="FO68" i="11"/>
  <c r="FP68" i="11"/>
  <c r="FQ68" i="11"/>
  <c r="FR68" i="11"/>
  <c r="FS68" i="11"/>
  <c r="FT68" i="11"/>
  <c r="FU68" i="11"/>
  <c r="FV68" i="11"/>
  <c r="FW68" i="11"/>
  <c r="FX68" i="11"/>
  <c r="FY68" i="11"/>
  <c r="FZ68" i="11"/>
  <c r="GA68" i="11"/>
  <c r="GB68" i="11"/>
  <c r="GC68" i="11"/>
  <c r="GD68" i="11"/>
  <c r="GE68" i="11"/>
  <c r="GF68" i="11"/>
  <c r="GG68" i="11"/>
  <c r="GH68" i="11"/>
  <c r="GI68" i="11"/>
  <c r="GJ68" i="11"/>
  <c r="GK68" i="11"/>
  <c r="GL68" i="11"/>
  <c r="GM68" i="11"/>
  <c r="GN68" i="11"/>
  <c r="GO68" i="11"/>
  <c r="GP68" i="11"/>
  <c r="GQ68" i="11"/>
  <c r="GR68" i="11"/>
  <c r="GS68" i="11"/>
  <c r="GT68" i="11"/>
  <c r="GU68" i="11"/>
  <c r="GV68" i="11"/>
  <c r="GW68" i="11"/>
  <c r="GX68" i="11"/>
  <c r="GY68" i="11"/>
  <c r="GZ68" i="11"/>
  <c r="HA68" i="11"/>
  <c r="HB68" i="11"/>
  <c r="HC68" i="11"/>
  <c r="HD68" i="11"/>
  <c r="HE68" i="11"/>
  <c r="HF68" i="11"/>
  <c r="HG68" i="11"/>
  <c r="HH68" i="11"/>
  <c r="HI68" i="11"/>
  <c r="HJ68" i="11"/>
  <c r="HK68" i="11"/>
  <c r="HL68" i="11"/>
  <c r="HM68" i="11"/>
  <c r="HN68" i="11"/>
  <c r="HO68" i="11"/>
  <c r="HP68" i="11"/>
  <c r="HQ68" i="11"/>
  <c r="HR68" i="11"/>
  <c r="HS68" i="11"/>
  <c r="HT68" i="11"/>
  <c r="HU68" i="11"/>
  <c r="HV68" i="11"/>
  <c r="HW68" i="11"/>
  <c r="HX68" i="11"/>
  <c r="HY68" i="11"/>
  <c r="HZ68" i="11"/>
  <c r="IA68" i="11"/>
  <c r="IB68" i="11"/>
  <c r="IC68" i="11"/>
  <c r="ID68" i="11"/>
  <c r="IE68" i="11"/>
  <c r="IF68" i="11"/>
  <c r="IG68" i="11"/>
  <c r="IH68" i="11"/>
  <c r="II68" i="11"/>
  <c r="IJ68" i="11"/>
  <c r="IK68" i="11"/>
  <c r="IL68" i="11"/>
  <c r="IM68" i="11"/>
  <c r="IN68" i="11"/>
  <c r="IO68" i="11"/>
  <c r="IP68" i="11"/>
  <c r="IQ68" i="11"/>
  <c r="IR68" i="11"/>
  <c r="IS68" i="11"/>
  <c r="IT68" i="11"/>
  <c r="IU68" i="11"/>
  <c r="IV68" i="11"/>
  <c r="IW68" i="11"/>
  <c r="IX68" i="11"/>
  <c r="IY68" i="11"/>
  <c r="IZ68" i="11"/>
  <c r="JA68" i="11"/>
  <c r="JB68" i="11"/>
  <c r="JC68" i="11"/>
  <c r="JD68" i="11"/>
  <c r="JE68" i="11"/>
  <c r="JF68" i="11"/>
  <c r="JG68" i="11"/>
  <c r="JH68" i="11"/>
  <c r="JI68" i="11"/>
  <c r="JJ68" i="11"/>
  <c r="JK68" i="11"/>
  <c r="JL68" i="11"/>
  <c r="JM68" i="11"/>
  <c r="JN68" i="11"/>
  <c r="JO68" i="11"/>
  <c r="JP68" i="11"/>
  <c r="JQ68" i="11"/>
  <c r="JR68" i="11"/>
  <c r="JS68" i="11"/>
  <c r="JT68" i="11"/>
  <c r="JU68" i="11"/>
  <c r="JV68" i="11"/>
  <c r="JW68" i="11"/>
  <c r="JX68" i="11"/>
  <c r="JY68" i="11"/>
  <c r="JZ68" i="11"/>
  <c r="KA68" i="11"/>
  <c r="KB68" i="11"/>
  <c r="KC68" i="11"/>
  <c r="KD68" i="11"/>
  <c r="KE68" i="11"/>
  <c r="KF68" i="11"/>
  <c r="KG68" i="11"/>
  <c r="KH68" i="11"/>
  <c r="KI68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CD69" i="11"/>
  <c r="CE69" i="11"/>
  <c r="CF69" i="11"/>
  <c r="CG69" i="11"/>
  <c r="CH69" i="11"/>
  <c r="CI69" i="11"/>
  <c r="CJ69" i="11"/>
  <c r="CK69" i="11"/>
  <c r="CL69" i="11"/>
  <c r="CM69" i="11"/>
  <c r="CN69" i="11"/>
  <c r="CO69" i="11"/>
  <c r="CP69" i="11"/>
  <c r="CQ69" i="11"/>
  <c r="CR69" i="11"/>
  <c r="CS69" i="11"/>
  <c r="CT69" i="11"/>
  <c r="CU69" i="11"/>
  <c r="CV69" i="11"/>
  <c r="CW69" i="11"/>
  <c r="CX69" i="11"/>
  <c r="CY69" i="11"/>
  <c r="CZ69" i="11"/>
  <c r="DA69" i="11"/>
  <c r="DB69" i="11"/>
  <c r="DC69" i="11"/>
  <c r="DD69" i="11"/>
  <c r="DE69" i="11"/>
  <c r="DF69" i="11"/>
  <c r="DG69" i="11"/>
  <c r="DH69" i="11"/>
  <c r="DI69" i="11"/>
  <c r="DJ69" i="11"/>
  <c r="DK69" i="11"/>
  <c r="DL69" i="11"/>
  <c r="DM69" i="11"/>
  <c r="DN69" i="11"/>
  <c r="DO69" i="11"/>
  <c r="DP69" i="11"/>
  <c r="DQ69" i="11"/>
  <c r="DR69" i="11"/>
  <c r="DS69" i="11"/>
  <c r="DT69" i="11"/>
  <c r="DU69" i="11"/>
  <c r="DV69" i="11"/>
  <c r="DW69" i="11"/>
  <c r="DX69" i="11"/>
  <c r="DY69" i="11"/>
  <c r="DZ69" i="11"/>
  <c r="EA69" i="11"/>
  <c r="EB69" i="11"/>
  <c r="EC69" i="11"/>
  <c r="ED69" i="11"/>
  <c r="EE69" i="11"/>
  <c r="EF69" i="11"/>
  <c r="EG69" i="11"/>
  <c r="EH69" i="11"/>
  <c r="EI69" i="11"/>
  <c r="EJ69" i="11"/>
  <c r="EK69" i="11"/>
  <c r="EL69" i="11"/>
  <c r="EM69" i="11"/>
  <c r="EN69" i="11"/>
  <c r="EO69" i="11"/>
  <c r="EP69" i="11"/>
  <c r="EQ69" i="11"/>
  <c r="ER69" i="11"/>
  <c r="ES69" i="11"/>
  <c r="ET69" i="11"/>
  <c r="EU69" i="11"/>
  <c r="EV69" i="11"/>
  <c r="EW69" i="11"/>
  <c r="EX69" i="11"/>
  <c r="EY69" i="11"/>
  <c r="EZ69" i="11"/>
  <c r="FA69" i="11"/>
  <c r="FB69" i="11"/>
  <c r="FC69" i="11"/>
  <c r="FD69" i="11"/>
  <c r="FE69" i="11"/>
  <c r="FF69" i="11"/>
  <c r="FG69" i="11"/>
  <c r="FH69" i="11"/>
  <c r="FI69" i="11"/>
  <c r="FJ69" i="11"/>
  <c r="FK69" i="11"/>
  <c r="FL69" i="11"/>
  <c r="FM69" i="11"/>
  <c r="FN69" i="11"/>
  <c r="FO69" i="11"/>
  <c r="FP69" i="11"/>
  <c r="FQ69" i="11"/>
  <c r="FR69" i="11"/>
  <c r="FS69" i="11"/>
  <c r="FT69" i="11"/>
  <c r="FU69" i="11"/>
  <c r="FV69" i="11"/>
  <c r="FW69" i="11"/>
  <c r="FX69" i="11"/>
  <c r="FY69" i="11"/>
  <c r="FZ69" i="11"/>
  <c r="GA69" i="11"/>
  <c r="GB69" i="11"/>
  <c r="GC69" i="11"/>
  <c r="GD69" i="11"/>
  <c r="GE69" i="11"/>
  <c r="GF69" i="11"/>
  <c r="GG69" i="11"/>
  <c r="GH69" i="11"/>
  <c r="GI69" i="11"/>
  <c r="GJ69" i="11"/>
  <c r="GK69" i="11"/>
  <c r="GL69" i="11"/>
  <c r="GM69" i="11"/>
  <c r="GN69" i="11"/>
  <c r="GO69" i="11"/>
  <c r="GP69" i="11"/>
  <c r="GQ69" i="11"/>
  <c r="GR69" i="11"/>
  <c r="GS69" i="11"/>
  <c r="GT69" i="11"/>
  <c r="GU69" i="11"/>
  <c r="GV69" i="11"/>
  <c r="GW69" i="11"/>
  <c r="GX69" i="11"/>
  <c r="GY69" i="11"/>
  <c r="GZ69" i="11"/>
  <c r="HA69" i="11"/>
  <c r="HB69" i="11"/>
  <c r="HC69" i="11"/>
  <c r="HD69" i="11"/>
  <c r="HE69" i="11"/>
  <c r="HF69" i="11"/>
  <c r="HG69" i="11"/>
  <c r="HH69" i="11"/>
  <c r="HI69" i="11"/>
  <c r="HJ69" i="11"/>
  <c r="HK69" i="11"/>
  <c r="HL69" i="11"/>
  <c r="HM69" i="11"/>
  <c r="HN69" i="11"/>
  <c r="HO69" i="11"/>
  <c r="HP69" i="11"/>
  <c r="HQ69" i="11"/>
  <c r="HR69" i="11"/>
  <c r="HS69" i="11"/>
  <c r="HT69" i="11"/>
  <c r="HU69" i="11"/>
  <c r="HV69" i="11"/>
  <c r="HW69" i="11"/>
  <c r="HX69" i="11"/>
  <c r="HY69" i="11"/>
  <c r="HZ69" i="11"/>
  <c r="IA69" i="11"/>
  <c r="IB69" i="11"/>
  <c r="IC69" i="11"/>
  <c r="ID69" i="11"/>
  <c r="IE69" i="11"/>
  <c r="IF69" i="11"/>
  <c r="IG69" i="11"/>
  <c r="IH69" i="11"/>
  <c r="II69" i="11"/>
  <c r="IJ69" i="11"/>
  <c r="IK69" i="11"/>
  <c r="IL69" i="11"/>
  <c r="IM69" i="11"/>
  <c r="IN69" i="11"/>
  <c r="IO69" i="11"/>
  <c r="IP69" i="11"/>
  <c r="IQ69" i="11"/>
  <c r="IR69" i="11"/>
  <c r="IS69" i="11"/>
  <c r="IT69" i="11"/>
  <c r="IU69" i="11"/>
  <c r="IV69" i="11"/>
  <c r="IW69" i="11"/>
  <c r="IX69" i="11"/>
  <c r="IY69" i="11"/>
  <c r="IZ69" i="11"/>
  <c r="JA69" i="11"/>
  <c r="JB69" i="11"/>
  <c r="JC69" i="11"/>
  <c r="JD69" i="11"/>
  <c r="JE69" i="11"/>
  <c r="JF69" i="11"/>
  <c r="JG69" i="11"/>
  <c r="JH69" i="11"/>
  <c r="JI69" i="11"/>
  <c r="JJ69" i="11"/>
  <c r="JK69" i="11"/>
  <c r="JL69" i="11"/>
  <c r="JM69" i="11"/>
  <c r="JN69" i="11"/>
  <c r="JO69" i="11"/>
  <c r="JP69" i="11"/>
  <c r="JQ69" i="11"/>
  <c r="JR69" i="11"/>
  <c r="JS69" i="11"/>
  <c r="JT69" i="11"/>
  <c r="JU69" i="11"/>
  <c r="JV69" i="11"/>
  <c r="JW69" i="11"/>
  <c r="JX69" i="11"/>
  <c r="JY69" i="11"/>
  <c r="JZ69" i="11"/>
  <c r="KA69" i="11"/>
  <c r="KB69" i="11"/>
  <c r="KC69" i="11"/>
  <c r="KD69" i="11"/>
  <c r="KE69" i="11"/>
  <c r="KF69" i="11"/>
  <c r="KG69" i="11"/>
  <c r="KH69" i="11"/>
  <c r="KI69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CD70" i="11"/>
  <c r="CE70" i="11"/>
  <c r="CF70" i="11"/>
  <c r="CG70" i="11"/>
  <c r="CH70" i="11"/>
  <c r="CI70" i="11"/>
  <c r="CJ70" i="11"/>
  <c r="CK70" i="11"/>
  <c r="CL70" i="11"/>
  <c r="CM70" i="11"/>
  <c r="CN70" i="11"/>
  <c r="CO70" i="11"/>
  <c r="CP70" i="11"/>
  <c r="CQ70" i="11"/>
  <c r="CR70" i="11"/>
  <c r="CS70" i="11"/>
  <c r="CT70" i="11"/>
  <c r="CU70" i="11"/>
  <c r="CV70" i="11"/>
  <c r="CW70" i="11"/>
  <c r="CX70" i="11"/>
  <c r="CY70" i="11"/>
  <c r="CZ70" i="11"/>
  <c r="DA70" i="11"/>
  <c r="DB70" i="11"/>
  <c r="DC70" i="11"/>
  <c r="DD70" i="11"/>
  <c r="DE70" i="11"/>
  <c r="DF70" i="11"/>
  <c r="DG70" i="11"/>
  <c r="DH70" i="11"/>
  <c r="DI70" i="11"/>
  <c r="DJ70" i="11"/>
  <c r="DK70" i="11"/>
  <c r="DL70" i="11"/>
  <c r="DM70" i="11"/>
  <c r="DN70" i="11"/>
  <c r="DO70" i="11"/>
  <c r="DP70" i="11"/>
  <c r="DQ70" i="11"/>
  <c r="DR70" i="11"/>
  <c r="DS70" i="11"/>
  <c r="DT70" i="11"/>
  <c r="DU70" i="11"/>
  <c r="DV70" i="11"/>
  <c r="DW70" i="11"/>
  <c r="DX70" i="11"/>
  <c r="DY70" i="11"/>
  <c r="DZ70" i="11"/>
  <c r="EA70" i="11"/>
  <c r="EB70" i="11"/>
  <c r="EC70" i="11"/>
  <c r="ED70" i="11"/>
  <c r="EE70" i="11"/>
  <c r="EF70" i="11"/>
  <c r="EG70" i="11"/>
  <c r="EH70" i="11"/>
  <c r="EI70" i="11"/>
  <c r="EJ70" i="11"/>
  <c r="EK70" i="11"/>
  <c r="EL70" i="11"/>
  <c r="EM70" i="11"/>
  <c r="EN70" i="11"/>
  <c r="EO70" i="11"/>
  <c r="EP70" i="11"/>
  <c r="EQ70" i="11"/>
  <c r="ER70" i="11"/>
  <c r="ES70" i="11"/>
  <c r="ET70" i="11"/>
  <c r="EU70" i="11"/>
  <c r="EV70" i="11"/>
  <c r="EW70" i="11"/>
  <c r="EX70" i="11"/>
  <c r="EY70" i="11"/>
  <c r="EZ70" i="11"/>
  <c r="FA70" i="11"/>
  <c r="FB70" i="11"/>
  <c r="FC70" i="11"/>
  <c r="FD70" i="11"/>
  <c r="FE70" i="11"/>
  <c r="FF70" i="11"/>
  <c r="FG70" i="11"/>
  <c r="FH70" i="11"/>
  <c r="FI70" i="11"/>
  <c r="FJ70" i="11"/>
  <c r="FK70" i="11"/>
  <c r="FL70" i="11"/>
  <c r="FM70" i="11"/>
  <c r="FN70" i="11"/>
  <c r="FO70" i="11"/>
  <c r="FP70" i="11"/>
  <c r="FQ70" i="11"/>
  <c r="FR70" i="11"/>
  <c r="FS70" i="11"/>
  <c r="FT70" i="11"/>
  <c r="FU70" i="11"/>
  <c r="FV70" i="11"/>
  <c r="FW70" i="11"/>
  <c r="FX70" i="11"/>
  <c r="FY70" i="11"/>
  <c r="FZ70" i="11"/>
  <c r="GA70" i="11"/>
  <c r="GB70" i="11"/>
  <c r="GC70" i="11"/>
  <c r="GD70" i="11"/>
  <c r="GE70" i="11"/>
  <c r="GF70" i="11"/>
  <c r="GG70" i="11"/>
  <c r="GH70" i="11"/>
  <c r="GI70" i="11"/>
  <c r="GJ70" i="11"/>
  <c r="GK70" i="11"/>
  <c r="GL70" i="11"/>
  <c r="GM70" i="11"/>
  <c r="GN70" i="11"/>
  <c r="GO70" i="11"/>
  <c r="GP70" i="11"/>
  <c r="GQ70" i="11"/>
  <c r="GR70" i="11"/>
  <c r="GS70" i="11"/>
  <c r="GT70" i="11"/>
  <c r="GU70" i="11"/>
  <c r="GV70" i="11"/>
  <c r="GW70" i="11"/>
  <c r="GX70" i="11"/>
  <c r="GY70" i="11"/>
  <c r="GZ70" i="11"/>
  <c r="HA70" i="11"/>
  <c r="HB70" i="11"/>
  <c r="HC70" i="11"/>
  <c r="HD70" i="11"/>
  <c r="HE70" i="11"/>
  <c r="HF70" i="11"/>
  <c r="HG70" i="11"/>
  <c r="HH70" i="11"/>
  <c r="HI70" i="11"/>
  <c r="HJ70" i="11"/>
  <c r="HK70" i="11"/>
  <c r="HL70" i="11"/>
  <c r="HM70" i="11"/>
  <c r="HN70" i="11"/>
  <c r="HO70" i="11"/>
  <c r="HP70" i="11"/>
  <c r="HQ70" i="11"/>
  <c r="HR70" i="11"/>
  <c r="HS70" i="11"/>
  <c r="HT70" i="11"/>
  <c r="HU70" i="11"/>
  <c r="HV70" i="11"/>
  <c r="HW70" i="11"/>
  <c r="HX70" i="11"/>
  <c r="HY70" i="11"/>
  <c r="HZ70" i="11"/>
  <c r="IA70" i="11"/>
  <c r="IB70" i="11"/>
  <c r="IC70" i="11"/>
  <c r="ID70" i="11"/>
  <c r="IE70" i="11"/>
  <c r="IF70" i="11"/>
  <c r="IG70" i="11"/>
  <c r="IH70" i="11"/>
  <c r="II70" i="11"/>
  <c r="IJ70" i="11"/>
  <c r="IK70" i="11"/>
  <c r="IL70" i="11"/>
  <c r="IM70" i="11"/>
  <c r="IN70" i="11"/>
  <c r="IO70" i="11"/>
  <c r="IP70" i="11"/>
  <c r="IQ70" i="11"/>
  <c r="IR70" i="11"/>
  <c r="IS70" i="11"/>
  <c r="IT70" i="11"/>
  <c r="IU70" i="11"/>
  <c r="IV70" i="11"/>
  <c r="IW70" i="11"/>
  <c r="IX70" i="11"/>
  <c r="IY70" i="11"/>
  <c r="IZ70" i="11"/>
  <c r="JA70" i="11"/>
  <c r="JB70" i="11"/>
  <c r="JC70" i="11"/>
  <c r="JD70" i="11"/>
  <c r="JE70" i="11"/>
  <c r="JF70" i="11"/>
  <c r="JG70" i="11"/>
  <c r="JH70" i="11"/>
  <c r="JI70" i="11"/>
  <c r="JJ70" i="11"/>
  <c r="JK70" i="11"/>
  <c r="JL70" i="11"/>
  <c r="JM70" i="11"/>
  <c r="JN70" i="11"/>
  <c r="JO70" i="11"/>
  <c r="JP70" i="11"/>
  <c r="JQ70" i="11"/>
  <c r="JR70" i="11"/>
  <c r="JS70" i="11"/>
  <c r="JT70" i="11"/>
  <c r="JU70" i="11"/>
  <c r="JV70" i="11"/>
  <c r="JW70" i="11"/>
  <c r="JX70" i="11"/>
  <c r="JY70" i="11"/>
  <c r="JZ70" i="11"/>
  <c r="KA70" i="11"/>
  <c r="KB70" i="11"/>
  <c r="KC70" i="11"/>
  <c r="KD70" i="11"/>
  <c r="KE70" i="11"/>
  <c r="KF70" i="11"/>
  <c r="KG70" i="11"/>
  <c r="KH70" i="11"/>
  <c r="KI70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CD71" i="11"/>
  <c r="CE71" i="11"/>
  <c r="CF71" i="11"/>
  <c r="CG71" i="11"/>
  <c r="CH71" i="11"/>
  <c r="CI71" i="11"/>
  <c r="CJ71" i="11"/>
  <c r="CK71" i="11"/>
  <c r="CL71" i="11"/>
  <c r="CM71" i="11"/>
  <c r="CN71" i="11"/>
  <c r="CO71" i="11"/>
  <c r="CP71" i="11"/>
  <c r="CQ71" i="11"/>
  <c r="CR71" i="11"/>
  <c r="CS71" i="11"/>
  <c r="CT71" i="11"/>
  <c r="CU71" i="11"/>
  <c r="CV71" i="11"/>
  <c r="CW71" i="11"/>
  <c r="CX71" i="11"/>
  <c r="CY71" i="11"/>
  <c r="CZ71" i="11"/>
  <c r="DA71" i="11"/>
  <c r="DB71" i="11"/>
  <c r="DC71" i="11"/>
  <c r="DD71" i="11"/>
  <c r="DE71" i="11"/>
  <c r="DF71" i="11"/>
  <c r="DG71" i="11"/>
  <c r="DH71" i="11"/>
  <c r="DI71" i="11"/>
  <c r="DJ71" i="11"/>
  <c r="DK71" i="11"/>
  <c r="DL71" i="11"/>
  <c r="DM71" i="11"/>
  <c r="DN71" i="11"/>
  <c r="DO71" i="11"/>
  <c r="DP71" i="11"/>
  <c r="DQ71" i="11"/>
  <c r="DR71" i="11"/>
  <c r="DS71" i="11"/>
  <c r="DT71" i="11"/>
  <c r="DU71" i="11"/>
  <c r="DV71" i="11"/>
  <c r="DW71" i="11"/>
  <c r="DX71" i="11"/>
  <c r="DY71" i="11"/>
  <c r="DZ71" i="11"/>
  <c r="EA71" i="11"/>
  <c r="EB71" i="11"/>
  <c r="EC71" i="11"/>
  <c r="ED71" i="11"/>
  <c r="EE71" i="11"/>
  <c r="EF71" i="11"/>
  <c r="EG71" i="11"/>
  <c r="EH71" i="11"/>
  <c r="EI71" i="11"/>
  <c r="EJ71" i="11"/>
  <c r="EK71" i="11"/>
  <c r="EL71" i="11"/>
  <c r="EM71" i="11"/>
  <c r="EN71" i="11"/>
  <c r="EO71" i="11"/>
  <c r="EP71" i="11"/>
  <c r="EQ71" i="11"/>
  <c r="ER71" i="11"/>
  <c r="ES71" i="11"/>
  <c r="ET71" i="11"/>
  <c r="EU71" i="11"/>
  <c r="EV71" i="11"/>
  <c r="EW71" i="11"/>
  <c r="EX71" i="11"/>
  <c r="EY71" i="11"/>
  <c r="EZ71" i="11"/>
  <c r="FA71" i="11"/>
  <c r="FB71" i="11"/>
  <c r="FC71" i="11"/>
  <c r="FD71" i="11"/>
  <c r="FE71" i="11"/>
  <c r="FF71" i="11"/>
  <c r="FG71" i="11"/>
  <c r="FH71" i="11"/>
  <c r="FI71" i="11"/>
  <c r="FJ71" i="11"/>
  <c r="FK71" i="11"/>
  <c r="FL71" i="11"/>
  <c r="FM71" i="11"/>
  <c r="FN71" i="11"/>
  <c r="FO71" i="11"/>
  <c r="FP71" i="11"/>
  <c r="FQ71" i="11"/>
  <c r="FR71" i="11"/>
  <c r="FS71" i="11"/>
  <c r="FT71" i="11"/>
  <c r="FU71" i="11"/>
  <c r="FV71" i="11"/>
  <c r="FW71" i="11"/>
  <c r="FX71" i="11"/>
  <c r="FY71" i="11"/>
  <c r="FZ71" i="11"/>
  <c r="GA71" i="11"/>
  <c r="GB71" i="11"/>
  <c r="GC71" i="11"/>
  <c r="GD71" i="11"/>
  <c r="GE71" i="11"/>
  <c r="GF71" i="11"/>
  <c r="GG71" i="11"/>
  <c r="GH71" i="11"/>
  <c r="GI71" i="11"/>
  <c r="GJ71" i="11"/>
  <c r="GK71" i="11"/>
  <c r="GL71" i="11"/>
  <c r="GM71" i="11"/>
  <c r="GN71" i="11"/>
  <c r="GO71" i="11"/>
  <c r="GP71" i="11"/>
  <c r="GQ71" i="11"/>
  <c r="GR71" i="11"/>
  <c r="GS71" i="11"/>
  <c r="GT71" i="11"/>
  <c r="GU71" i="11"/>
  <c r="GV71" i="11"/>
  <c r="GW71" i="11"/>
  <c r="GX71" i="11"/>
  <c r="GY71" i="11"/>
  <c r="GZ71" i="11"/>
  <c r="HA71" i="11"/>
  <c r="HB71" i="11"/>
  <c r="HC71" i="11"/>
  <c r="HD71" i="11"/>
  <c r="HE71" i="11"/>
  <c r="HF71" i="11"/>
  <c r="HG71" i="11"/>
  <c r="HH71" i="11"/>
  <c r="HI71" i="11"/>
  <c r="HJ71" i="11"/>
  <c r="HK71" i="11"/>
  <c r="HL71" i="11"/>
  <c r="HM71" i="11"/>
  <c r="HN71" i="11"/>
  <c r="HO71" i="11"/>
  <c r="HP71" i="11"/>
  <c r="HQ71" i="11"/>
  <c r="HR71" i="11"/>
  <c r="HS71" i="11"/>
  <c r="HT71" i="11"/>
  <c r="HU71" i="11"/>
  <c r="HV71" i="11"/>
  <c r="HW71" i="11"/>
  <c r="HX71" i="11"/>
  <c r="HY71" i="11"/>
  <c r="HZ71" i="11"/>
  <c r="IA71" i="11"/>
  <c r="IB71" i="11"/>
  <c r="IC71" i="11"/>
  <c r="ID71" i="11"/>
  <c r="IE71" i="11"/>
  <c r="IF71" i="11"/>
  <c r="IG71" i="11"/>
  <c r="IH71" i="11"/>
  <c r="II71" i="11"/>
  <c r="IJ71" i="11"/>
  <c r="IK71" i="11"/>
  <c r="IL71" i="11"/>
  <c r="IM71" i="11"/>
  <c r="IN71" i="11"/>
  <c r="IO71" i="11"/>
  <c r="IP71" i="11"/>
  <c r="IQ71" i="11"/>
  <c r="IR71" i="11"/>
  <c r="IS71" i="11"/>
  <c r="IT71" i="11"/>
  <c r="IU71" i="11"/>
  <c r="IV71" i="11"/>
  <c r="IW71" i="11"/>
  <c r="IX71" i="11"/>
  <c r="IY71" i="11"/>
  <c r="IZ71" i="11"/>
  <c r="JA71" i="11"/>
  <c r="JB71" i="11"/>
  <c r="JC71" i="11"/>
  <c r="JD71" i="11"/>
  <c r="JE71" i="11"/>
  <c r="JF71" i="11"/>
  <c r="JG71" i="11"/>
  <c r="JH71" i="11"/>
  <c r="JI71" i="11"/>
  <c r="JJ71" i="11"/>
  <c r="JK71" i="11"/>
  <c r="JL71" i="11"/>
  <c r="JM71" i="11"/>
  <c r="JN71" i="11"/>
  <c r="JO71" i="11"/>
  <c r="JP71" i="11"/>
  <c r="JQ71" i="11"/>
  <c r="JR71" i="11"/>
  <c r="JS71" i="11"/>
  <c r="JT71" i="11"/>
  <c r="JU71" i="11"/>
  <c r="JV71" i="11"/>
  <c r="JW71" i="11"/>
  <c r="JX71" i="11"/>
  <c r="JY71" i="11"/>
  <c r="JZ71" i="11"/>
  <c r="KA71" i="11"/>
  <c r="KB71" i="11"/>
  <c r="KC71" i="11"/>
  <c r="KD71" i="11"/>
  <c r="KE71" i="11"/>
  <c r="KF71" i="11"/>
  <c r="KG71" i="11"/>
  <c r="KH71" i="11"/>
  <c r="KI71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BP72" i="11"/>
  <c r="BQ72" i="11"/>
  <c r="BR72" i="11"/>
  <c r="BS72" i="11"/>
  <c r="BT72" i="11"/>
  <c r="BU72" i="11"/>
  <c r="BV72" i="11"/>
  <c r="BW72" i="11"/>
  <c r="BX72" i="11"/>
  <c r="BY72" i="11"/>
  <c r="BZ72" i="11"/>
  <c r="CA72" i="11"/>
  <c r="CB72" i="11"/>
  <c r="CC72" i="11"/>
  <c r="CD72" i="11"/>
  <c r="CE72" i="11"/>
  <c r="CF72" i="11"/>
  <c r="CG72" i="11"/>
  <c r="CH72" i="11"/>
  <c r="CI72" i="11"/>
  <c r="CJ72" i="11"/>
  <c r="CK72" i="11"/>
  <c r="CL72" i="11"/>
  <c r="CM72" i="11"/>
  <c r="CN72" i="11"/>
  <c r="CO72" i="11"/>
  <c r="CP72" i="11"/>
  <c r="CQ72" i="11"/>
  <c r="CR72" i="11"/>
  <c r="CS72" i="11"/>
  <c r="CT72" i="11"/>
  <c r="CU72" i="11"/>
  <c r="CV72" i="11"/>
  <c r="CW72" i="11"/>
  <c r="CX72" i="11"/>
  <c r="CY72" i="11"/>
  <c r="CZ72" i="11"/>
  <c r="DA72" i="11"/>
  <c r="DB72" i="11"/>
  <c r="DC72" i="11"/>
  <c r="DD72" i="11"/>
  <c r="DE72" i="11"/>
  <c r="DF72" i="11"/>
  <c r="DG72" i="11"/>
  <c r="DH72" i="11"/>
  <c r="DI72" i="11"/>
  <c r="DJ72" i="11"/>
  <c r="DK72" i="11"/>
  <c r="DL72" i="11"/>
  <c r="DM72" i="11"/>
  <c r="DN72" i="11"/>
  <c r="DO72" i="11"/>
  <c r="DP72" i="11"/>
  <c r="DQ72" i="11"/>
  <c r="DR72" i="11"/>
  <c r="DS72" i="11"/>
  <c r="DT72" i="11"/>
  <c r="DU72" i="11"/>
  <c r="DV72" i="11"/>
  <c r="DW72" i="11"/>
  <c r="DX72" i="11"/>
  <c r="DY72" i="11"/>
  <c r="DZ72" i="11"/>
  <c r="EA72" i="11"/>
  <c r="EB72" i="11"/>
  <c r="EC72" i="11"/>
  <c r="ED72" i="11"/>
  <c r="EE72" i="11"/>
  <c r="EF72" i="11"/>
  <c r="EG72" i="11"/>
  <c r="EH72" i="11"/>
  <c r="EI72" i="11"/>
  <c r="EJ72" i="11"/>
  <c r="EK72" i="11"/>
  <c r="EL72" i="11"/>
  <c r="EM72" i="11"/>
  <c r="EN72" i="11"/>
  <c r="EO72" i="11"/>
  <c r="EP72" i="11"/>
  <c r="EQ72" i="11"/>
  <c r="ER72" i="11"/>
  <c r="ES72" i="11"/>
  <c r="ET72" i="11"/>
  <c r="EU72" i="11"/>
  <c r="EV72" i="11"/>
  <c r="EW72" i="11"/>
  <c r="EX72" i="11"/>
  <c r="EY72" i="11"/>
  <c r="EZ72" i="11"/>
  <c r="FA72" i="11"/>
  <c r="FB72" i="11"/>
  <c r="FC72" i="11"/>
  <c r="FD72" i="11"/>
  <c r="FE72" i="11"/>
  <c r="FF72" i="11"/>
  <c r="FG72" i="11"/>
  <c r="FH72" i="11"/>
  <c r="FI72" i="11"/>
  <c r="FJ72" i="11"/>
  <c r="FK72" i="11"/>
  <c r="FL72" i="11"/>
  <c r="FM72" i="11"/>
  <c r="FN72" i="11"/>
  <c r="FO72" i="11"/>
  <c r="FP72" i="11"/>
  <c r="FQ72" i="11"/>
  <c r="FR72" i="11"/>
  <c r="FS72" i="11"/>
  <c r="FT72" i="11"/>
  <c r="FU72" i="11"/>
  <c r="FV72" i="11"/>
  <c r="FW72" i="11"/>
  <c r="FX72" i="11"/>
  <c r="FY72" i="11"/>
  <c r="FZ72" i="11"/>
  <c r="GA72" i="11"/>
  <c r="GB72" i="11"/>
  <c r="GC72" i="11"/>
  <c r="GD72" i="11"/>
  <c r="GE72" i="11"/>
  <c r="GF72" i="11"/>
  <c r="GG72" i="11"/>
  <c r="GH72" i="11"/>
  <c r="GI72" i="11"/>
  <c r="GJ72" i="11"/>
  <c r="GK72" i="11"/>
  <c r="GL72" i="11"/>
  <c r="GM72" i="11"/>
  <c r="GN72" i="11"/>
  <c r="GO72" i="11"/>
  <c r="GP72" i="11"/>
  <c r="GQ72" i="11"/>
  <c r="GR72" i="11"/>
  <c r="GS72" i="11"/>
  <c r="GT72" i="11"/>
  <c r="GU72" i="11"/>
  <c r="GV72" i="11"/>
  <c r="GW72" i="11"/>
  <c r="GX72" i="11"/>
  <c r="GY72" i="11"/>
  <c r="GZ72" i="11"/>
  <c r="HA72" i="11"/>
  <c r="HB72" i="11"/>
  <c r="HC72" i="11"/>
  <c r="HD72" i="11"/>
  <c r="HE72" i="11"/>
  <c r="HF72" i="11"/>
  <c r="HG72" i="11"/>
  <c r="HH72" i="11"/>
  <c r="HI72" i="11"/>
  <c r="HJ72" i="11"/>
  <c r="HK72" i="11"/>
  <c r="HL72" i="11"/>
  <c r="HM72" i="11"/>
  <c r="HN72" i="11"/>
  <c r="HO72" i="11"/>
  <c r="HP72" i="11"/>
  <c r="HQ72" i="11"/>
  <c r="HR72" i="11"/>
  <c r="HS72" i="11"/>
  <c r="HT72" i="11"/>
  <c r="HU72" i="11"/>
  <c r="HV72" i="11"/>
  <c r="HW72" i="11"/>
  <c r="HX72" i="11"/>
  <c r="HY72" i="11"/>
  <c r="HZ72" i="11"/>
  <c r="IA72" i="11"/>
  <c r="IB72" i="11"/>
  <c r="IC72" i="11"/>
  <c r="ID72" i="11"/>
  <c r="IE72" i="11"/>
  <c r="IF72" i="11"/>
  <c r="IG72" i="11"/>
  <c r="IH72" i="11"/>
  <c r="II72" i="11"/>
  <c r="IJ72" i="11"/>
  <c r="IK72" i="11"/>
  <c r="IL72" i="11"/>
  <c r="IM72" i="11"/>
  <c r="IN72" i="11"/>
  <c r="IO72" i="11"/>
  <c r="IP72" i="11"/>
  <c r="IQ72" i="11"/>
  <c r="IR72" i="11"/>
  <c r="IS72" i="11"/>
  <c r="IT72" i="11"/>
  <c r="IU72" i="11"/>
  <c r="IV72" i="11"/>
  <c r="IW72" i="11"/>
  <c r="IX72" i="11"/>
  <c r="IY72" i="11"/>
  <c r="IZ72" i="11"/>
  <c r="JA72" i="11"/>
  <c r="JB72" i="11"/>
  <c r="JC72" i="11"/>
  <c r="JD72" i="11"/>
  <c r="JE72" i="11"/>
  <c r="JF72" i="11"/>
  <c r="JG72" i="11"/>
  <c r="JH72" i="11"/>
  <c r="JI72" i="11"/>
  <c r="JJ72" i="11"/>
  <c r="JK72" i="11"/>
  <c r="JL72" i="11"/>
  <c r="JM72" i="11"/>
  <c r="JN72" i="11"/>
  <c r="JO72" i="11"/>
  <c r="JP72" i="11"/>
  <c r="JQ72" i="11"/>
  <c r="JR72" i="11"/>
  <c r="JS72" i="11"/>
  <c r="JT72" i="11"/>
  <c r="JU72" i="11"/>
  <c r="JV72" i="11"/>
  <c r="JW72" i="11"/>
  <c r="JX72" i="11"/>
  <c r="JY72" i="11"/>
  <c r="JZ72" i="11"/>
  <c r="KA72" i="11"/>
  <c r="KB72" i="11"/>
  <c r="KC72" i="11"/>
  <c r="KD72" i="11"/>
  <c r="KE72" i="11"/>
  <c r="KF72" i="11"/>
  <c r="KG72" i="11"/>
  <c r="KH72" i="11"/>
  <c r="KI72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BP73" i="11"/>
  <c r="BQ73" i="11"/>
  <c r="BR73" i="11"/>
  <c r="BS73" i="11"/>
  <c r="BT73" i="11"/>
  <c r="BU73" i="11"/>
  <c r="BV73" i="11"/>
  <c r="BW73" i="11"/>
  <c r="BX73" i="11"/>
  <c r="BY73" i="11"/>
  <c r="BZ73" i="11"/>
  <c r="CA73" i="11"/>
  <c r="CB73" i="11"/>
  <c r="CC73" i="11"/>
  <c r="CD73" i="11"/>
  <c r="CE73" i="11"/>
  <c r="CF73" i="11"/>
  <c r="CG73" i="11"/>
  <c r="CH73" i="11"/>
  <c r="CI73" i="11"/>
  <c r="CJ73" i="11"/>
  <c r="CK73" i="11"/>
  <c r="CL73" i="11"/>
  <c r="CM73" i="11"/>
  <c r="CN73" i="11"/>
  <c r="CO73" i="11"/>
  <c r="CP73" i="11"/>
  <c r="CQ73" i="11"/>
  <c r="CR73" i="11"/>
  <c r="CS73" i="11"/>
  <c r="CT73" i="11"/>
  <c r="CU73" i="11"/>
  <c r="CV73" i="11"/>
  <c r="CW73" i="11"/>
  <c r="CX73" i="11"/>
  <c r="CY73" i="11"/>
  <c r="CZ73" i="11"/>
  <c r="DA73" i="11"/>
  <c r="DB73" i="11"/>
  <c r="DC73" i="11"/>
  <c r="DD73" i="11"/>
  <c r="DE73" i="11"/>
  <c r="DF73" i="11"/>
  <c r="DG73" i="11"/>
  <c r="DH73" i="11"/>
  <c r="DI73" i="11"/>
  <c r="DJ73" i="11"/>
  <c r="DK73" i="11"/>
  <c r="DL73" i="11"/>
  <c r="DM73" i="11"/>
  <c r="DN73" i="11"/>
  <c r="DO73" i="11"/>
  <c r="DP73" i="11"/>
  <c r="DQ73" i="11"/>
  <c r="DR73" i="11"/>
  <c r="DS73" i="11"/>
  <c r="DT73" i="11"/>
  <c r="DU73" i="11"/>
  <c r="DV73" i="11"/>
  <c r="DW73" i="11"/>
  <c r="DX73" i="11"/>
  <c r="DY73" i="11"/>
  <c r="DZ73" i="11"/>
  <c r="EA73" i="11"/>
  <c r="EB73" i="11"/>
  <c r="EC73" i="11"/>
  <c r="ED73" i="11"/>
  <c r="EE73" i="11"/>
  <c r="EF73" i="11"/>
  <c r="EG73" i="11"/>
  <c r="EH73" i="11"/>
  <c r="EI73" i="11"/>
  <c r="EJ73" i="11"/>
  <c r="EK73" i="11"/>
  <c r="EL73" i="11"/>
  <c r="EM73" i="11"/>
  <c r="EN73" i="11"/>
  <c r="EO73" i="11"/>
  <c r="EP73" i="11"/>
  <c r="EQ73" i="11"/>
  <c r="ER73" i="11"/>
  <c r="ES73" i="11"/>
  <c r="ET73" i="11"/>
  <c r="EU73" i="11"/>
  <c r="EV73" i="11"/>
  <c r="EW73" i="11"/>
  <c r="EX73" i="11"/>
  <c r="EY73" i="11"/>
  <c r="EZ73" i="11"/>
  <c r="FA73" i="11"/>
  <c r="FB73" i="11"/>
  <c r="FC73" i="11"/>
  <c r="FD73" i="11"/>
  <c r="FE73" i="11"/>
  <c r="FF73" i="11"/>
  <c r="FG73" i="11"/>
  <c r="FH73" i="11"/>
  <c r="FI73" i="11"/>
  <c r="FJ73" i="11"/>
  <c r="FK73" i="11"/>
  <c r="FL73" i="11"/>
  <c r="FM73" i="11"/>
  <c r="FN73" i="11"/>
  <c r="FO73" i="11"/>
  <c r="FP73" i="11"/>
  <c r="FQ73" i="11"/>
  <c r="FR73" i="11"/>
  <c r="FS73" i="11"/>
  <c r="FT73" i="11"/>
  <c r="FU73" i="11"/>
  <c r="FV73" i="11"/>
  <c r="FW73" i="11"/>
  <c r="FX73" i="11"/>
  <c r="FY73" i="11"/>
  <c r="FZ73" i="11"/>
  <c r="GA73" i="11"/>
  <c r="GB73" i="11"/>
  <c r="GC73" i="11"/>
  <c r="GD73" i="11"/>
  <c r="GE73" i="11"/>
  <c r="GF73" i="11"/>
  <c r="GG73" i="11"/>
  <c r="GH73" i="11"/>
  <c r="GI73" i="11"/>
  <c r="GJ73" i="11"/>
  <c r="GK73" i="11"/>
  <c r="GL73" i="11"/>
  <c r="GM73" i="11"/>
  <c r="GN73" i="11"/>
  <c r="GO73" i="11"/>
  <c r="GP73" i="11"/>
  <c r="GQ73" i="11"/>
  <c r="GR73" i="11"/>
  <c r="GS73" i="11"/>
  <c r="GT73" i="11"/>
  <c r="GU73" i="11"/>
  <c r="GV73" i="11"/>
  <c r="GW73" i="11"/>
  <c r="GX73" i="11"/>
  <c r="GY73" i="11"/>
  <c r="GZ73" i="11"/>
  <c r="HA73" i="11"/>
  <c r="HB73" i="11"/>
  <c r="HC73" i="11"/>
  <c r="HD73" i="11"/>
  <c r="HE73" i="11"/>
  <c r="HF73" i="11"/>
  <c r="HG73" i="11"/>
  <c r="HH73" i="11"/>
  <c r="HI73" i="11"/>
  <c r="HJ73" i="11"/>
  <c r="HK73" i="11"/>
  <c r="HL73" i="11"/>
  <c r="HM73" i="11"/>
  <c r="HN73" i="11"/>
  <c r="HO73" i="11"/>
  <c r="HP73" i="11"/>
  <c r="HQ73" i="11"/>
  <c r="HR73" i="11"/>
  <c r="HS73" i="11"/>
  <c r="HT73" i="11"/>
  <c r="HU73" i="11"/>
  <c r="HV73" i="11"/>
  <c r="HW73" i="11"/>
  <c r="HX73" i="11"/>
  <c r="HY73" i="11"/>
  <c r="HZ73" i="11"/>
  <c r="IA73" i="11"/>
  <c r="IB73" i="11"/>
  <c r="IC73" i="11"/>
  <c r="ID73" i="11"/>
  <c r="IE73" i="11"/>
  <c r="IF73" i="11"/>
  <c r="IG73" i="11"/>
  <c r="IH73" i="11"/>
  <c r="II73" i="11"/>
  <c r="IJ73" i="11"/>
  <c r="IK73" i="11"/>
  <c r="IL73" i="11"/>
  <c r="IM73" i="11"/>
  <c r="IN73" i="11"/>
  <c r="IO73" i="11"/>
  <c r="IP73" i="11"/>
  <c r="IQ73" i="11"/>
  <c r="IR73" i="11"/>
  <c r="IS73" i="11"/>
  <c r="IT73" i="11"/>
  <c r="IU73" i="11"/>
  <c r="IV73" i="11"/>
  <c r="IW73" i="11"/>
  <c r="IX73" i="11"/>
  <c r="IY73" i="11"/>
  <c r="IZ73" i="11"/>
  <c r="JA73" i="11"/>
  <c r="JB73" i="11"/>
  <c r="JC73" i="11"/>
  <c r="JD73" i="11"/>
  <c r="JE73" i="11"/>
  <c r="JF73" i="11"/>
  <c r="JG73" i="11"/>
  <c r="JH73" i="11"/>
  <c r="JI73" i="11"/>
  <c r="JJ73" i="11"/>
  <c r="JK73" i="11"/>
  <c r="JL73" i="11"/>
  <c r="JM73" i="11"/>
  <c r="JN73" i="11"/>
  <c r="JO73" i="11"/>
  <c r="JP73" i="11"/>
  <c r="JQ73" i="11"/>
  <c r="JR73" i="11"/>
  <c r="JS73" i="11"/>
  <c r="JT73" i="11"/>
  <c r="JU73" i="11"/>
  <c r="JV73" i="11"/>
  <c r="JW73" i="11"/>
  <c r="JX73" i="11"/>
  <c r="JY73" i="11"/>
  <c r="JZ73" i="11"/>
  <c r="KA73" i="11"/>
  <c r="KB73" i="11"/>
  <c r="KC73" i="11"/>
  <c r="KD73" i="11"/>
  <c r="KE73" i="11"/>
  <c r="KF73" i="11"/>
  <c r="KG73" i="11"/>
  <c r="KH73" i="11"/>
  <c r="KI73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AK74" i="11"/>
  <c r="AL74" i="11"/>
  <c r="AM74" i="11"/>
  <c r="AN74" i="11"/>
  <c r="AO74" i="11"/>
  <c r="AP74" i="11"/>
  <c r="AQ74" i="11"/>
  <c r="AR74" i="11"/>
  <c r="AS74" i="11"/>
  <c r="AT74" i="11"/>
  <c r="AU74" i="11"/>
  <c r="AV74" i="11"/>
  <c r="AW74" i="11"/>
  <c r="AX74" i="11"/>
  <c r="AY74" i="11"/>
  <c r="AZ74" i="11"/>
  <c r="BA74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BP74" i="11"/>
  <c r="BQ74" i="11"/>
  <c r="BR74" i="11"/>
  <c r="BS74" i="11"/>
  <c r="BT74" i="11"/>
  <c r="BU74" i="11"/>
  <c r="BV74" i="11"/>
  <c r="BW74" i="11"/>
  <c r="BX74" i="11"/>
  <c r="BY74" i="11"/>
  <c r="BZ74" i="11"/>
  <c r="CA74" i="11"/>
  <c r="CB74" i="11"/>
  <c r="CC74" i="11"/>
  <c r="CD74" i="11"/>
  <c r="CE74" i="11"/>
  <c r="CF74" i="11"/>
  <c r="CG74" i="11"/>
  <c r="CH74" i="11"/>
  <c r="CI74" i="11"/>
  <c r="CJ74" i="11"/>
  <c r="CK74" i="11"/>
  <c r="CL74" i="11"/>
  <c r="CM74" i="11"/>
  <c r="CN74" i="11"/>
  <c r="CO74" i="11"/>
  <c r="CP74" i="11"/>
  <c r="CQ74" i="11"/>
  <c r="CR74" i="11"/>
  <c r="CS74" i="11"/>
  <c r="CT74" i="11"/>
  <c r="CU74" i="11"/>
  <c r="CV74" i="11"/>
  <c r="CW74" i="11"/>
  <c r="CX74" i="11"/>
  <c r="CY74" i="11"/>
  <c r="CZ74" i="11"/>
  <c r="DA74" i="11"/>
  <c r="DB74" i="11"/>
  <c r="DC74" i="11"/>
  <c r="DD74" i="11"/>
  <c r="DE74" i="11"/>
  <c r="DF74" i="11"/>
  <c r="DG74" i="11"/>
  <c r="DH74" i="11"/>
  <c r="DI74" i="11"/>
  <c r="DJ74" i="11"/>
  <c r="DK74" i="11"/>
  <c r="DL74" i="11"/>
  <c r="DM74" i="11"/>
  <c r="DN74" i="11"/>
  <c r="DO74" i="11"/>
  <c r="DP74" i="11"/>
  <c r="DQ74" i="11"/>
  <c r="DR74" i="11"/>
  <c r="DS74" i="11"/>
  <c r="DT74" i="11"/>
  <c r="DU74" i="11"/>
  <c r="DV74" i="11"/>
  <c r="DW74" i="11"/>
  <c r="DX74" i="11"/>
  <c r="DY74" i="11"/>
  <c r="DZ74" i="11"/>
  <c r="EA74" i="11"/>
  <c r="EB74" i="11"/>
  <c r="EC74" i="11"/>
  <c r="ED74" i="11"/>
  <c r="EE74" i="11"/>
  <c r="EF74" i="11"/>
  <c r="EG74" i="11"/>
  <c r="EH74" i="11"/>
  <c r="EI74" i="11"/>
  <c r="EJ74" i="11"/>
  <c r="EK74" i="11"/>
  <c r="EL74" i="11"/>
  <c r="EM74" i="11"/>
  <c r="EN74" i="11"/>
  <c r="EO74" i="11"/>
  <c r="EP74" i="11"/>
  <c r="EQ74" i="11"/>
  <c r="ER74" i="11"/>
  <c r="ES74" i="11"/>
  <c r="ET74" i="11"/>
  <c r="EU74" i="11"/>
  <c r="EV74" i="11"/>
  <c r="EW74" i="11"/>
  <c r="EX74" i="11"/>
  <c r="EY74" i="11"/>
  <c r="EZ74" i="11"/>
  <c r="FA74" i="11"/>
  <c r="FB74" i="11"/>
  <c r="FC74" i="11"/>
  <c r="FD74" i="11"/>
  <c r="FE74" i="11"/>
  <c r="FF74" i="11"/>
  <c r="FG74" i="11"/>
  <c r="FH74" i="11"/>
  <c r="FI74" i="11"/>
  <c r="FJ74" i="11"/>
  <c r="FK74" i="11"/>
  <c r="FL74" i="11"/>
  <c r="FM74" i="11"/>
  <c r="FN74" i="11"/>
  <c r="FO74" i="11"/>
  <c r="FP74" i="11"/>
  <c r="FQ74" i="11"/>
  <c r="FR74" i="11"/>
  <c r="FS74" i="11"/>
  <c r="FT74" i="11"/>
  <c r="FU74" i="11"/>
  <c r="FV74" i="11"/>
  <c r="FW74" i="11"/>
  <c r="FX74" i="11"/>
  <c r="FY74" i="11"/>
  <c r="FZ74" i="11"/>
  <c r="GA74" i="11"/>
  <c r="GB74" i="11"/>
  <c r="GC74" i="11"/>
  <c r="GD74" i="11"/>
  <c r="GE74" i="11"/>
  <c r="GF74" i="11"/>
  <c r="GG74" i="11"/>
  <c r="GH74" i="11"/>
  <c r="GI74" i="11"/>
  <c r="GJ74" i="11"/>
  <c r="GK74" i="11"/>
  <c r="GL74" i="11"/>
  <c r="GM74" i="11"/>
  <c r="GN74" i="11"/>
  <c r="GO74" i="11"/>
  <c r="GP74" i="11"/>
  <c r="GQ74" i="11"/>
  <c r="GR74" i="11"/>
  <c r="GS74" i="11"/>
  <c r="GT74" i="11"/>
  <c r="GU74" i="11"/>
  <c r="GV74" i="11"/>
  <c r="GW74" i="11"/>
  <c r="GX74" i="11"/>
  <c r="GY74" i="11"/>
  <c r="GZ74" i="11"/>
  <c r="HA74" i="11"/>
  <c r="HB74" i="11"/>
  <c r="HC74" i="11"/>
  <c r="HD74" i="11"/>
  <c r="HE74" i="11"/>
  <c r="HF74" i="11"/>
  <c r="HG74" i="11"/>
  <c r="HH74" i="11"/>
  <c r="HI74" i="11"/>
  <c r="HJ74" i="11"/>
  <c r="HK74" i="11"/>
  <c r="HL74" i="11"/>
  <c r="HM74" i="11"/>
  <c r="HN74" i="11"/>
  <c r="HO74" i="11"/>
  <c r="HP74" i="11"/>
  <c r="HQ74" i="11"/>
  <c r="HR74" i="11"/>
  <c r="HS74" i="11"/>
  <c r="HT74" i="11"/>
  <c r="HU74" i="11"/>
  <c r="HV74" i="11"/>
  <c r="HW74" i="11"/>
  <c r="HX74" i="11"/>
  <c r="HY74" i="11"/>
  <c r="HZ74" i="11"/>
  <c r="IA74" i="11"/>
  <c r="IB74" i="11"/>
  <c r="IC74" i="11"/>
  <c r="ID74" i="11"/>
  <c r="IE74" i="11"/>
  <c r="IF74" i="11"/>
  <c r="IG74" i="11"/>
  <c r="IH74" i="11"/>
  <c r="II74" i="11"/>
  <c r="IJ74" i="11"/>
  <c r="IK74" i="11"/>
  <c r="IL74" i="11"/>
  <c r="IM74" i="11"/>
  <c r="IN74" i="11"/>
  <c r="IO74" i="11"/>
  <c r="IP74" i="11"/>
  <c r="IQ74" i="11"/>
  <c r="IR74" i="11"/>
  <c r="IS74" i="11"/>
  <c r="IT74" i="11"/>
  <c r="IU74" i="11"/>
  <c r="IV74" i="11"/>
  <c r="IW74" i="11"/>
  <c r="IX74" i="11"/>
  <c r="IY74" i="11"/>
  <c r="IZ74" i="11"/>
  <c r="JA74" i="11"/>
  <c r="JB74" i="11"/>
  <c r="JC74" i="11"/>
  <c r="JD74" i="11"/>
  <c r="JE74" i="11"/>
  <c r="JF74" i="11"/>
  <c r="JG74" i="11"/>
  <c r="JH74" i="11"/>
  <c r="JI74" i="11"/>
  <c r="JJ74" i="11"/>
  <c r="JK74" i="11"/>
  <c r="JL74" i="11"/>
  <c r="JM74" i="11"/>
  <c r="JN74" i="11"/>
  <c r="JO74" i="11"/>
  <c r="JP74" i="11"/>
  <c r="JQ74" i="11"/>
  <c r="JR74" i="11"/>
  <c r="JS74" i="11"/>
  <c r="JT74" i="11"/>
  <c r="JU74" i="11"/>
  <c r="JV74" i="11"/>
  <c r="JW74" i="11"/>
  <c r="JX74" i="11"/>
  <c r="JY74" i="11"/>
  <c r="JZ74" i="11"/>
  <c r="KA74" i="11"/>
  <c r="KB74" i="11"/>
  <c r="KC74" i="11"/>
  <c r="KD74" i="11"/>
  <c r="KE74" i="11"/>
  <c r="KF74" i="11"/>
  <c r="KG74" i="11"/>
  <c r="KH74" i="11"/>
  <c r="KI74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BP75" i="11"/>
  <c r="BQ75" i="11"/>
  <c r="BR75" i="11"/>
  <c r="BS75" i="11"/>
  <c r="BT75" i="11"/>
  <c r="BU75" i="11"/>
  <c r="BV75" i="11"/>
  <c r="BW75" i="11"/>
  <c r="BX75" i="11"/>
  <c r="BY75" i="11"/>
  <c r="BZ75" i="11"/>
  <c r="CA75" i="11"/>
  <c r="CB75" i="11"/>
  <c r="CC75" i="11"/>
  <c r="CD75" i="11"/>
  <c r="CE75" i="11"/>
  <c r="CF75" i="11"/>
  <c r="CG75" i="11"/>
  <c r="CH75" i="11"/>
  <c r="CI75" i="11"/>
  <c r="CJ75" i="11"/>
  <c r="CK75" i="11"/>
  <c r="CL75" i="11"/>
  <c r="CM75" i="11"/>
  <c r="CN75" i="11"/>
  <c r="CO75" i="11"/>
  <c r="CP75" i="11"/>
  <c r="CQ75" i="11"/>
  <c r="CR75" i="11"/>
  <c r="CS75" i="11"/>
  <c r="CT75" i="11"/>
  <c r="CU75" i="11"/>
  <c r="CV75" i="11"/>
  <c r="CW75" i="11"/>
  <c r="CX75" i="11"/>
  <c r="CY75" i="11"/>
  <c r="CZ75" i="11"/>
  <c r="DA75" i="11"/>
  <c r="DB75" i="11"/>
  <c r="DC75" i="11"/>
  <c r="DD75" i="11"/>
  <c r="DE75" i="11"/>
  <c r="DF75" i="11"/>
  <c r="DG75" i="11"/>
  <c r="DH75" i="11"/>
  <c r="DI75" i="11"/>
  <c r="DJ75" i="11"/>
  <c r="DK75" i="11"/>
  <c r="DL75" i="11"/>
  <c r="DM75" i="11"/>
  <c r="DN75" i="11"/>
  <c r="DO75" i="11"/>
  <c r="DP75" i="11"/>
  <c r="DQ75" i="11"/>
  <c r="DR75" i="11"/>
  <c r="DS75" i="11"/>
  <c r="DT75" i="11"/>
  <c r="DU75" i="11"/>
  <c r="DV75" i="11"/>
  <c r="DW75" i="11"/>
  <c r="DX75" i="11"/>
  <c r="DY75" i="11"/>
  <c r="DZ75" i="11"/>
  <c r="EA75" i="11"/>
  <c r="EB75" i="11"/>
  <c r="EC75" i="11"/>
  <c r="ED75" i="11"/>
  <c r="EE75" i="11"/>
  <c r="EF75" i="11"/>
  <c r="EG75" i="11"/>
  <c r="EH75" i="11"/>
  <c r="EI75" i="11"/>
  <c r="EJ75" i="11"/>
  <c r="EK75" i="11"/>
  <c r="EL75" i="11"/>
  <c r="EM75" i="11"/>
  <c r="EN75" i="11"/>
  <c r="EO75" i="11"/>
  <c r="EP75" i="11"/>
  <c r="EQ75" i="11"/>
  <c r="ER75" i="11"/>
  <c r="ES75" i="11"/>
  <c r="ET75" i="11"/>
  <c r="EU75" i="11"/>
  <c r="EV75" i="11"/>
  <c r="EW75" i="11"/>
  <c r="EX75" i="11"/>
  <c r="EY75" i="11"/>
  <c r="EZ75" i="11"/>
  <c r="FA75" i="11"/>
  <c r="FB75" i="11"/>
  <c r="FC75" i="11"/>
  <c r="FD75" i="11"/>
  <c r="FE75" i="11"/>
  <c r="FF75" i="11"/>
  <c r="FG75" i="11"/>
  <c r="FH75" i="11"/>
  <c r="FI75" i="11"/>
  <c r="FJ75" i="11"/>
  <c r="FK75" i="11"/>
  <c r="FL75" i="11"/>
  <c r="FM75" i="11"/>
  <c r="FN75" i="11"/>
  <c r="FO75" i="11"/>
  <c r="FP75" i="11"/>
  <c r="FQ75" i="11"/>
  <c r="FR75" i="11"/>
  <c r="FS75" i="11"/>
  <c r="FT75" i="11"/>
  <c r="FU75" i="11"/>
  <c r="FV75" i="11"/>
  <c r="FW75" i="11"/>
  <c r="FX75" i="11"/>
  <c r="FY75" i="11"/>
  <c r="FZ75" i="11"/>
  <c r="GA75" i="11"/>
  <c r="GB75" i="11"/>
  <c r="GC75" i="11"/>
  <c r="GD75" i="11"/>
  <c r="GE75" i="11"/>
  <c r="GF75" i="11"/>
  <c r="GG75" i="11"/>
  <c r="GH75" i="11"/>
  <c r="GI75" i="11"/>
  <c r="GJ75" i="11"/>
  <c r="GK75" i="11"/>
  <c r="GL75" i="11"/>
  <c r="GM75" i="11"/>
  <c r="GN75" i="11"/>
  <c r="GO75" i="11"/>
  <c r="GP75" i="11"/>
  <c r="GQ75" i="11"/>
  <c r="GR75" i="11"/>
  <c r="GS75" i="11"/>
  <c r="GT75" i="11"/>
  <c r="GU75" i="11"/>
  <c r="GV75" i="11"/>
  <c r="GW75" i="11"/>
  <c r="GX75" i="11"/>
  <c r="GY75" i="11"/>
  <c r="GZ75" i="11"/>
  <c r="HA75" i="11"/>
  <c r="HB75" i="11"/>
  <c r="HC75" i="11"/>
  <c r="HD75" i="11"/>
  <c r="HE75" i="11"/>
  <c r="HF75" i="11"/>
  <c r="HG75" i="11"/>
  <c r="HH75" i="11"/>
  <c r="HI75" i="11"/>
  <c r="HJ75" i="11"/>
  <c r="HK75" i="11"/>
  <c r="HL75" i="11"/>
  <c r="HM75" i="11"/>
  <c r="HN75" i="11"/>
  <c r="HO75" i="11"/>
  <c r="HP75" i="11"/>
  <c r="HQ75" i="11"/>
  <c r="HR75" i="11"/>
  <c r="HS75" i="11"/>
  <c r="HT75" i="11"/>
  <c r="HU75" i="11"/>
  <c r="HV75" i="11"/>
  <c r="HW75" i="11"/>
  <c r="HX75" i="11"/>
  <c r="HY75" i="11"/>
  <c r="HZ75" i="11"/>
  <c r="IA75" i="11"/>
  <c r="IB75" i="11"/>
  <c r="IC75" i="11"/>
  <c r="ID75" i="11"/>
  <c r="IE75" i="11"/>
  <c r="IF75" i="11"/>
  <c r="IG75" i="11"/>
  <c r="IH75" i="11"/>
  <c r="II75" i="11"/>
  <c r="IJ75" i="11"/>
  <c r="IK75" i="11"/>
  <c r="IL75" i="11"/>
  <c r="IM75" i="11"/>
  <c r="IN75" i="11"/>
  <c r="IO75" i="11"/>
  <c r="IP75" i="11"/>
  <c r="IQ75" i="11"/>
  <c r="IR75" i="11"/>
  <c r="IS75" i="11"/>
  <c r="IT75" i="11"/>
  <c r="IU75" i="11"/>
  <c r="IV75" i="11"/>
  <c r="IW75" i="11"/>
  <c r="IX75" i="11"/>
  <c r="IY75" i="11"/>
  <c r="IZ75" i="11"/>
  <c r="JA75" i="11"/>
  <c r="JB75" i="11"/>
  <c r="JC75" i="11"/>
  <c r="JD75" i="11"/>
  <c r="JE75" i="11"/>
  <c r="JF75" i="11"/>
  <c r="JG75" i="11"/>
  <c r="JH75" i="11"/>
  <c r="JI75" i="11"/>
  <c r="JJ75" i="11"/>
  <c r="JK75" i="11"/>
  <c r="JL75" i="11"/>
  <c r="JM75" i="11"/>
  <c r="JN75" i="11"/>
  <c r="JO75" i="11"/>
  <c r="JP75" i="11"/>
  <c r="JQ75" i="11"/>
  <c r="JR75" i="11"/>
  <c r="JS75" i="11"/>
  <c r="JT75" i="11"/>
  <c r="JU75" i="11"/>
  <c r="JV75" i="11"/>
  <c r="JW75" i="11"/>
  <c r="JX75" i="11"/>
  <c r="JY75" i="11"/>
  <c r="JZ75" i="11"/>
  <c r="KA75" i="11"/>
  <c r="KB75" i="11"/>
  <c r="KC75" i="11"/>
  <c r="KD75" i="11"/>
  <c r="KE75" i="11"/>
  <c r="KF75" i="11"/>
  <c r="KG75" i="11"/>
  <c r="KH75" i="11"/>
  <c r="KI75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BP76" i="11"/>
  <c r="BQ76" i="11"/>
  <c r="BR76" i="11"/>
  <c r="BS76" i="11"/>
  <c r="BT76" i="11"/>
  <c r="BU76" i="11"/>
  <c r="BV76" i="11"/>
  <c r="BW76" i="11"/>
  <c r="BX76" i="11"/>
  <c r="BY76" i="11"/>
  <c r="BZ76" i="11"/>
  <c r="CA76" i="11"/>
  <c r="CB76" i="11"/>
  <c r="CC76" i="11"/>
  <c r="CD76" i="11"/>
  <c r="CE76" i="11"/>
  <c r="CF76" i="11"/>
  <c r="CG76" i="11"/>
  <c r="CH76" i="11"/>
  <c r="CI76" i="11"/>
  <c r="CJ76" i="11"/>
  <c r="CK76" i="11"/>
  <c r="CL76" i="11"/>
  <c r="CM76" i="11"/>
  <c r="CN76" i="11"/>
  <c r="CO76" i="11"/>
  <c r="CP76" i="11"/>
  <c r="CQ76" i="11"/>
  <c r="CR76" i="11"/>
  <c r="CS76" i="11"/>
  <c r="CT76" i="11"/>
  <c r="CU76" i="11"/>
  <c r="CV76" i="11"/>
  <c r="CW76" i="11"/>
  <c r="CX76" i="11"/>
  <c r="CY76" i="11"/>
  <c r="CZ76" i="11"/>
  <c r="DA76" i="11"/>
  <c r="DB76" i="11"/>
  <c r="DC76" i="11"/>
  <c r="DD76" i="11"/>
  <c r="DE76" i="11"/>
  <c r="DF76" i="11"/>
  <c r="DG76" i="11"/>
  <c r="DH76" i="11"/>
  <c r="DI76" i="11"/>
  <c r="DJ76" i="11"/>
  <c r="DK76" i="11"/>
  <c r="DL76" i="11"/>
  <c r="DM76" i="11"/>
  <c r="DN76" i="11"/>
  <c r="DO76" i="11"/>
  <c r="DP76" i="11"/>
  <c r="DQ76" i="11"/>
  <c r="DR76" i="11"/>
  <c r="DS76" i="11"/>
  <c r="DT76" i="11"/>
  <c r="DU76" i="11"/>
  <c r="DV76" i="11"/>
  <c r="DW76" i="11"/>
  <c r="DX76" i="11"/>
  <c r="DY76" i="11"/>
  <c r="DZ76" i="11"/>
  <c r="EA76" i="11"/>
  <c r="EB76" i="11"/>
  <c r="EC76" i="11"/>
  <c r="ED76" i="11"/>
  <c r="EE76" i="11"/>
  <c r="EF76" i="11"/>
  <c r="EG76" i="11"/>
  <c r="EH76" i="11"/>
  <c r="EI76" i="11"/>
  <c r="EJ76" i="11"/>
  <c r="EK76" i="11"/>
  <c r="EL76" i="11"/>
  <c r="EM76" i="11"/>
  <c r="EN76" i="11"/>
  <c r="EO76" i="11"/>
  <c r="EP76" i="11"/>
  <c r="EQ76" i="11"/>
  <c r="ER76" i="11"/>
  <c r="ES76" i="11"/>
  <c r="ET76" i="11"/>
  <c r="EU76" i="11"/>
  <c r="EV76" i="11"/>
  <c r="EW76" i="11"/>
  <c r="EX76" i="11"/>
  <c r="EY76" i="11"/>
  <c r="EZ76" i="11"/>
  <c r="FA76" i="11"/>
  <c r="FB76" i="11"/>
  <c r="FC76" i="11"/>
  <c r="FD76" i="11"/>
  <c r="FE76" i="11"/>
  <c r="FF76" i="11"/>
  <c r="FG76" i="11"/>
  <c r="FH76" i="11"/>
  <c r="FI76" i="11"/>
  <c r="FJ76" i="11"/>
  <c r="FK76" i="11"/>
  <c r="FL76" i="11"/>
  <c r="FM76" i="11"/>
  <c r="FN76" i="11"/>
  <c r="FO76" i="11"/>
  <c r="FP76" i="11"/>
  <c r="FQ76" i="11"/>
  <c r="FR76" i="11"/>
  <c r="FS76" i="11"/>
  <c r="FT76" i="11"/>
  <c r="FU76" i="11"/>
  <c r="FV76" i="11"/>
  <c r="FW76" i="11"/>
  <c r="FX76" i="11"/>
  <c r="FY76" i="11"/>
  <c r="FZ76" i="11"/>
  <c r="GA76" i="11"/>
  <c r="GB76" i="11"/>
  <c r="GC76" i="11"/>
  <c r="GD76" i="11"/>
  <c r="GE76" i="11"/>
  <c r="GF76" i="11"/>
  <c r="GG76" i="11"/>
  <c r="GH76" i="11"/>
  <c r="GI76" i="11"/>
  <c r="GJ76" i="11"/>
  <c r="GK76" i="11"/>
  <c r="GL76" i="11"/>
  <c r="GM76" i="11"/>
  <c r="GN76" i="11"/>
  <c r="GO76" i="11"/>
  <c r="GP76" i="11"/>
  <c r="GQ76" i="11"/>
  <c r="GR76" i="11"/>
  <c r="GS76" i="11"/>
  <c r="GT76" i="11"/>
  <c r="GU76" i="11"/>
  <c r="GV76" i="11"/>
  <c r="GW76" i="11"/>
  <c r="GX76" i="11"/>
  <c r="GY76" i="11"/>
  <c r="GZ76" i="11"/>
  <c r="HA76" i="11"/>
  <c r="HB76" i="11"/>
  <c r="HC76" i="11"/>
  <c r="HD76" i="11"/>
  <c r="HE76" i="11"/>
  <c r="HF76" i="11"/>
  <c r="HG76" i="11"/>
  <c r="HH76" i="11"/>
  <c r="HI76" i="11"/>
  <c r="HJ76" i="11"/>
  <c r="HK76" i="11"/>
  <c r="HL76" i="11"/>
  <c r="HM76" i="11"/>
  <c r="HN76" i="11"/>
  <c r="HO76" i="11"/>
  <c r="HP76" i="11"/>
  <c r="HQ76" i="11"/>
  <c r="HR76" i="11"/>
  <c r="HS76" i="11"/>
  <c r="HT76" i="11"/>
  <c r="HU76" i="11"/>
  <c r="HV76" i="11"/>
  <c r="HW76" i="11"/>
  <c r="HX76" i="11"/>
  <c r="HY76" i="11"/>
  <c r="HZ76" i="11"/>
  <c r="IA76" i="11"/>
  <c r="IB76" i="11"/>
  <c r="IC76" i="11"/>
  <c r="ID76" i="11"/>
  <c r="IE76" i="11"/>
  <c r="IF76" i="11"/>
  <c r="IG76" i="11"/>
  <c r="IH76" i="11"/>
  <c r="II76" i="11"/>
  <c r="IJ76" i="11"/>
  <c r="IK76" i="11"/>
  <c r="IL76" i="11"/>
  <c r="IM76" i="11"/>
  <c r="IN76" i="11"/>
  <c r="IO76" i="11"/>
  <c r="IP76" i="11"/>
  <c r="IQ76" i="11"/>
  <c r="IR76" i="11"/>
  <c r="IS76" i="11"/>
  <c r="IT76" i="11"/>
  <c r="IU76" i="11"/>
  <c r="IV76" i="11"/>
  <c r="IW76" i="11"/>
  <c r="IX76" i="11"/>
  <c r="IY76" i="11"/>
  <c r="IZ76" i="11"/>
  <c r="JA76" i="11"/>
  <c r="JB76" i="11"/>
  <c r="JC76" i="11"/>
  <c r="JD76" i="11"/>
  <c r="JE76" i="11"/>
  <c r="JF76" i="11"/>
  <c r="JG76" i="11"/>
  <c r="JH76" i="11"/>
  <c r="JI76" i="11"/>
  <c r="JJ76" i="11"/>
  <c r="JK76" i="11"/>
  <c r="JL76" i="11"/>
  <c r="JM76" i="11"/>
  <c r="JN76" i="11"/>
  <c r="JO76" i="11"/>
  <c r="JP76" i="11"/>
  <c r="JQ76" i="11"/>
  <c r="JR76" i="11"/>
  <c r="JS76" i="11"/>
  <c r="JT76" i="11"/>
  <c r="JU76" i="11"/>
  <c r="JV76" i="11"/>
  <c r="JW76" i="11"/>
  <c r="JX76" i="11"/>
  <c r="JY76" i="11"/>
  <c r="JZ76" i="11"/>
  <c r="KA76" i="11"/>
  <c r="KB76" i="11"/>
  <c r="KC76" i="11"/>
  <c r="KD76" i="11"/>
  <c r="KE76" i="11"/>
  <c r="KF76" i="11"/>
  <c r="KG76" i="11"/>
  <c r="KH76" i="11"/>
  <c r="KI76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J77" i="11"/>
  <c r="AK77" i="11"/>
  <c r="AL77" i="11"/>
  <c r="AM77" i="11"/>
  <c r="AN77" i="11"/>
  <c r="AO77" i="11"/>
  <c r="AP77" i="11"/>
  <c r="AQ77" i="11"/>
  <c r="AR77" i="11"/>
  <c r="AS77" i="11"/>
  <c r="AT77" i="11"/>
  <c r="AU77" i="11"/>
  <c r="AV77" i="11"/>
  <c r="AW77" i="11"/>
  <c r="AX77" i="11"/>
  <c r="AY77" i="11"/>
  <c r="AZ77" i="11"/>
  <c r="BA77" i="11"/>
  <c r="BB77" i="11"/>
  <c r="BC77" i="11"/>
  <c r="BD77" i="11"/>
  <c r="BE77" i="11"/>
  <c r="BF77" i="11"/>
  <c r="BG77" i="11"/>
  <c r="BH77" i="11"/>
  <c r="BI77" i="11"/>
  <c r="BJ77" i="11"/>
  <c r="BK77" i="11"/>
  <c r="BL77" i="11"/>
  <c r="BM77" i="11"/>
  <c r="BN77" i="11"/>
  <c r="BO77" i="11"/>
  <c r="BP77" i="11"/>
  <c r="BQ77" i="11"/>
  <c r="BR77" i="11"/>
  <c r="BS77" i="11"/>
  <c r="BT77" i="11"/>
  <c r="BU77" i="11"/>
  <c r="BV77" i="11"/>
  <c r="BW77" i="11"/>
  <c r="BX77" i="11"/>
  <c r="BY77" i="11"/>
  <c r="BZ77" i="11"/>
  <c r="CA77" i="11"/>
  <c r="CB77" i="11"/>
  <c r="CC77" i="11"/>
  <c r="CD77" i="11"/>
  <c r="CE77" i="11"/>
  <c r="CF77" i="11"/>
  <c r="CG77" i="11"/>
  <c r="CH77" i="11"/>
  <c r="CI77" i="11"/>
  <c r="CJ77" i="11"/>
  <c r="CK77" i="11"/>
  <c r="CL77" i="11"/>
  <c r="CM77" i="11"/>
  <c r="CN77" i="11"/>
  <c r="CO77" i="11"/>
  <c r="CP77" i="11"/>
  <c r="CQ77" i="11"/>
  <c r="CR77" i="11"/>
  <c r="CS77" i="11"/>
  <c r="CT77" i="11"/>
  <c r="CU77" i="11"/>
  <c r="CV77" i="11"/>
  <c r="CW77" i="11"/>
  <c r="CX77" i="11"/>
  <c r="CY77" i="11"/>
  <c r="CZ77" i="11"/>
  <c r="DA77" i="11"/>
  <c r="DB77" i="11"/>
  <c r="DC77" i="11"/>
  <c r="DD77" i="11"/>
  <c r="DE77" i="11"/>
  <c r="DF77" i="11"/>
  <c r="DG77" i="11"/>
  <c r="DH77" i="11"/>
  <c r="DI77" i="11"/>
  <c r="DJ77" i="11"/>
  <c r="DK77" i="11"/>
  <c r="DL77" i="11"/>
  <c r="DM77" i="11"/>
  <c r="DN77" i="11"/>
  <c r="DO77" i="11"/>
  <c r="DP77" i="11"/>
  <c r="DQ77" i="11"/>
  <c r="DR77" i="11"/>
  <c r="DS77" i="11"/>
  <c r="DT77" i="11"/>
  <c r="DU77" i="11"/>
  <c r="DV77" i="11"/>
  <c r="DW77" i="11"/>
  <c r="DX77" i="11"/>
  <c r="DY77" i="11"/>
  <c r="DZ77" i="11"/>
  <c r="EA77" i="11"/>
  <c r="EB77" i="11"/>
  <c r="EC77" i="11"/>
  <c r="ED77" i="11"/>
  <c r="EE77" i="11"/>
  <c r="EF77" i="11"/>
  <c r="EG77" i="11"/>
  <c r="EH77" i="11"/>
  <c r="EI77" i="11"/>
  <c r="EJ77" i="11"/>
  <c r="EK77" i="11"/>
  <c r="EL77" i="11"/>
  <c r="EM77" i="11"/>
  <c r="EN77" i="11"/>
  <c r="EO77" i="11"/>
  <c r="EP77" i="11"/>
  <c r="EQ77" i="11"/>
  <c r="ER77" i="11"/>
  <c r="ES77" i="11"/>
  <c r="ET77" i="11"/>
  <c r="EU77" i="11"/>
  <c r="EV77" i="11"/>
  <c r="EW77" i="11"/>
  <c r="EX77" i="11"/>
  <c r="EY77" i="11"/>
  <c r="EZ77" i="11"/>
  <c r="FA77" i="11"/>
  <c r="FB77" i="11"/>
  <c r="FC77" i="11"/>
  <c r="FD77" i="11"/>
  <c r="FE77" i="11"/>
  <c r="FF77" i="11"/>
  <c r="FG77" i="11"/>
  <c r="FH77" i="11"/>
  <c r="FI77" i="11"/>
  <c r="FJ77" i="11"/>
  <c r="FK77" i="11"/>
  <c r="FL77" i="11"/>
  <c r="FM77" i="11"/>
  <c r="FN77" i="11"/>
  <c r="FO77" i="11"/>
  <c r="FP77" i="11"/>
  <c r="FQ77" i="11"/>
  <c r="FR77" i="11"/>
  <c r="FS77" i="11"/>
  <c r="FT77" i="11"/>
  <c r="FU77" i="11"/>
  <c r="FV77" i="11"/>
  <c r="FW77" i="11"/>
  <c r="FX77" i="11"/>
  <c r="FY77" i="11"/>
  <c r="FZ77" i="11"/>
  <c r="GA77" i="11"/>
  <c r="GB77" i="11"/>
  <c r="GC77" i="11"/>
  <c r="GD77" i="11"/>
  <c r="GE77" i="11"/>
  <c r="GF77" i="11"/>
  <c r="GG77" i="11"/>
  <c r="GH77" i="11"/>
  <c r="GI77" i="11"/>
  <c r="GJ77" i="11"/>
  <c r="GK77" i="11"/>
  <c r="GL77" i="11"/>
  <c r="GM77" i="11"/>
  <c r="GN77" i="11"/>
  <c r="GO77" i="11"/>
  <c r="GP77" i="11"/>
  <c r="GQ77" i="11"/>
  <c r="GR77" i="11"/>
  <c r="GS77" i="11"/>
  <c r="GT77" i="11"/>
  <c r="GU77" i="11"/>
  <c r="GV77" i="11"/>
  <c r="GW77" i="11"/>
  <c r="GX77" i="11"/>
  <c r="GY77" i="11"/>
  <c r="GZ77" i="11"/>
  <c r="HA77" i="11"/>
  <c r="HB77" i="11"/>
  <c r="HC77" i="11"/>
  <c r="HD77" i="11"/>
  <c r="HE77" i="11"/>
  <c r="HF77" i="11"/>
  <c r="HG77" i="11"/>
  <c r="HH77" i="11"/>
  <c r="HI77" i="11"/>
  <c r="HJ77" i="11"/>
  <c r="HK77" i="11"/>
  <c r="HL77" i="11"/>
  <c r="HM77" i="11"/>
  <c r="HN77" i="11"/>
  <c r="HO77" i="11"/>
  <c r="HP77" i="11"/>
  <c r="HQ77" i="11"/>
  <c r="HR77" i="11"/>
  <c r="HS77" i="11"/>
  <c r="HT77" i="11"/>
  <c r="HU77" i="11"/>
  <c r="HV77" i="11"/>
  <c r="HW77" i="11"/>
  <c r="HX77" i="11"/>
  <c r="HY77" i="11"/>
  <c r="HZ77" i="11"/>
  <c r="IA77" i="11"/>
  <c r="IB77" i="11"/>
  <c r="IC77" i="11"/>
  <c r="ID77" i="11"/>
  <c r="IE77" i="11"/>
  <c r="IF77" i="11"/>
  <c r="IG77" i="11"/>
  <c r="IH77" i="11"/>
  <c r="II77" i="11"/>
  <c r="IJ77" i="11"/>
  <c r="IK77" i="11"/>
  <c r="IL77" i="11"/>
  <c r="IM77" i="11"/>
  <c r="IN77" i="11"/>
  <c r="IO77" i="11"/>
  <c r="IP77" i="11"/>
  <c r="IQ77" i="11"/>
  <c r="IR77" i="11"/>
  <c r="IS77" i="11"/>
  <c r="IT77" i="11"/>
  <c r="IU77" i="11"/>
  <c r="IV77" i="11"/>
  <c r="IW77" i="11"/>
  <c r="IX77" i="11"/>
  <c r="IY77" i="11"/>
  <c r="IZ77" i="11"/>
  <c r="JA77" i="11"/>
  <c r="JB77" i="11"/>
  <c r="JC77" i="11"/>
  <c r="JD77" i="11"/>
  <c r="JE77" i="11"/>
  <c r="JF77" i="11"/>
  <c r="JG77" i="11"/>
  <c r="JH77" i="11"/>
  <c r="JI77" i="11"/>
  <c r="JJ77" i="11"/>
  <c r="JK77" i="11"/>
  <c r="JL77" i="11"/>
  <c r="JM77" i="11"/>
  <c r="JN77" i="11"/>
  <c r="JO77" i="11"/>
  <c r="JP77" i="11"/>
  <c r="JQ77" i="11"/>
  <c r="JR77" i="11"/>
  <c r="JS77" i="11"/>
  <c r="JT77" i="11"/>
  <c r="JU77" i="11"/>
  <c r="JV77" i="11"/>
  <c r="JW77" i="11"/>
  <c r="JX77" i="11"/>
  <c r="JY77" i="11"/>
  <c r="JZ77" i="11"/>
  <c r="KA77" i="11"/>
  <c r="KB77" i="11"/>
  <c r="KC77" i="11"/>
  <c r="KD77" i="11"/>
  <c r="KE77" i="11"/>
  <c r="KF77" i="11"/>
  <c r="KG77" i="11"/>
  <c r="KH77" i="11"/>
  <c r="KI77" i="11"/>
  <c r="B78" i="11"/>
  <c r="C78" i="11"/>
  <c r="D78" i="11"/>
  <c r="E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AU78" i="11"/>
  <c r="AV78" i="11"/>
  <c r="AW78" i="11"/>
  <c r="AX78" i="11"/>
  <c r="AY78" i="11"/>
  <c r="AZ78" i="11"/>
  <c r="BA78" i="11"/>
  <c r="BB78" i="11"/>
  <c r="BC78" i="11"/>
  <c r="BD78" i="11"/>
  <c r="BE78" i="11"/>
  <c r="BF78" i="11"/>
  <c r="BG78" i="11"/>
  <c r="BH78" i="11"/>
  <c r="BI78" i="11"/>
  <c r="BJ78" i="11"/>
  <c r="BK78" i="11"/>
  <c r="BL78" i="11"/>
  <c r="BM78" i="11"/>
  <c r="BN78" i="11"/>
  <c r="BO78" i="11"/>
  <c r="BP78" i="11"/>
  <c r="BQ78" i="11"/>
  <c r="BR78" i="11"/>
  <c r="BS78" i="11"/>
  <c r="BT78" i="11"/>
  <c r="BU78" i="11"/>
  <c r="BV78" i="11"/>
  <c r="BW78" i="11"/>
  <c r="BX78" i="11"/>
  <c r="BY78" i="11"/>
  <c r="BZ78" i="11"/>
  <c r="CA78" i="11"/>
  <c r="CB78" i="11"/>
  <c r="CC78" i="11"/>
  <c r="CD78" i="11"/>
  <c r="CE78" i="11"/>
  <c r="CF78" i="11"/>
  <c r="CG78" i="11"/>
  <c r="CH78" i="11"/>
  <c r="CI78" i="11"/>
  <c r="CJ78" i="11"/>
  <c r="CK78" i="11"/>
  <c r="CL78" i="11"/>
  <c r="CM78" i="11"/>
  <c r="CN78" i="11"/>
  <c r="CO78" i="11"/>
  <c r="CP78" i="11"/>
  <c r="CQ78" i="11"/>
  <c r="CR78" i="11"/>
  <c r="CS78" i="11"/>
  <c r="CT78" i="11"/>
  <c r="CU78" i="11"/>
  <c r="CV78" i="11"/>
  <c r="CW78" i="11"/>
  <c r="CX78" i="11"/>
  <c r="CY78" i="11"/>
  <c r="CZ78" i="11"/>
  <c r="DA78" i="11"/>
  <c r="DB78" i="11"/>
  <c r="DC78" i="11"/>
  <c r="DD78" i="11"/>
  <c r="DE78" i="11"/>
  <c r="DF78" i="11"/>
  <c r="DG78" i="11"/>
  <c r="DH78" i="11"/>
  <c r="DI78" i="11"/>
  <c r="DJ78" i="11"/>
  <c r="DK78" i="11"/>
  <c r="DL78" i="11"/>
  <c r="DM78" i="11"/>
  <c r="DN78" i="11"/>
  <c r="DO78" i="11"/>
  <c r="DP78" i="11"/>
  <c r="DQ78" i="11"/>
  <c r="DR78" i="11"/>
  <c r="DS78" i="11"/>
  <c r="DT78" i="11"/>
  <c r="DU78" i="11"/>
  <c r="DV78" i="11"/>
  <c r="DW78" i="11"/>
  <c r="DX78" i="11"/>
  <c r="DY78" i="11"/>
  <c r="DZ78" i="11"/>
  <c r="EA78" i="11"/>
  <c r="EB78" i="11"/>
  <c r="EC78" i="11"/>
  <c r="ED78" i="11"/>
  <c r="EE78" i="11"/>
  <c r="EF78" i="11"/>
  <c r="EG78" i="11"/>
  <c r="EH78" i="11"/>
  <c r="EI78" i="11"/>
  <c r="EJ78" i="11"/>
  <c r="EK78" i="11"/>
  <c r="EL78" i="11"/>
  <c r="EM78" i="11"/>
  <c r="EN78" i="11"/>
  <c r="EO78" i="11"/>
  <c r="EP78" i="11"/>
  <c r="EQ78" i="11"/>
  <c r="ER78" i="11"/>
  <c r="ES78" i="11"/>
  <c r="ET78" i="11"/>
  <c r="EU78" i="11"/>
  <c r="EV78" i="11"/>
  <c r="EW78" i="11"/>
  <c r="EX78" i="11"/>
  <c r="EY78" i="11"/>
  <c r="EZ78" i="11"/>
  <c r="FA78" i="11"/>
  <c r="FB78" i="11"/>
  <c r="FC78" i="11"/>
  <c r="FD78" i="11"/>
  <c r="FE78" i="11"/>
  <c r="FF78" i="11"/>
  <c r="FG78" i="11"/>
  <c r="FH78" i="11"/>
  <c r="FI78" i="11"/>
  <c r="FJ78" i="11"/>
  <c r="FK78" i="11"/>
  <c r="FL78" i="11"/>
  <c r="FM78" i="11"/>
  <c r="FN78" i="11"/>
  <c r="FO78" i="11"/>
  <c r="FP78" i="11"/>
  <c r="FQ78" i="11"/>
  <c r="FR78" i="11"/>
  <c r="FS78" i="11"/>
  <c r="FT78" i="11"/>
  <c r="FU78" i="11"/>
  <c r="FV78" i="11"/>
  <c r="FW78" i="11"/>
  <c r="FX78" i="11"/>
  <c r="FY78" i="11"/>
  <c r="FZ78" i="11"/>
  <c r="GA78" i="11"/>
  <c r="GB78" i="11"/>
  <c r="GC78" i="11"/>
  <c r="GD78" i="11"/>
  <c r="GE78" i="11"/>
  <c r="GF78" i="11"/>
  <c r="GG78" i="11"/>
  <c r="GH78" i="11"/>
  <c r="GI78" i="11"/>
  <c r="GJ78" i="11"/>
  <c r="GK78" i="11"/>
  <c r="GL78" i="11"/>
  <c r="GM78" i="11"/>
  <c r="GN78" i="11"/>
  <c r="GO78" i="11"/>
  <c r="GP78" i="11"/>
  <c r="GQ78" i="11"/>
  <c r="GR78" i="11"/>
  <c r="GS78" i="11"/>
  <c r="GT78" i="11"/>
  <c r="GU78" i="11"/>
  <c r="GV78" i="11"/>
  <c r="GW78" i="11"/>
  <c r="GX78" i="11"/>
  <c r="GY78" i="11"/>
  <c r="GZ78" i="11"/>
  <c r="HA78" i="11"/>
  <c r="HB78" i="11"/>
  <c r="HC78" i="11"/>
  <c r="HD78" i="11"/>
  <c r="HE78" i="11"/>
  <c r="HF78" i="11"/>
  <c r="HG78" i="11"/>
  <c r="HH78" i="11"/>
  <c r="HI78" i="11"/>
  <c r="HJ78" i="11"/>
  <c r="HK78" i="11"/>
  <c r="HL78" i="11"/>
  <c r="HM78" i="11"/>
  <c r="HN78" i="11"/>
  <c r="HO78" i="11"/>
  <c r="HP78" i="11"/>
  <c r="HQ78" i="11"/>
  <c r="HR78" i="11"/>
  <c r="HS78" i="11"/>
  <c r="HT78" i="11"/>
  <c r="HU78" i="11"/>
  <c r="HV78" i="11"/>
  <c r="HW78" i="11"/>
  <c r="HX78" i="11"/>
  <c r="HY78" i="11"/>
  <c r="HZ78" i="11"/>
  <c r="IA78" i="11"/>
  <c r="IB78" i="11"/>
  <c r="IC78" i="11"/>
  <c r="ID78" i="11"/>
  <c r="IE78" i="11"/>
  <c r="IF78" i="11"/>
  <c r="IG78" i="11"/>
  <c r="IH78" i="11"/>
  <c r="II78" i="11"/>
  <c r="IJ78" i="11"/>
  <c r="IK78" i="11"/>
  <c r="IL78" i="11"/>
  <c r="IM78" i="11"/>
  <c r="IN78" i="11"/>
  <c r="IO78" i="11"/>
  <c r="IP78" i="11"/>
  <c r="IQ78" i="11"/>
  <c r="IR78" i="11"/>
  <c r="IS78" i="11"/>
  <c r="IT78" i="11"/>
  <c r="IU78" i="11"/>
  <c r="IV78" i="11"/>
  <c r="IW78" i="11"/>
  <c r="IX78" i="11"/>
  <c r="IY78" i="11"/>
  <c r="IZ78" i="11"/>
  <c r="JA78" i="11"/>
  <c r="JB78" i="11"/>
  <c r="JC78" i="11"/>
  <c r="JD78" i="11"/>
  <c r="JE78" i="11"/>
  <c r="JF78" i="11"/>
  <c r="JG78" i="11"/>
  <c r="JH78" i="11"/>
  <c r="JI78" i="11"/>
  <c r="JJ78" i="11"/>
  <c r="JK78" i="11"/>
  <c r="JL78" i="11"/>
  <c r="JM78" i="11"/>
  <c r="JN78" i="11"/>
  <c r="JO78" i="11"/>
  <c r="JP78" i="11"/>
  <c r="JQ78" i="11"/>
  <c r="JR78" i="11"/>
  <c r="JS78" i="11"/>
  <c r="JT78" i="11"/>
  <c r="JU78" i="11"/>
  <c r="JV78" i="11"/>
  <c r="JW78" i="11"/>
  <c r="JX78" i="11"/>
  <c r="JY78" i="11"/>
  <c r="JZ78" i="11"/>
  <c r="KA78" i="11"/>
  <c r="KB78" i="11"/>
  <c r="KC78" i="11"/>
  <c r="KD78" i="11"/>
  <c r="KE78" i="11"/>
  <c r="KF78" i="11"/>
  <c r="KG78" i="11"/>
  <c r="KH78" i="11"/>
  <c r="KI78" i="11"/>
  <c r="B79" i="11"/>
  <c r="C79" i="11"/>
  <c r="D79" i="11"/>
  <c r="E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P79" i="11"/>
  <c r="AQ79" i="11"/>
  <c r="AR79" i="11"/>
  <c r="AS79" i="11"/>
  <c r="AT79" i="11"/>
  <c r="AU79" i="11"/>
  <c r="AV79" i="11"/>
  <c r="AW79" i="11"/>
  <c r="AX79" i="11"/>
  <c r="AY79" i="11"/>
  <c r="AZ79" i="11"/>
  <c r="BA79" i="11"/>
  <c r="BB79" i="11"/>
  <c r="BC79" i="11"/>
  <c r="BD79" i="11"/>
  <c r="BE79" i="11"/>
  <c r="BF79" i="11"/>
  <c r="BG79" i="11"/>
  <c r="BH79" i="11"/>
  <c r="BI79" i="11"/>
  <c r="BJ79" i="11"/>
  <c r="BK79" i="11"/>
  <c r="BL79" i="11"/>
  <c r="BM79" i="11"/>
  <c r="BN79" i="11"/>
  <c r="BO79" i="11"/>
  <c r="BP79" i="11"/>
  <c r="BQ79" i="11"/>
  <c r="BR79" i="11"/>
  <c r="BS79" i="11"/>
  <c r="BT79" i="11"/>
  <c r="BU79" i="11"/>
  <c r="BV79" i="11"/>
  <c r="BW79" i="11"/>
  <c r="BX79" i="11"/>
  <c r="BY79" i="11"/>
  <c r="BZ79" i="11"/>
  <c r="CA79" i="11"/>
  <c r="CB79" i="11"/>
  <c r="CC79" i="11"/>
  <c r="CD79" i="11"/>
  <c r="CE79" i="11"/>
  <c r="CF79" i="11"/>
  <c r="CG79" i="11"/>
  <c r="CH79" i="11"/>
  <c r="CI79" i="11"/>
  <c r="CJ79" i="11"/>
  <c r="CK79" i="11"/>
  <c r="CL79" i="11"/>
  <c r="CM79" i="11"/>
  <c r="CN79" i="11"/>
  <c r="CO79" i="11"/>
  <c r="CP79" i="11"/>
  <c r="CQ79" i="11"/>
  <c r="CR79" i="11"/>
  <c r="CS79" i="11"/>
  <c r="CT79" i="11"/>
  <c r="CU79" i="11"/>
  <c r="CV79" i="11"/>
  <c r="CW79" i="11"/>
  <c r="CX79" i="11"/>
  <c r="CY79" i="11"/>
  <c r="CZ79" i="11"/>
  <c r="DA79" i="11"/>
  <c r="DB79" i="11"/>
  <c r="DC79" i="11"/>
  <c r="DD79" i="11"/>
  <c r="DE79" i="11"/>
  <c r="DF79" i="11"/>
  <c r="DG79" i="11"/>
  <c r="DH79" i="11"/>
  <c r="DI79" i="11"/>
  <c r="DJ79" i="11"/>
  <c r="DK79" i="11"/>
  <c r="DL79" i="11"/>
  <c r="DM79" i="11"/>
  <c r="DN79" i="11"/>
  <c r="DO79" i="11"/>
  <c r="DP79" i="11"/>
  <c r="DQ79" i="11"/>
  <c r="DR79" i="11"/>
  <c r="DS79" i="11"/>
  <c r="DT79" i="11"/>
  <c r="DU79" i="11"/>
  <c r="DV79" i="11"/>
  <c r="DW79" i="11"/>
  <c r="DX79" i="11"/>
  <c r="DY79" i="11"/>
  <c r="DZ79" i="11"/>
  <c r="EA79" i="11"/>
  <c r="EB79" i="11"/>
  <c r="EC79" i="11"/>
  <c r="ED79" i="11"/>
  <c r="EE79" i="11"/>
  <c r="EF79" i="11"/>
  <c r="EG79" i="11"/>
  <c r="EH79" i="11"/>
  <c r="EI79" i="11"/>
  <c r="EJ79" i="11"/>
  <c r="EK79" i="11"/>
  <c r="EL79" i="11"/>
  <c r="EM79" i="11"/>
  <c r="EN79" i="11"/>
  <c r="EO79" i="11"/>
  <c r="EP79" i="11"/>
  <c r="EQ79" i="11"/>
  <c r="ER79" i="11"/>
  <c r="ES79" i="11"/>
  <c r="ET79" i="11"/>
  <c r="EU79" i="11"/>
  <c r="EV79" i="11"/>
  <c r="EW79" i="11"/>
  <c r="EX79" i="11"/>
  <c r="EY79" i="11"/>
  <c r="EZ79" i="11"/>
  <c r="FA79" i="11"/>
  <c r="FB79" i="11"/>
  <c r="FC79" i="11"/>
  <c r="FD79" i="11"/>
  <c r="FE79" i="11"/>
  <c r="FF79" i="11"/>
  <c r="FG79" i="11"/>
  <c r="FH79" i="11"/>
  <c r="FI79" i="11"/>
  <c r="FJ79" i="11"/>
  <c r="FK79" i="11"/>
  <c r="FL79" i="11"/>
  <c r="FM79" i="11"/>
  <c r="FN79" i="11"/>
  <c r="FO79" i="11"/>
  <c r="FP79" i="11"/>
  <c r="FQ79" i="11"/>
  <c r="FR79" i="11"/>
  <c r="FS79" i="11"/>
  <c r="FT79" i="11"/>
  <c r="FU79" i="11"/>
  <c r="FV79" i="11"/>
  <c r="FW79" i="11"/>
  <c r="FX79" i="11"/>
  <c r="FY79" i="11"/>
  <c r="FZ79" i="11"/>
  <c r="GA79" i="11"/>
  <c r="GB79" i="11"/>
  <c r="GC79" i="11"/>
  <c r="GD79" i="11"/>
  <c r="GE79" i="11"/>
  <c r="GF79" i="11"/>
  <c r="GG79" i="11"/>
  <c r="GH79" i="11"/>
  <c r="GI79" i="11"/>
  <c r="GJ79" i="11"/>
  <c r="GK79" i="11"/>
  <c r="GL79" i="11"/>
  <c r="GM79" i="11"/>
  <c r="GN79" i="11"/>
  <c r="GO79" i="11"/>
  <c r="GP79" i="11"/>
  <c r="GQ79" i="11"/>
  <c r="GR79" i="11"/>
  <c r="GS79" i="11"/>
  <c r="GT79" i="11"/>
  <c r="GU79" i="11"/>
  <c r="GV79" i="11"/>
  <c r="GW79" i="11"/>
  <c r="GX79" i="11"/>
  <c r="GY79" i="11"/>
  <c r="GZ79" i="11"/>
  <c r="HA79" i="11"/>
  <c r="HB79" i="11"/>
  <c r="HC79" i="11"/>
  <c r="HD79" i="11"/>
  <c r="HE79" i="11"/>
  <c r="HF79" i="11"/>
  <c r="HG79" i="11"/>
  <c r="HH79" i="11"/>
  <c r="HI79" i="11"/>
  <c r="HJ79" i="11"/>
  <c r="HK79" i="11"/>
  <c r="HL79" i="11"/>
  <c r="HM79" i="11"/>
  <c r="HN79" i="11"/>
  <c r="HO79" i="11"/>
  <c r="HP79" i="11"/>
  <c r="HQ79" i="11"/>
  <c r="HR79" i="11"/>
  <c r="HS79" i="11"/>
  <c r="HT79" i="11"/>
  <c r="HU79" i="11"/>
  <c r="HV79" i="11"/>
  <c r="HW79" i="11"/>
  <c r="HX79" i="11"/>
  <c r="HY79" i="11"/>
  <c r="HZ79" i="11"/>
  <c r="IA79" i="11"/>
  <c r="IB79" i="11"/>
  <c r="IC79" i="11"/>
  <c r="ID79" i="11"/>
  <c r="IE79" i="11"/>
  <c r="IF79" i="11"/>
  <c r="IG79" i="11"/>
  <c r="IH79" i="11"/>
  <c r="II79" i="11"/>
  <c r="IJ79" i="11"/>
  <c r="IK79" i="11"/>
  <c r="IL79" i="11"/>
  <c r="IM79" i="11"/>
  <c r="IN79" i="11"/>
  <c r="IO79" i="11"/>
  <c r="IP79" i="11"/>
  <c r="IQ79" i="11"/>
  <c r="IR79" i="11"/>
  <c r="IS79" i="11"/>
  <c r="IT79" i="11"/>
  <c r="IU79" i="11"/>
  <c r="IV79" i="11"/>
  <c r="IW79" i="11"/>
  <c r="IX79" i="11"/>
  <c r="IY79" i="11"/>
  <c r="IZ79" i="11"/>
  <c r="JA79" i="11"/>
  <c r="JB79" i="11"/>
  <c r="JC79" i="11"/>
  <c r="JD79" i="11"/>
  <c r="JE79" i="11"/>
  <c r="JF79" i="11"/>
  <c r="JG79" i="11"/>
  <c r="JH79" i="11"/>
  <c r="JI79" i="11"/>
  <c r="JJ79" i="11"/>
  <c r="JK79" i="11"/>
  <c r="JL79" i="11"/>
  <c r="JM79" i="11"/>
  <c r="JN79" i="11"/>
  <c r="JO79" i="11"/>
  <c r="JP79" i="11"/>
  <c r="JQ79" i="11"/>
  <c r="JR79" i="11"/>
  <c r="JS79" i="11"/>
  <c r="JT79" i="11"/>
  <c r="JU79" i="11"/>
  <c r="JV79" i="11"/>
  <c r="JW79" i="11"/>
  <c r="JX79" i="11"/>
  <c r="JY79" i="11"/>
  <c r="JZ79" i="11"/>
  <c r="KA79" i="11"/>
  <c r="KB79" i="11"/>
  <c r="KC79" i="11"/>
  <c r="KD79" i="11"/>
  <c r="KE79" i="11"/>
  <c r="KF79" i="11"/>
  <c r="KG79" i="11"/>
  <c r="KH79" i="11"/>
  <c r="KI79" i="11"/>
  <c r="AE22" i="13"/>
  <c r="AD22" i="13"/>
  <c r="B22" i="13"/>
  <c r="AE21" i="13"/>
  <c r="AD21" i="13"/>
  <c r="B21" i="13"/>
  <c r="AE20" i="13"/>
  <c r="AD20" i="13"/>
  <c r="B20" i="13"/>
  <c r="AE19" i="13"/>
  <c r="AD19" i="13"/>
  <c r="B19" i="13"/>
  <c r="AE18" i="13"/>
  <c r="AD18" i="13"/>
  <c r="B18" i="13"/>
  <c r="AE17" i="13"/>
  <c r="AD17" i="13"/>
  <c r="B17" i="13"/>
  <c r="AE16" i="13"/>
  <c r="AD16" i="13"/>
  <c r="B16" i="13"/>
  <c r="AE15" i="13"/>
  <c r="AD15" i="13"/>
  <c r="B15" i="13"/>
  <c r="B28" i="14"/>
  <c r="C28" i="14"/>
  <c r="D28" i="14"/>
  <c r="E28" i="14"/>
  <c r="B29" i="14"/>
  <c r="C29" i="14"/>
  <c r="D29" i="14"/>
  <c r="E29" i="14"/>
  <c r="B30" i="14"/>
  <c r="C30" i="14"/>
  <c r="D30" i="14"/>
  <c r="E30" i="14"/>
  <c r="B31" i="14"/>
  <c r="C31" i="14"/>
  <c r="D31" i="14"/>
  <c r="E31" i="14"/>
  <c r="B32" i="14"/>
  <c r="C32" i="14"/>
  <c r="D32" i="14"/>
  <c r="E32" i="14"/>
  <c r="B33" i="14"/>
  <c r="C33" i="14"/>
  <c r="D33" i="14"/>
  <c r="E33" i="14"/>
  <c r="B34" i="14"/>
  <c r="C34" i="14"/>
  <c r="D34" i="14"/>
  <c r="E34" i="14"/>
  <c r="B35" i="14"/>
  <c r="C35" i="14"/>
  <c r="D35" i="14"/>
  <c r="E35" i="14"/>
  <c r="B36" i="14"/>
  <c r="C36" i="14"/>
  <c r="D36" i="14"/>
  <c r="E36" i="14"/>
  <c r="B22" i="11"/>
  <c r="B65" i="11" s="1"/>
  <c r="B21" i="11"/>
  <c r="B64" i="11" s="1"/>
  <c r="B20" i="11"/>
  <c r="B63" i="11" s="1"/>
  <c r="B19" i="11"/>
  <c r="B62" i="11" s="1"/>
  <c r="B18" i="11"/>
  <c r="B61" i="11" s="1"/>
  <c r="B17" i="11"/>
  <c r="B60" i="11" s="1"/>
  <c r="B16" i="11"/>
  <c r="B59" i="11" s="1"/>
  <c r="C8" i="14"/>
  <c r="D8" i="14"/>
  <c r="E8" i="14"/>
  <c r="C9" i="14"/>
  <c r="D9" i="14"/>
  <c r="E9" i="14"/>
  <c r="C10" i="14"/>
  <c r="D10" i="14"/>
  <c r="E10" i="14"/>
  <c r="C11" i="14"/>
  <c r="D11" i="14"/>
  <c r="E11" i="14"/>
  <c r="C12" i="14"/>
  <c r="D12" i="14"/>
  <c r="E12" i="14"/>
  <c r="C13" i="14"/>
  <c r="D13" i="14"/>
  <c r="E13" i="14"/>
  <c r="C14" i="14"/>
  <c r="D14" i="14"/>
  <c r="E14" i="14"/>
  <c r="C15" i="14"/>
  <c r="D15" i="14"/>
  <c r="E15" i="14"/>
  <c r="C16" i="14"/>
  <c r="D16" i="14"/>
  <c r="E16" i="14"/>
  <c r="C17" i="14"/>
  <c r="D17" i="14"/>
  <c r="E17" i="14"/>
  <c r="C18" i="14"/>
  <c r="D18" i="14"/>
  <c r="E18" i="14"/>
  <c r="C19" i="14"/>
  <c r="D19" i="14"/>
  <c r="E19" i="14"/>
  <c r="C20" i="14"/>
  <c r="D20" i="14"/>
  <c r="E20" i="14"/>
  <c r="C21" i="14"/>
  <c r="D21" i="14"/>
  <c r="E21" i="14"/>
  <c r="C22" i="14"/>
  <c r="D22" i="14"/>
  <c r="E22" i="14"/>
  <c r="C23" i="14"/>
  <c r="D23" i="14"/>
  <c r="E23" i="14"/>
  <c r="C24" i="14"/>
  <c r="D24" i="14"/>
  <c r="E24" i="14"/>
  <c r="C25" i="14"/>
  <c r="D25" i="14"/>
  <c r="E25" i="14"/>
  <c r="C26" i="14"/>
  <c r="D26" i="14"/>
  <c r="E26" i="14"/>
  <c r="C27" i="14"/>
  <c r="D27" i="14"/>
  <c r="E27" i="14"/>
  <c r="C37" i="14"/>
  <c r="D37" i="14"/>
  <c r="E37" i="14"/>
  <c r="C38" i="14"/>
  <c r="D38" i="14"/>
  <c r="E38" i="14"/>
  <c r="C39" i="14"/>
  <c r="D39" i="14"/>
  <c r="E39" i="14"/>
  <c r="C40" i="14"/>
  <c r="D40" i="14"/>
  <c r="E40" i="14"/>
  <c r="C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37" i="14"/>
  <c r="B38" i="14"/>
  <c r="B39" i="14"/>
  <c r="B40" i="14"/>
  <c r="AQ43" i="9"/>
  <c r="AQ44" i="9"/>
  <c r="AQ45" i="9"/>
  <c r="AQ46" i="9"/>
  <c r="AQ47" i="9"/>
  <c r="AQ48" i="9"/>
  <c r="AQ49" i="9"/>
  <c r="AQ50" i="9"/>
  <c r="AQ51" i="9"/>
  <c r="AQ52" i="9"/>
  <c r="AQ53" i="9"/>
  <c r="AQ54" i="9"/>
  <c r="AQ55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C8" i="9"/>
  <c r="C43" i="9" s="1"/>
  <c r="D8" i="9"/>
  <c r="D43" i="9" s="1"/>
  <c r="E8" i="9"/>
  <c r="C9" i="9"/>
  <c r="C44" i="9" s="1"/>
  <c r="D9" i="9"/>
  <c r="AM9" i="9" s="1"/>
  <c r="AO9" i="9" s="1"/>
  <c r="E9" i="9"/>
  <c r="E44" i="9" s="1"/>
  <c r="C10" i="9"/>
  <c r="C10" i="13" s="1"/>
  <c r="D10" i="9"/>
  <c r="D45" i="9" s="1"/>
  <c r="E10" i="9"/>
  <c r="E45" i="9" s="1"/>
  <c r="C11" i="9"/>
  <c r="C11" i="13" s="1"/>
  <c r="D11" i="9"/>
  <c r="I11" i="9" s="1"/>
  <c r="K11" i="9" s="1"/>
  <c r="E11" i="9"/>
  <c r="E46" i="9" s="1"/>
  <c r="C12" i="9"/>
  <c r="C47" i="9" s="1"/>
  <c r="D12" i="9"/>
  <c r="D47" i="9" s="1"/>
  <c r="E12" i="9"/>
  <c r="E12" i="13" s="1"/>
  <c r="C13" i="9"/>
  <c r="C48" i="9" s="1"/>
  <c r="D13" i="9"/>
  <c r="X13" i="9" s="1"/>
  <c r="Z13" i="9" s="1"/>
  <c r="E13" i="9"/>
  <c r="E48" i="9" s="1"/>
  <c r="C14" i="9"/>
  <c r="D14" i="9"/>
  <c r="D49" i="9" s="1"/>
  <c r="E14" i="9"/>
  <c r="E49" i="9" s="1"/>
  <c r="C15" i="9"/>
  <c r="C50" i="9" s="1"/>
  <c r="D15" i="9"/>
  <c r="D15" i="13" s="1"/>
  <c r="E15" i="9"/>
  <c r="E50" i="9" s="1"/>
  <c r="C16" i="9"/>
  <c r="C51" i="9" s="1"/>
  <c r="D16" i="9"/>
  <c r="D51" i="9" s="1"/>
  <c r="E16" i="9"/>
  <c r="C17" i="9"/>
  <c r="C52" i="9" s="1"/>
  <c r="D17" i="9"/>
  <c r="AD17" i="9" s="1"/>
  <c r="AF17" i="9" s="1"/>
  <c r="E17" i="9"/>
  <c r="E52" i="9" s="1"/>
  <c r="C18" i="9"/>
  <c r="C18" i="13" s="1"/>
  <c r="D18" i="9"/>
  <c r="D53" i="9" s="1"/>
  <c r="E18" i="9"/>
  <c r="E53" i="9" s="1"/>
  <c r="C19" i="9"/>
  <c r="C54" i="9" s="1"/>
  <c r="D19" i="9"/>
  <c r="AD19" i="9" s="1"/>
  <c r="AF19" i="9" s="1"/>
  <c r="E19" i="9"/>
  <c r="E54" i="9" s="1"/>
  <c r="C20" i="9"/>
  <c r="C55" i="9" s="1"/>
  <c r="D20" i="9"/>
  <c r="D55" i="9" s="1"/>
  <c r="E20" i="9"/>
  <c r="E20" i="13" s="1"/>
  <c r="C21" i="9"/>
  <c r="C56" i="9" s="1"/>
  <c r="D21" i="9"/>
  <c r="E21" i="9"/>
  <c r="E56" i="9" s="1"/>
  <c r="C22" i="9"/>
  <c r="D22" i="9"/>
  <c r="D57" i="9" s="1"/>
  <c r="E22" i="9"/>
  <c r="E57" i="9" s="1"/>
  <c r="C23" i="9"/>
  <c r="C58" i="9" s="1"/>
  <c r="D23" i="9"/>
  <c r="D23" i="13" s="1"/>
  <c r="E23" i="9"/>
  <c r="E58" i="9" s="1"/>
  <c r="C24" i="9"/>
  <c r="C23" i="11" s="1"/>
  <c r="C66" i="11" s="1"/>
  <c r="D24" i="9"/>
  <c r="D59" i="9" s="1"/>
  <c r="E24" i="9"/>
  <c r="C25" i="9"/>
  <c r="C25" i="13" s="1"/>
  <c r="D25" i="9"/>
  <c r="E25" i="9"/>
  <c r="E60" i="9" s="1"/>
  <c r="C26" i="9"/>
  <c r="C26" i="13" s="1"/>
  <c r="D26" i="9"/>
  <c r="D26" i="13" s="1"/>
  <c r="E26" i="9"/>
  <c r="E61" i="9" s="1"/>
  <c r="C27" i="9"/>
  <c r="C27" i="13" s="1"/>
  <c r="D27" i="9"/>
  <c r="E27" i="9"/>
  <c r="E62" i="9" s="1"/>
  <c r="C28" i="9"/>
  <c r="C28" i="13" s="1"/>
  <c r="D28" i="9"/>
  <c r="D63" i="9" s="1"/>
  <c r="E28" i="9"/>
  <c r="C29" i="9"/>
  <c r="C64" i="9" s="1"/>
  <c r="D29" i="9"/>
  <c r="E29" i="9"/>
  <c r="E64" i="9" s="1"/>
  <c r="C30" i="9"/>
  <c r="D30" i="9"/>
  <c r="D65" i="9" s="1"/>
  <c r="E30" i="9"/>
  <c r="E65" i="9" s="1"/>
  <c r="C31" i="9"/>
  <c r="C66" i="9" s="1"/>
  <c r="D31" i="9"/>
  <c r="E31" i="9"/>
  <c r="E66" i="9" s="1"/>
  <c r="C32" i="9"/>
  <c r="C67" i="9" s="1"/>
  <c r="D32" i="9"/>
  <c r="D31" i="11" s="1"/>
  <c r="D74" i="11" s="1"/>
  <c r="E32" i="9"/>
  <c r="E31" i="11" s="1"/>
  <c r="E74" i="11" s="1"/>
  <c r="C33" i="9"/>
  <c r="C68" i="9" s="1"/>
  <c r="D33" i="9"/>
  <c r="AD33" i="9" s="1"/>
  <c r="AF33" i="9" s="1"/>
  <c r="E33" i="9"/>
  <c r="E68" i="9" s="1"/>
  <c r="C34" i="9"/>
  <c r="C33" i="11" s="1"/>
  <c r="C76" i="11" s="1"/>
  <c r="D34" i="9"/>
  <c r="D69" i="9" s="1"/>
  <c r="E34" i="9"/>
  <c r="E69" i="9" s="1"/>
  <c r="C35" i="9"/>
  <c r="C70" i="9" s="1"/>
  <c r="D35" i="9"/>
  <c r="L35" i="9" s="1"/>
  <c r="N35" i="9" s="1"/>
  <c r="E35" i="9"/>
  <c r="E70" i="9" s="1"/>
  <c r="C36" i="9"/>
  <c r="C71" i="9" s="1"/>
  <c r="D36" i="9"/>
  <c r="D71" i="9" s="1"/>
  <c r="E36" i="9"/>
  <c r="E71" i="9" s="1"/>
  <c r="C7" i="9"/>
  <c r="C42" i="9" s="1"/>
  <c r="AQ35" i="9"/>
  <c r="F8" i="9"/>
  <c r="AM8" i="9"/>
  <c r="AO8" i="9" s="1"/>
  <c r="AQ8" i="9"/>
  <c r="AA9" i="9"/>
  <c r="AC9" i="9" s="1"/>
  <c r="AQ9" i="9"/>
  <c r="AQ10" i="9"/>
  <c r="AQ11" i="9"/>
  <c r="I12" i="9"/>
  <c r="K12" i="9" s="1"/>
  <c r="AM12" i="9"/>
  <c r="AO12" i="9" s="1"/>
  <c r="AQ12" i="9"/>
  <c r="AQ13" i="9"/>
  <c r="AQ14" i="9"/>
  <c r="AQ15" i="9"/>
  <c r="L16" i="9"/>
  <c r="AQ16" i="9"/>
  <c r="O17" i="9"/>
  <c r="Q17" i="9" s="1"/>
  <c r="AQ17" i="9"/>
  <c r="AQ18" i="9"/>
  <c r="AQ19" i="9"/>
  <c r="F20" i="9"/>
  <c r="AQ20" i="9"/>
  <c r="AD21" i="9"/>
  <c r="AF21" i="9" s="1"/>
  <c r="AQ21" i="9"/>
  <c r="AQ22" i="9"/>
  <c r="AQ23" i="9"/>
  <c r="R24" i="9"/>
  <c r="T24" i="9" s="1"/>
  <c r="AQ24" i="9"/>
  <c r="AQ25" i="9"/>
  <c r="AJ26" i="9"/>
  <c r="AL26" i="9" s="1"/>
  <c r="AQ26" i="9"/>
  <c r="AQ27" i="9"/>
  <c r="AG28" i="9"/>
  <c r="AI28" i="9" s="1"/>
  <c r="AQ28" i="9"/>
  <c r="AQ29" i="9"/>
  <c r="AQ30" i="9"/>
  <c r="AQ31" i="9"/>
  <c r="AD32" i="9"/>
  <c r="AF32" i="9" s="1"/>
  <c r="AQ32" i="9"/>
  <c r="AQ33" i="9"/>
  <c r="AQ34" i="9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41" i="2"/>
  <c r="C41" i="2"/>
  <c r="D41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G34" i="2"/>
  <c r="G33" i="2"/>
  <c r="G29" i="2"/>
  <c r="G27" i="2"/>
  <c r="G26" i="2"/>
  <c r="G28" i="2"/>
  <c r="G25" i="2"/>
  <c r="G24" i="2"/>
  <c r="G23" i="2"/>
  <c r="D5" i="9"/>
  <c r="AG10" i="9" l="1"/>
  <c r="AI10" i="9" s="1"/>
  <c r="O30" i="9"/>
  <c r="Q30" i="9" s="1"/>
  <c r="O32" i="9"/>
  <c r="Q32" i="9" s="1"/>
  <c r="AG24" i="9"/>
  <c r="AI24" i="9" s="1"/>
  <c r="F22" i="9"/>
  <c r="H22" i="9" s="1"/>
  <c r="AA20" i="9"/>
  <c r="AC20" i="9" s="1"/>
  <c r="O18" i="9"/>
  <c r="Q18" i="9" s="1"/>
  <c r="AJ16" i="9"/>
  <c r="AL16" i="9" s="1"/>
  <c r="G78" i="11"/>
  <c r="F10" i="3"/>
  <c r="E8" i="15"/>
  <c r="G68" i="2"/>
  <c r="G65" i="2"/>
  <c r="G64" i="2"/>
  <c r="G69" i="2"/>
  <c r="G79" i="11"/>
  <c r="G66" i="2"/>
  <c r="G62" i="2"/>
  <c r="F31" i="3" s="1"/>
  <c r="F79" i="11"/>
  <c r="F78" i="11"/>
  <c r="G67" i="2"/>
  <c r="G63" i="2"/>
  <c r="G56" i="2"/>
  <c r="G52" i="2"/>
  <c r="G48" i="2"/>
  <c r="G54" i="2"/>
  <c r="G50" i="2"/>
  <c r="G46" i="2"/>
  <c r="G57" i="2"/>
  <c r="G53" i="2"/>
  <c r="G49" i="2"/>
  <c r="G55" i="2"/>
  <c r="G51" i="2"/>
  <c r="G53" i="11"/>
  <c r="G61" i="2"/>
  <c r="U59" i="9"/>
  <c r="W59" i="9" s="1"/>
  <c r="F9" i="3"/>
  <c r="E7" i="15"/>
  <c r="X53" i="9"/>
  <c r="Z53" i="9" s="1"/>
  <c r="AJ45" i="9"/>
  <c r="AL45" i="9" s="1"/>
  <c r="G43" i="2"/>
  <c r="G47" i="2"/>
  <c r="X15" i="9"/>
  <c r="Z15" i="9" s="1"/>
  <c r="C18" i="11"/>
  <c r="C61" i="11" s="1"/>
  <c r="AA32" i="9"/>
  <c r="AC32" i="9" s="1"/>
  <c r="I32" i="9"/>
  <c r="K32" i="9" s="1"/>
  <c r="U28" i="9"/>
  <c r="W28" i="9" s="1"/>
  <c r="AD24" i="9"/>
  <c r="AF24" i="9" s="1"/>
  <c r="O24" i="9"/>
  <c r="Q24" i="9" s="1"/>
  <c r="U20" i="9"/>
  <c r="W20" i="9" s="1"/>
  <c r="AD16" i="9"/>
  <c r="AF16" i="9" s="1"/>
  <c r="I16" i="9"/>
  <c r="K16" i="9" s="1"/>
  <c r="AG12" i="9"/>
  <c r="AI12" i="9" s="1"/>
  <c r="AA8" i="9"/>
  <c r="AC8" i="9" s="1"/>
  <c r="E8" i="11"/>
  <c r="E51" i="11" s="1"/>
  <c r="AJ20" i="9"/>
  <c r="AL20" i="9" s="1"/>
  <c r="L20" i="9"/>
  <c r="N20" i="9" s="1"/>
  <c r="U8" i="9"/>
  <c r="W8" i="9" s="1"/>
  <c r="AM32" i="9"/>
  <c r="AO32" i="9" s="1"/>
  <c r="U32" i="9"/>
  <c r="W32" i="9" s="1"/>
  <c r="F32" i="9"/>
  <c r="H32" i="9" s="1"/>
  <c r="AA24" i="9"/>
  <c r="AC24" i="9" s="1"/>
  <c r="I24" i="9"/>
  <c r="K24" i="9" s="1"/>
  <c r="AA16" i="9"/>
  <c r="AC16" i="9" s="1"/>
  <c r="F16" i="9"/>
  <c r="H16" i="9" s="1"/>
  <c r="U12" i="9"/>
  <c r="W12" i="9" s="1"/>
  <c r="AG32" i="9"/>
  <c r="AI32" i="9" s="1"/>
  <c r="R32" i="9"/>
  <c r="T32" i="9" s="1"/>
  <c r="AM24" i="9"/>
  <c r="AO24" i="9" s="1"/>
  <c r="U24" i="9"/>
  <c r="W24" i="9" s="1"/>
  <c r="F24" i="9"/>
  <c r="H24" i="9" s="1"/>
  <c r="AD20" i="9"/>
  <c r="AF20" i="9" s="1"/>
  <c r="I20" i="9"/>
  <c r="K20" i="9" s="1"/>
  <c r="U16" i="9"/>
  <c r="W16" i="9" s="1"/>
  <c r="O12" i="9"/>
  <c r="Q12" i="9" s="1"/>
  <c r="O8" i="9"/>
  <c r="Q8" i="9" s="1"/>
  <c r="E16" i="15"/>
  <c r="L13" i="9"/>
  <c r="N13" i="9" s="1"/>
  <c r="E17" i="15"/>
  <c r="D68" i="9"/>
  <c r="U68" i="9" s="1"/>
  <c r="W68" i="9" s="1"/>
  <c r="L33" i="9"/>
  <c r="N33" i="9" s="1"/>
  <c r="AG33" i="9"/>
  <c r="AI33" i="9" s="1"/>
  <c r="O33" i="9"/>
  <c r="Q33" i="9" s="1"/>
  <c r="AJ33" i="9"/>
  <c r="AL33" i="9" s="1"/>
  <c r="U33" i="9"/>
  <c r="W33" i="9" s="1"/>
  <c r="D29" i="13"/>
  <c r="AA29" i="9"/>
  <c r="AC29" i="9" s="1"/>
  <c r="D60" i="9"/>
  <c r="AJ60" i="9" s="1"/>
  <c r="AL60" i="9" s="1"/>
  <c r="F25" i="9"/>
  <c r="H25" i="9" s="1"/>
  <c r="AA25" i="9"/>
  <c r="AC25" i="9" s="1"/>
  <c r="I25" i="9"/>
  <c r="K25" i="9" s="1"/>
  <c r="AG25" i="9"/>
  <c r="AI25" i="9" s="1"/>
  <c r="O25" i="9"/>
  <c r="Q25" i="9" s="1"/>
  <c r="AM25" i="9"/>
  <c r="AO25" i="9" s="1"/>
  <c r="D56" i="9"/>
  <c r="AM56" i="9" s="1"/>
  <c r="AO56" i="9" s="1"/>
  <c r="I21" i="9"/>
  <c r="K21" i="9" s="1"/>
  <c r="R21" i="9"/>
  <c r="T21" i="9" s="1"/>
  <c r="AJ21" i="9"/>
  <c r="AL21" i="9" s="1"/>
  <c r="L21" i="9"/>
  <c r="N21" i="9" s="1"/>
  <c r="AA21" i="9"/>
  <c r="AC21" i="9" s="1"/>
  <c r="F21" i="9"/>
  <c r="H21" i="9" s="1"/>
  <c r="U21" i="9"/>
  <c r="W21" i="9" s="1"/>
  <c r="AM21" i="9"/>
  <c r="AO21" i="9" s="1"/>
  <c r="D17" i="13"/>
  <c r="I17" i="9"/>
  <c r="K17" i="9" s="1"/>
  <c r="R17" i="9"/>
  <c r="T17" i="9" s="1"/>
  <c r="AJ17" i="9"/>
  <c r="AL17" i="9" s="1"/>
  <c r="F17" i="9"/>
  <c r="H17" i="9" s="1"/>
  <c r="U17" i="9"/>
  <c r="W17" i="9" s="1"/>
  <c r="AM17" i="9"/>
  <c r="AO17" i="9" s="1"/>
  <c r="L17" i="9"/>
  <c r="N17" i="9" s="1"/>
  <c r="AA17" i="9"/>
  <c r="AC17" i="9" s="1"/>
  <c r="D13" i="13"/>
  <c r="O13" i="9"/>
  <c r="Q13" i="9" s="1"/>
  <c r="AA13" i="9"/>
  <c r="AC13" i="9" s="1"/>
  <c r="AM13" i="9"/>
  <c r="AO13" i="9" s="1"/>
  <c r="I13" i="9"/>
  <c r="K13" i="9" s="1"/>
  <c r="U13" i="9"/>
  <c r="W13" i="9" s="1"/>
  <c r="AG13" i="9"/>
  <c r="AI13" i="9" s="1"/>
  <c r="F13" i="9"/>
  <c r="H13" i="9" s="1"/>
  <c r="R13" i="9"/>
  <c r="T13" i="9" s="1"/>
  <c r="AD13" i="9"/>
  <c r="AF13" i="9" s="1"/>
  <c r="D44" i="9"/>
  <c r="I44" i="9" s="1"/>
  <c r="K44" i="9" s="1"/>
  <c r="F9" i="9"/>
  <c r="H9" i="9" s="1"/>
  <c r="R9" i="9"/>
  <c r="T9" i="9" s="1"/>
  <c r="AD9" i="9"/>
  <c r="AF9" i="9" s="1"/>
  <c r="AJ9" i="9"/>
  <c r="AL9" i="9" s="1"/>
  <c r="I9" i="9"/>
  <c r="K9" i="9" s="1"/>
  <c r="U9" i="9"/>
  <c r="W9" i="9" s="1"/>
  <c r="AG9" i="9"/>
  <c r="AI9" i="9" s="1"/>
  <c r="L9" i="9"/>
  <c r="N9" i="9" s="1"/>
  <c r="X9" i="9"/>
  <c r="Z9" i="9" s="1"/>
  <c r="E22" i="15"/>
  <c r="E18" i="15"/>
  <c r="U25" i="9"/>
  <c r="W25" i="9" s="1"/>
  <c r="O21" i="9"/>
  <c r="Q21" i="9" s="1"/>
  <c r="AJ13" i="9"/>
  <c r="AL13" i="9" s="1"/>
  <c r="O9" i="9"/>
  <c r="Q9" i="9" s="1"/>
  <c r="E15" i="15"/>
  <c r="AJ32" i="9"/>
  <c r="AL32" i="9" s="1"/>
  <c r="X32" i="9"/>
  <c r="Z32" i="9" s="1"/>
  <c r="L32" i="9"/>
  <c r="N32" i="9" s="1"/>
  <c r="I28" i="9"/>
  <c r="K28" i="9" s="1"/>
  <c r="X26" i="9"/>
  <c r="Z26" i="9" s="1"/>
  <c r="AJ24" i="9"/>
  <c r="AL24" i="9" s="1"/>
  <c r="X24" i="9"/>
  <c r="Z24" i="9" s="1"/>
  <c r="L24" i="9"/>
  <c r="N24" i="9" s="1"/>
  <c r="AG20" i="9"/>
  <c r="AI20" i="9" s="1"/>
  <c r="R20" i="9"/>
  <c r="T20" i="9" s="1"/>
  <c r="O20" i="9"/>
  <c r="Q20" i="9" s="1"/>
  <c r="AG18" i="9"/>
  <c r="AI18" i="9" s="1"/>
  <c r="AG16" i="9"/>
  <c r="AI16" i="9" s="1"/>
  <c r="R16" i="9"/>
  <c r="T16" i="9" s="1"/>
  <c r="O16" i="9"/>
  <c r="Q16" i="9" s="1"/>
  <c r="AA12" i="9"/>
  <c r="AC12" i="9" s="1"/>
  <c r="I10" i="9"/>
  <c r="K10" i="9" s="1"/>
  <c r="AG8" i="9"/>
  <c r="AI8" i="9" s="1"/>
  <c r="I8" i="9"/>
  <c r="K8" i="9" s="1"/>
  <c r="C31" i="13"/>
  <c r="F35" i="3"/>
  <c r="F26" i="3"/>
  <c r="AD30" i="9"/>
  <c r="AF30" i="9" s="1"/>
  <c r="L26" i="9"/>
  <c r="N26" i="9" s="1"/>
  <c r="X22" i="9"/>
  <c r="Z22" i="9" s="1"/>
  <c r="R18" i="9"/>
  <c r="T18" i="9" s="1"/>
  <c r="E24" i="11"/>
  <c r="E67" i="11" s="1"/>
  <c r="E32" i="15"/>
  <c r="E30" i="15"/>
  <c r="E21" i="15"/>
  <c r="E20" i="15"/>
  <c r="E19" i="15"/>
  <c r="E14" i="15"/>
  <c r="E13" i="15"/>
  <c r="D21" i="11"/>
  <c r="D64" i="11" s="1"/>
  <c r="AG53" i="9"/>
  <c r="AI53" i="9" s="1"/>
  <c r="U45" i="9"/>
  <c r="W45" i="9" s="1"/>
  <c r="AA30" i="9"/>
  <c r="AC30" i="9" s="1"/>
  <c r="I30" i="9"/>
  <c r="K30" i="9" s="1"/>
  <c r="AG26" i="9"/>
  <c r="AI26" i="9" s="1"/>
  <c r="U26" i="9"/>
  <c r="W26" i="9" s="1"/>
  <c r="I26" i="9"/>
  <c r="K26" i="9" s="1"/>
  <c r="R22" i="9"/>
  <c r="T22" i="9" s="1"/>
  <c r="O22" i="9"/>
  <c r="Q22" i="9" s="1"/>
  <c r="AD18" i="9"/>
  <c r="AF18" i="9" s="1"/>
  <c r="L18" i="9"/>
  <c r="N18" i="9" s="1"/>
  <c r="AA10" i="9"/>
  <c r="AC10" i="9" s="1"/>
  <c r="F10" i="9"/>
  <c r="H10" i="9" s="1"/>
  <c r="C60" i="9"/>
  <c r="C46" i="9"/>
  <c r="D25" i="11"/>
  <c r="D68" i="11" s="1"/>
  <c r="C22" i="11"/>
  <c r="C65" i="11" s="1"/>
  <c r="E12" i="11"/>
  <c r="E55" i="11" s="1"/>
  <c r="D9" i="11"/>
  <c r="D52" i="11" s="1"/>
  <c r="C35" i="13"/>
  <c r="E29" i="13"/>
  <c r="C28" i="11"/>
  <c r="C71" i="11" s="1"/>
  <c r="X34" i="9"/>
  <c r="Z34" i="9" s="1"/>
  <c r="R26" i="9"/>
  <c r="T26" i="9" s="1"/>
  <c r="F26" i="9"/>
  <c r="H26" i="9" s="1"/>
  <c r="AJ22" i="9"/>
  <c r="AL22" i="9" s="1"/>
  <c r="L22" i="9"/>
  <c r="N22" i="9" s="1"/>
  <c r="AA18" i="9"/>
  <c r="AC18" i="9" s="1"/>
  <c r="I18" i="9"/>
  <c r="K18" i="9" s="1"/>
  <c r="U14" i="9"/>
  <c r="W14" i="9" s="1"/>
  <c r="U10" i="9"/>
  <c r="W10" i="9" s="1"/>
  <c r="C62" i="9"/>
  <c r="D52" i="9"/>
  <c r="AG52" i="9" s="1"/>
  <c r="AI52" i="9" s="1"/>
  <c r="C26" i="11"/>
  <c r="C69" i="11" s="1"/>
  <c r="E16" i="11"/>
  <c r="E59" i="11" s="1"/>
  <c r="D13" i="11"/>
  <c r="D56" i="11" s="1"/>
  <c r="C10" i="11"/>
  <c r="C53" i="11" s="1"/>
  <c r="E33" i="13"/>
  <c r="E27" i="13"/>
  <c r="AM30" i="9"/>
  <c r="AO30" i="9" s="1"/>
  <c r="U30" i="9"/>
  <c r="W30" i="9" s="1"/>
  <c r="F30" i="9"/>
  <c r="H30" i="9" s="1"/>
  <c r="AD26" i="9"/>
  <c r="AF26" i="9" s="1"/>
  <c r="F34" i="9"/>
  <c r="H34" i="9" s="1"/>
  <c r="AG30" i="9"/>
  <c r="AI30" i="9" s="1"/>
  <c r="R30" i="9"/>
  <c r="T30" i="9" s="1"/>
  <c r="AM26" i="9"/>
  <c r="AO26" i="9" s="1"/>
  <c r="AA26" i="9"/>
  <c r="AC26" i="9" s="1"/>
  <c r="O26" i="9"/>
  <c r="Q26" i="9" s="1"/>
  <c r="AD22" i="9"/>
  <c r="AF22" i="9" s="1"/>
  <c r="I22" i="9"/>
  <c r="K22" i="9" s="1"/>
  <c r="AJ18" i="9"/>
  <c r="AL18" i="9" s="1"/>
  <c r="U18" i="9"/>
  <c r="W18" i="9" s="1"/>
  <c r="F18" i="9"/>
  <c r="H18" i="9" s="1"/>
  <c r="AA14" i="9"/>
  <c r="AC14" i="9" s="1"/>
  <c r="AM10" i="9"/>
  <c r="AO10" i="9" s="1"/>
  <c r="O10" i="9"/>
  <c r="Q10" i="9" s="1"/>
  <c r="D32" i="11"/>
  <c r="D75" i="11" s="1"/>
  <c r="C27" i="11"/>
  <c r="C70" i="11" s="1"/>
  <c r="E20" i="11"/>
  <c r="E63" i="11" s="1"/>
  <c r="D17" i="11"/>
  <c r="D60" i="11" s="1"/>
  <c r="C14" i="11"/>
  <c r="C57" i="11" s="1"/>
  <c r="D32" i="13"/>
  <c r="C69" i="9"/>
  <c r="C34" i="13"/>
  <c r="E67" i="9"/>
  <c r="E32" i="13"/>
  <c r="D31" i="13"/>
  <c r="D30" i="11"/>
  <c r="D73" i="11" s="1"/>
  <c r="AA31" i="9"/>
  <c r="AC31" i="9" s="1"/>
  <c r="C65" i="9"/>
  <c r="C30" i="13"/>
  <c r="E63" i="9"/>
  <c r="E27" i="11"/>
  <c r="E70" i="11" s="1"/>
  <c r="E28" i="13"/>
  <c r="D26" i="11"/>
  <c r="D69" i="11" s="1"/>
  <c r="I27" i="9"/>
  <c r="K27" i="9" s="1"/>
  <c r="C61" i="9"/>
  <c r="C25" i="11"/>
  <c r="C68" i="11" s="1"/>
  <c r="E59" i="9"/>
  <c r="E23" i="11"/>
  <c r="E66" i="11" s="1"/>
  <c r="I23" i="9"/>
  <c r="K23" i="9" s="1"/>
  <c r="D22" i="11"/>
  <c r="D65" i="11" s="1"/>
  <c r="AG23" i="9"/>
  <c r="AI23" i="9" s="1"/>
  <c r="C57" i="9"/>
  <c r="C21" i="11"/>
  <c r="C64" i="11" s="1"/>
  <c r="E55" i="9"/>
  <c r="E19" i="11"/>
  <c r="E62" i="11" s="1"/>
  <c r="D18" i="11"/>
  <c r="D61" i="11" s="1"/>
  <c r="O19" i="9"/>
  <c r="Q19" i="9" s="1"/>
  <c r="C53" i="9"/>
  <c r="C17" i="11"/>
  <c r="C60" i="11" s="1"/>
  <c r="E51" i="9"/>
  <c r="E15" i="11"/>
  <c r="E58" i="11" s="1"/>
  <c r="D14" i="11"/>
  <c r="D57" i="11" s="1"/>
  <c r="L15" i="9"/>
  <c r="N15" i="9" s="1"/>
  <c r="C49" i="9"/>
  <c r="C13" i="11"/>
  <c r="C56" i="11" s="1"/>
  <c r="E47" i="9"/>
  <c r="E11" i="11"/>
  <c r="E54" i="11" s="1"/>
  <c r="D10" i="11"/>
  <c r="D53" i="11" s="1"/>
  <c r="U11" i="9"/>
  <c r="W11" i="9" s="1"/>
  <c r="AD11" i="9"/>
  <c r="AF11" i="9" s="1"/>
  <c r="C45" i="9"/>
  <c r="C9" i="11"/>
  <c r="C52" i="11" s="1"/>
  <c r="E43" i="9"/>
  <c r="E7" i="11"/>
  <c r="E50" i="11" s="1"/>
  <c r="C22" i="13"/>
  <c r="E16" i="13"/>
  <c r="D11" i="13"/>
  <c r="C29" i="11"/>
  <c r="C72" i="11" s="1"/>
  <c r="E36" i="13"/>
  <c r="E24" i="13"/>
  <c r="D19" i="13"/>
  <c r="C14" i="13"/>
  <c r="E8" i="13"/>
  <c r="D67" i="9"/>
  <c r="AA67" i="9" s="1"/>
  <c r="AC67" i="9" s="1"/>
  <c r="D48" i="9"/>
  <c r="I48" i="9" s="1"/>
  <c r="K48" i="9" s="1"/>
  <c r="C32" i="11"/>
  <c r="C75" i="11" s="1"/>
  <c r="E30" i="11"/>
  <c r="E73" i="11" s="1"/>
  <c r="D24" i="11"/>
  <c r="D67" i="11" s="1"/>
  <c r="D20" i="11"/>
  <c r="D63" i="11" s="1"/>
  <c r="D16" i="11"/>
  <c r="D59" i="11" s="1"/>
  <c r="D12" i="11"/>
  <c r="D55" i="11" s="1"/>
  <c r="D8" i="11"/>
  <c r="D51" i="11" s="1"/>
  <c r="D36" i="13"/>
  <c r="E34" i="13"/>
  <c r="D33" i="13"/>
  <c r="C32" i="13"/>
  <c r="E30" i="13"/>
  <c r="C29" i="13"/>
  <c r="E25" i="13"/>
  <c r="D24" i="13"/>
  <c r="C23" i="13"/>
  <c r="E21" i="13"/>
  <c r="D20" i="13"/>
  <c r="C19" i="13"/>
  <c r="E17" i="13"/>
  <c r="D16" i="13"/>
  <c r="C15" i="13"/>
  <c r="E13" i="13"/>
  <c r="D12" i="13"/>
  <c r="E9" i="13"/>
  <c r="D8" i="13"/>
  <c r="C63" i="9"/>
  <c r="D61" i="9"/>
  <c r="AA61" i="9" s="1"/>
  <c r="AC61" i="9" s="1"/>
  <c r="C31" i="11"/>
  <c r="C74" i="11" s="1"/>
  <c r="E29" i="11"/>
  <c r="E72" i="11" s="1"/>
  <c r="C24" i="11"/>
  <c r="C67" i="11" s="1"/>
  <c r="D23" i="11"/>
  <c r="D66" i="11" s="1"/>
  <c r="E22" i="11"/>
  <c r="E65" i="11" s="1"/>
  <c r="C20" i="11"/>
  <c r="C63" i="11" s="1"/>
  <c r="D19" i="11"/>
  <c r="D62" i="11" s="1"/>
  <c r="E18" i="11"/>
  <c r="E61" i="11" s="1"/>
  <c r="C16" i="11"/>
  <c r="C59" i="11" s="1"/>
  <c r="D15" i="11"/>
  <c r="D58" i="11" s="1"/>
  <c r="E14" i="11"/>
  <c r="E57" i="11" s="1"/>
  <c r="C12" i="11"/>
  <c r="C55" i="11" s="1"/>
  <c r="D11" i="11"/>
  <c r="D54" i="11" s="1"/>
  <c r="E10" i="11"/>
  <c r="E53" i="11" s="1"/>
  <c r="C8" i="11"/>
  <c r="C51" i="11" s="1"/>
  <c r="D7" i="11"/>
  <c r="D50" i="11" s="1"/>
  <c r="E34" i="11"/>
  <c r="E77" i="11" s="1"/>
  <c r="C36" i="13"/>
  <c r="D34" i="13"/>
  <c r="C33" i="13"/>
  <c r="E31" i="13"/>
  <c r="D30" i="13"/>
  <c r="E26" i="13"/>
  <c r="D25" i="13"/>
  <c r="C24" i="13"/>
  <c r="E22" i="13"/>
  <c r="D21" i="13"/>
  <c r="C20" i="13"/>
  <c r="E18" i="13"/>
  <c r="C16" i="13"/>
  <c r="E14" i="13"/>
  <c r="C12" i="13"/>
  <c r="E10" i="13"/>
  <c r="D9" i="13"/>
  <c r="C8" i="13"/>
  <c r="C59" i="9"/>
  <c r="E33" i="11"/>
  <c r="E76" i="11" s="1"/>
  <c r="E32" i="11"/>
  <c r="E75" i="11" s="1"/>
  <c r="C30" i="11"/>
  <c r="C73" i="11" s="1"/>
  <c r="D29" i="11"/>
  <c r="D72" i="11" s="1"/>
  <c r="E28" i="11"/>
  <c r="E71" i="11" s="1"/>
  <c r="E26" i="11"/>
  <c r="E69" i="11" s="1"/>
  <c r="E25" i="11"/>
  <c r="E68" i="11" s="1"/>
  <c r="E21" i="11"/>
  <c r="E64" i="11" s="1"/>
  <c r="C19" i="11"/>
  <c r="C62" i="11" s="1"/>
  <c r="E17" i="11"/>
  <c r="E60" i="11" s="1"/>
  <c r="C15" i="11"/>
  <c r="C58" i="11" s="1"/>
  <c r="E13" i="11"/>
  <c r="E56" i="11" s="1"/>
  <c r="C11" i="11"/>
  <c r="C54" i="11" s="1"/>
  <c r="E9" i="11"/>
  <c r="E52" i="11" s="1"/>
  <c r="C7" i="11"/>
  <c r="C50" i="11" s="1"/>
  <c r="C34" i="11"/>
  <c r="C77" i="11" s="1"/>
  <c r="E35" i="13"/>
  <c r="E23" i="13"/>
  <c r="D22" i="13"/>
  <c r="C21" i="13"/>
  <c r="E19" i="13"/>
  <c r="D18" i="13"/>
  <c r="C17" i="13"/>
  <c r="E15" i="13"/>
  <c r="D14" i="13"/>
  <c r="C13" i="13"/>
  <c r="E11" i="13"/>
  <c r="D10" i="13"/>
  <c r="C9" i="13"/>
  <c r="G44" i="2"/>
  <c r="G45" i="2"/>
  <c r="D35" i="13"/>
  <c r="AD35" i="9"/>
  <c r="AF35" i="9" s="1"/>
  <c r="D34" i="11"/>
  <c r="D77" i="11" s="1"/>
  <c r="AJ34" i="9"/>
  <c r="AL34" i="9" s="1"/>
  <c r="L34" i="9"/>
  <c r="N34" i="9" s="1"/>
  <c r="D33" i="11"/>
  <c r="D76" i="11" s="1"/>
  <c r="AD28" i="9"/>
  <c r="AF28" i="9" s="1"/>
  <c r="R28" i="9"/>
  <c r="T28" i="9" s="1"/>
  <c r="F28" i="9"/>
  <c r="H28" i="9" s="1"/>
  <c r="D64" i="9"/>
  <c r="L64" i="9" s="1"/>
  <c r="N64" i="9" s="1"/>
  <c r="AM28" i="9"/>
  <c r="AO28" i="9" s="1"/>
  <c r="AA28" i="9"/>
  <c r="AC28" i="9" s="1"/>
  <c r="O28" i="9"/>
  <c r="Q28" i="9" s="1"/>
  <c r="D28" i="11"/>
  <c r="D71" i="11" s="1"/>
  <c r="D28" i="13"/>
  <c r="X69" i="9"/>
  <c r="Z69" i="9" s="1"/>
  <c r="AJ30" i="9"/>
  <c r="AL30" i="9" s="1"/>
  <c r="X30" i="9"/>
  <c r="Z30" i="9" s="1"/>
  <c r="L30" i="9"/>
  <c r="N30" i="9" s="1"/>
  <c r="U29" i="9"/>
  <c r="W29" i="9" s="1"/>
  <c r="AJ28" i="9"/>
  <c r="AL28" i="9" s="1"/>
  <c r="X28" i="9"/>
  <c r="Z28" i="9" s="1"/>
  <c r="L28" i="9"/>
  <c r="N28" i="9" s="1"/>
  <c r="D27" i="11"/>
  <c r="D70" i="11" s="1"/>
  <c r="O69" i="9"/>
  <c r="Q69" i="9" s="1"/>
  <c r="D27" i="13"/>
  <c r="U65" i="9"/>
  <c r="W65" i="9" s="1"/>
  <c r="D26" i="15"/>
  <c r="G76" i="11"/>
  <c r="G74" i="11"/>
  <c r="G72" i="11"/>
  <c r="G70" i="11"/>
  <c r="G68" i="11"/>
  <c r="G66" i="11"/>
  <c r="G64" i="11"/>
  <c r="G62" i="11"/>
  <c r="G60" i="11"/>
  <c r="G58" i="11"/>
  <c r="G56" i="11"/>
  <c r="G54" i="11"/>
  <c r="G52" i="11"/>
  <c r="G50" i="11"/>
  <c r="F77" i="11"/>
  <c r="F75" i="11"/>
  <c r="F73" i="11"/>
  <c r="F71" i="11"/>
  <c r="F69" i="11"/>
  <c r="F67" i="11"/>
  <c r="F65" i="11"/>
  <c r="F63" i="11"/>
  <c r="F61" i="11"/>
  <c r="F59" i="11"/>
  <c r="F57" i="11"/>
  <c r="F55" i="11"/>
  <c r="F53" i="11"/>
  <c r="F51" i="11"/>
  <c r="F50" i="11"/>
  <c r="G77" i="11"/>
  <c r="G75" i="11"/>
  <c r="G73" i="11"/>
  <c r="G71" i="11"/>
  <c r="G69" i="11"/>
  <c r="G67" i="11"/>
  <c r="G65" i="11"/>
  <c r="G63" i="11"/>
  <c r="G61" i="11"/>
  <c r="G59" i="11"/>
  <c r="G57" i="11"/>
  <c r="G55" i="11"/>
  <c r="G51" i="11"/>
  <c r="F76" i="11"/>
  <c r="F74" i="11"/>
  <c r="F72" i="11"/>
  <c r="F70" i="11"/>
  <c r="F68" i="11"/>
  <c r="F66" i="11"/>
  <c r="F64" i="11"/>
  <c r="F62" i="11"/>
  <c r="F60" i="11"/>
  <c r="F58" i="11"/>
  <c r="F56" i="11"/>
  <c r="F54" i="11"/>
  <c r="F52" i="11"/>
  <c r="F25" i="3"/>
  <c r="G58" i="2"/>
  <c r="G59" i="2"/>
  <c r="F27" i="3"/>
  <c r="G60" i="2"/>
  <c r="F30" i="3"/>
  <c r="F28" i="3"/>
  <c r="F36" i="3"/>
  <c r="O71" i="9"/>
  <c r="Q71" i="9" s="1"/>
  <c r="X71" i="9"/>
  <c r="Z71" i="9" s="1"/>
  <c r="AG71" i="9"/>
  <c r="AI71" i="9" s="1"/>
  <c r="I71" i="9"/>
  <c r="K71" i="9" s="1"/>
  <c r="R71" i="9"/>
  <c r="T71" i="9" s="1"/>
  <c r="AA71" i="9"/>
  <c r="AC71" i="9" s="1"/>
  <c r="AJ71" i="9"/>
  <c r="AL71" i="9" s="1"/>
  <c r="L71" i="9"/>
  <c r="N71" i="9" s="1"/>
  <c r="AD71" i="9"/>
  <c r="AF71" i="9" s="1"/>
  <c r="O51" i="9"/>
  <c r="Q51" i="9" s="1"/>
  <c r="AD51" i="9"/>
  <c r="AF51" i="9" s="1"/>
  <c r="F51" i="9"/>
  <c r="H51" i="9" s="1"/>
  <c r="X51" i="9"/>
  <c r="Z51" i="9" s="1"/>
  <c r="AG51" i="9"/>
  <c r="I51" i="9"/>
  <c r="K51" i="9" s="1"/>
  <c r="R51" i="9"/>
  <c r="T51" i="9" s="1"/>
  <c r="AA51" i="9"/>
  <c r="AC51" i="9" s="1"/>
  <c r="AJ51" i="9"/>
  <c r="AL51" i="9" s="1"/>
  <c r="AM51" i="9"/>
  <c r="AO51" i="9" s="1"/>
  <c r="L51" i="9"/>
  <c r="N51" i="9" s="1"/>
  <c r="U51" i="9"/>
  <c r="W51" i="9" s="1"/>
  <c r="AM71" i="9"/>
  <c r="AO71" i="9" s="1"/>
  <c r="F71" i="9"/>
  <c r="L68" i="9"/>
  <c r="N68" i="9" s="1"/>
  <c r="I69" i="9"/>
  <c r="K69" i="9" s="1"/>
  <c r="R69" i="9"/>
  <c r="T69" i="9" s="1"/>
  <c r="AA69" i="9"/>
  <c r="AC69" i="9" s="1"/>
  <c r="AJ69" i="9"/>
  <c r="AL69" i="9" s="1"/>
  <c r="L69" i="9"/>
  <c r="N69" i="9" s="1"/>
  <c r="AD69" i="9"/>
  <c r="AF69" i="9" s="1"/>
  <c r="F69" i="9"/>
  <c r="U69" i="9"/>
  <c r="W69" i="9" s="1"/>
  <c r="AM69" i="9"/>
  <c r="AO69" i="9" s="1"/>
  <c r="U57" i="9"/>
  <c r="W57" i="9" s="1"/>
  <c r="AD57" i="9"/>
  <c r="AF57" i="9" s="1"/>
  <c r="AM57" i="9"/>
  <c r="AO57" i="9" s="1"/>
  <c r="F57" i="9"/>
  <c r="H57" i="9" s="1"/>
  <c r="O57" i="9"/>
  <c r="Q57" i="9" s="1"/>
  <c r="X57" i="9"/>
  <c r="Z57" i="9" s="1"/>
  <c r="AG57" i="9"/>
  <c r="I57" i="9"/>
  <c r="K57" i="9" s="1"/>
  <c r="R57" i="9"/>
  <c r="T57" i="9" s="1"/>
  <c r="AJ57" i="9"/>
  <c r="AL57" i="9" s="1"/>
  <c r="AA57" i="9"/>
  <c r="AC57" i="9" s="1"/>
  <c r="L57" i="9"/>
  <c r="N57" i="9" s="1"/>
  <c r="L49" i="9"/>
  <c r="N49" i="9" s="1"/>
  <c r="AD49" i="9"/>
  <c r="AF49" i="9" s="1"/>
  <c r="F49" i="9"/>
  <c r="H49" i="9" s="1"/>
  <c r="O49" i="9"/>
  <c r="Q49" i="9" s="1"/>
  <c r="X49" i="9"/>
  <c r="Z49" i="9" s="1"/>
  <c r="AG49" i="9"/>
  <c r="I49" i="9"/>
  <c r="K49" i="9" s="1"/>
  <c r="R49" i="9"/>
  <c r="T49" i="9" s="1"/>
  <c r="AA49" i="9"/>
  <c r="AC49" i="9" s="1"/>
  <c r="AJ49" i="9"/>
  <c r="AL49" i="9" s="1"/>
  <c r="AM49" i="9"/>
  <c r="AO49" i="9" s="1"/>
  <c r="U49" i="9"/>
  <c r="W49" i="9" s="1"/>
  <c r="U71" i="9"/>
  <c r="W71" i="9" s="1"/>
  <c r="O35" i="9"/>
  <c r="Q35" i="9" s="1"/>
  <c r="X35" i="9"/>
  <c r="Z35" i="9" s="1"/>
  <c r="AG35" i="9"/>
  <c r="AI35" i="9" s="1"/>
  <c r="D70" i="9"/>
  <c r="F35" i="9"/>
  <c r="H35" i="9" s="1"/>
  <c r="R35" i="9"/>
  <c r="T35" i="9" s="1"/>
  <c r="AA35" i="9"/>
  <c r="AC35" i="9" s="1"/>
  <c r="AJ35" i="9"/>
  <c r="AL35" i="9" s="1"/>
  <c r="I35" i="9"/>
  <c r="K35" i="9" s="1"/>
  <c r="U35" i="9"/>
  <c r="W35" i="9" s="1"/>
  <c r="AM35" i="9"/>
  <c r="AO35" i="9" s="1"/>
  <c r="AM31" i="9"/>
  <c r="AO31" i="9" s="1"/>
  <c r="O31" i="9"/>
  <c r="Q31" i="9" s="1"/>
  <c r="U31" i="9"/>
  <c r="W31" i="9" s="1"/>
  <c r="D66" i="9"/>
  <c r="D62" i="9"/>
  <c r="I62" i="9" s="1"/>
  <c r="U27" i="9"/>
  <c r="W27" i="9" s="1"/>
  <c r="AG27" i="9"/>
  <c r="AA27" i="9"/>
  <c r="AC27" i="9" s="1"/>
  <c r="O23" i="9"/>
  <c r="Q23" i="9" s="1"/>
  <c r="AM23" i="9"/>
  <c r="AO23" i="9" s="1"/>
  <c r="U23" i="9"/>
  <c r="W23" i="9" s="1"/>
  <c r="D58" i="9"/>
  <c r="X58" i="9" s="1"/>
  <c r="Z58" i="9" s="1"/>
  <c r="F23" i="9"/>
  <c r="H23" i="9" s="1"/>
  <c r="AA23" i="9"/>
  <c r="AC23" i="9" s="1"/>
  <c r="D54" i="9"/>
  <c r="I19" i="9"/>
  <c r="K19" i="9" s="1"/>
  <c r="R19" i="9"/>
  <c r="T19" i="9" s="1"/>
  <c r="AJ19" i="9"/>
  <c r="AL19" i="9" s="1"/>
  <c r="F19" i="9"/>
  <c r="H19" i="9" s="1"/>
  <c r="U19" i="9"/>
  <c r="W19" i="9" s="1"/>
  <c r="AM19" i="9"/>
  <c r="AO19" i="9" s="1"/>
  <c r="L19" i="9"/>
  <c r="N19" i="9" s="1"/>
  <c r="AA19" i="9"/>
  <c r="AC19" i="9" s="1"/>
  <c r="O15" i="9"/>
  <c r="Q15" i="9" s="1"/>
  <c r="AA15" i="9"/>
  <c r="AC15" i="9" s="1"/>
  <c r="AJ15" i="9"/>
  <c r="AL15" i="9" s="1"/>
  <c r="F15" i="9"/>
  <c r="H15" i="9" s="1"/>
  <c r="R15" i="9"/>
  <c r="T15" i="9" s="1"/>
  <c r="AD15" i="9"/>
  <c r="AF15" i="9" s="1"/>
  <c r="AM15" i="9"/>
  <c r="AO15" i="9" s="1"/>
  <c r="I15" i="9"/>
  <c r="K15" i="9" s="1"/>
  <c r="U15" i="9"/>
  <c r="W15" i="9" s="1"/>
  <c r="AG15" i="9"/>
  <c r="AI15" i="9" s="1"/>
  <c r="D50" i="9"/>
  <c r="D46" i="9"/>
  <c r="I46" i="9" s="1"/>
  <c r="K46" i="9" s="1"/>
  <c r="L11" i="9"/>
  <c r="N11" i="9" s="1"/>
  <c r="AG11" i="9"/>
  <c r="AI11" i="9" s="1"/>
  <c r="O11" i="9"/>
  <c r="Q11" i="9" s="1"/>
  <c r="X11" i="9"/>
  <c r="Z11" i="9" s="1"/>
  <c r="AJ11" i="9"/>
  <c r="AL11" i="9" s="1"/>
  <c r="F11" i="9"/>
  <c r="H11" i="9" s="1"/>
  <c r="R11" i="9"/>
  <c r="T11" i="9" s="1"/>
  <c r="AA11" i="9"/>
  <c r="AC11" i="9" s="1"/>
  <c r="AM11" i="9"/>
  <c r="AO11" i="9" s="1"/>
  <c r="AG69" i="9"/>
  <c r="AI69" i="9" s="1"/>
  <c r="AG65" i="9"/>
  <c r="AI65" i="9" s="1"/>
  <c r="U56" i="9"/>
  <c r="W56" i="9" s="1"/>
  <c r="R56" i="9"/>
  <c r="T56" i="9" s="1"/>
  <c r="AA56" i="9"/>
  <c r="AC56" i="9" s="1"/>
  <c r="AG63" i="9"/>
  <c r="AI63" i="9" s="1"/>
  <c r="L63" i="9"/>
  <c r="N63" i="9" s="1"/>
  <c r="O59" i="9"/>
  <c r="Q59" i="9" s="1"/>
  <c r="F59" i="9"/>
  <c r="H59" i="9" s="1"/>
  <c r="AG59" i="9"/>
  <c r="AI59" i="9" s="1"/>
  <c r="L59" i="9"/>
  <c r="N59" i="9" s="1"/>
  <c r="AA59" i="9"/>
  <c r="AC59" i="9" s="1"/>
  <c r="I55" i="9"/>
  <c r="K55" i="9" s="1"/>
  <c r="R55" i="9"/>
  <c r="T55" i="9" s="1"/>
  <c r="AM55" i="9"/>
  <c r="AO55" i="9" s="1"/>
  <c r="L55" i="9"/>
  <c r="N55" i="9" s="1"/>
  <c r="U55" i="9"/>
  <c r="W55" i="9" s="1"/>
  <c r="AD55" i="9"/>
  <c r="AF55" i="9" s="1"/>
  <c r="O55" i="9"/>
  <c r="Q55" i="9" s="1"/>
  <c r="X55" i="9"/>
  <c r="Z55" i="9" s="1"/>
  <c r="AG55" i="9"/>
  <c r="AI55" i="9" s="1"/>
  <c r="I47" i="9"/>
  <c r="K47" i="9" s="1"/>
  <c r="X47" i="9"/>
  <c r="Z47" i="9" s="1"/>
  <c r="AG47" i="9"/>
  <c r="R47" i="9"/>
  <c r="T47" i="9" s="1"/>
  <c r="AA47" i="9"/>
  <c r="AC47" i="9" s="1"/>
  <c r="L47" i="9"/>
  <c r="N47" i="9" s="1"/>
  <c r="U47" i="9"/>
  <c r="W47" i="9" s="1"/>
  <c r="AJ47" i="9"/>
  <c r="AL47" i="9" s="1"/>
  <c r="R59" i="9"/>
  <c r="T59" i="9" s="1"/>
  <c r="AD56" i="9"/>
  <c r="AF56" i="9" s="1"/>
  <c r="F55" i="9"/>
  <c r="H55" i="9" s="1"/>
  <c r="O47" i="9"/>
  <c r="Q47" i="9" s="1"/>
  <c r="L45" i="9"/>
  <c r="N45" i="9" s="1"/>
  <c r="R65" i="9"/>
  <c r="T65" i="9" s="1"/>
  <c r="AJ65" i="9"/>
  <c r="AL65" i="9" s="1"/>
  <c r="L65" i="9"/>
  <c r="N65" i="9" s="1"/>
  <c r="AA65" i="9"/>
  <c r="AC65" i="9" s="1"/>
  <c r="U63" i="9"/>
  <c r="W63" i="9" s="1"/>
  <c r="L61" i="9"/>
  <c r="N61" i="9" s="1"/>
  <c r="AJ59" i="9"/>
  <c r="AL59" i="9" s="1"/>
  <c r="I59" i="9"/>
  <c r="K59" i="9" s="1"/>
  <c r="AJ55" i="9"/>
  <c r="AL55" i="9" s="1"/>
  <c r="AM47" i="9"/>
  <c r="AO47" i="9" s="1"/>
  <c r="F47" i="9"/>
  <c r="H47" i="9" s="1"/>
  <c r="I53" i="9"/>
  <c r="K53" i="9" s="1"/>
  <c r="R53" i="9"/>
  <c r="T53" i="9" s="1"/>
  <c r="AA53" i="9"/>
  <c r="AC53" i="9" s="1"/>
  <c r="AJ53" i="9"/>
  <c r="AL53" i="9" s="1"/>
  <c r="L53" i="9"/>
  <c r="N53" i="9" s="1"/>
  <c r="U53" i="9"/>
  <c r="W53" i="9" s="1"/>
  <c r="AM53" i="9"/>
  <c r="AO53" i="9" s="1"/>
  <c r="O53" i="9"/>
  <c r="Q53" i="9" s="1"/>
  <c r="AD53" i="9"/>
  <c r="AF53" i="9" s="1"/>
  <c r="F45" i="9"/>
  <c r="H45" i="9" s="1"/>
  <c r="O45" i="9"/>
  <c r="Q45" i="9" s="1"/>
  <c r="AD45" i="9"/>
  <c r="AF45" i="9" s="1"/>
  <c r="AM45" i="9"/>
  <c r="AO45" i="9" s="1"/>
  <c r="I45" i="9"/>
  <c r="K45" i="9" s="1"/>
  <c r="X45" i="9"/>
  <c r="Z45" i="9" s="1"/>
  <c r="AG45" i="9"/>
  <c r="AI45" i="9" s="1"/>
  <c r="R45" i="9"/>
  <c r="T45" i="9" s="1"/>
  <c r="AA45" i="9"/>
  <c r="AC45" i="9" s="1"/>
  <c r="F65" i="9"/>
  <c r="H65" i="9" s="1"/>
  <c r="AD59" i="9"/>
  <c r="AF59" i="9" s="1"/>
  <c r="AA55" i="9"/>
  <c r="AC55" i="9" s="1"/>
  <c r="F53" i="9"/>
  <c r="H53" i="9" s="1"/>
  <c r="AD47" i="9"/>
  <c r="AF47" i="9" s="1"/>
  <c r="O63" i="9"/>
  <c r="Q63" i="9" s="1"/>
  <c r="X63" i="9"/>
  <c r="Z63" i="9" s="1"/>
  <c r="AM63" i="9"/>
  <c r="AO63" i="9" s="1"/>
  <c r="AD63" i="9"/>
  <c r="AF63" i="9" s="1"/>
  <c r="I63" i="9"/>
  <c r="K63" i="9" s="1"/>
  <c r="O65" i="9"/>
  <c r="Q65" i="9" s="1"/>
  <c r="X65" i="9"/>
  <c r="Z65" i="9" s="1"/>
  <c r="AM65" i="9"/>
  <c r="AO65" i="9" s="1"/>
  <c r="AA63" i="9"/>
  <c r="AC63" i="9" s="1"/>
  <c r="R63" i="9"/>
  <c r="T63" i="9" s="1"/>
  <c r="F63" i="9"/>
  <c r="AM61" i="9"/>
  <c r="AO61" i="9" s="1"/>
  <c r="AD65" i="9"/>
  <c r="AF65" i="9" s="1"/>
  <c r="I65" i="9"/>
  <c r="K65" i="9" s="1"/>
  <c r="AJ63" i="9"/>
  <c r="AL63" i="9" s="1"/>
  <c r="AM59" i="9"/>
  <c r="AO59" i="9" s="1"/>
  <c r="X59" i="9"/>
  <c r="Z59" i="9" s="1"/>
  <c r="AG58" i="9"/>
  <c r="R34" i="9"/>
  <c r="T34" i="9" s="1"/>
  <c r="AM34" i="9"/>
  <c r="AO34" i="9" s="1"/>
  <c r="AA34" i="9"/>
  <c r="AC34" i="9" s="1"/>
  <c r="O34" i="9"/>
  <c r="Q34" i="9" s="1"/>
  <c r="F33" i="9"/>
  <c r="R33" i="9"/>
  <c r="T33" i="9" s="1"/>
  <c r="X33" i="9"/>
  <c r="Z33" i="9" s="1"/>
  <c r="F31" i="9"/>
  <c r="L31" i="9"/>
  <c r="N31" i="9" s="1"/>
  <c r="R31" i="9"/>
  <c r="T31" i="9" s="1"/>
  <c r="X31" i="9"/>
  <c r="Z31" i="9" s="1"/>
  <c r="AD31" i="9"/>
  <c r="AF31" i="9" s="1"/>
  <c r="AJ31" i="9"/>
  <c r="AL31" i="9" s="1"/>
  <c r="AM27" i="9"/>
  <c r="AO27" i="9" s="1"/>
  <c r="O27" i="9"/>
  <c r="Q27" i="9" s="1"/>
  <c r="F29" i="9"/>
  <c r="L29" i="9"/>
  <c r="N29" i="9" s="1"/>
  <c r="R29" i="9"/>
  <c r="T29" i="9" s="1"/>
  <c r="X29" i="9"/>
  <c r="Z29" i="9" s="1"/>
  <c r="AD29" i="9"/>
  <c r="AF29" i="9" s="1"/>
  <c r="AJ29" i="9"/>
  <c r="AL29" i="9" s="1"/>
  <c r="AG34" i="9"/>
  <c r="AI34" i="9" s="1"/>
  <c r="U34" i="9"/>
  <c r="W34" i="9" s="1"/>
  <c r="I34" i="9"/>
  <c r="K34" i="9" s="1"/>
  <c r="AM33" i="9"/>
  <c r="AO33" i="9" s="1"/>
  <c r="AA33" i="9"/>
  <c r="AC33" i="9" s="1"/>
  <c r="I33" i="9"/>
  <c r="K33" i="9" s="1"/>
  <c r="AG31" i="9"/>
  <c r="I31" i="9"/>
  <c r="K31" i="9" s="1"/>
  <c r="AM29" i="9"/>
  <c r="AO29" i="9" s="1"/>
  <c r="O29" i="9"/>
  <c r="Q29" i="9" s="1"/>
  <c r="AD34" i="9"/>
  <c r="AF34" i="9" s="1"/>
  <c r="AG29" i="9"/>
  <c r="AI29" i="9" s="1"/>
  <c r="I29" i="9"/>
  <c r="K29" i="9" s="1"/>
  <c r="F27" i="9"/>
  <c r="L27" i="9"/>
  <c r="N27" i="9" s="1"/>
  <c r="R27" i="9"/>
  <c r="T27" i="9" s="1"/>
  <c r="X27" i="9"/>
  <c r="Z27" i="9" s="1"/>
  <c r="AD27" i="9"/>
  <c r="AF27" i="9" s="1"/>
  <c r="AJ27" i="9"/>
  <c r="AL27" i="9" s="1"/>
  <c r="AJ25" i="9"/>
  <c r="AL25" i="9" s="1"/>
  <c r="AD25" i="9"/>
  <c r="AF25" i="9" s="1"/>
  <c r="X25" i="9"/>
  <c r="Z25" i="9" s="1"/>
  <c r="R25" i="9"/>
  <c r="T25" i="9" s="1"/>
  <c r="L25" i="9"/>
  <c r="N25" i="9" s="1"/>
  <c r="AJ23" i="9"/>
  <c r="AL23" i="9" s="1"/>
  <c r="AD23" i="9"/>
  <c r="AF23" i="9" s="1"/>
  <c r="X23" i="9"/>
  <c r="Z23" i="9" s="1"/>
  <c r="R23" i="9"/>
  <c r="T23" i="9" s="1"/>
  <c r="L23" i="9"/>
  <c r="N23" i="9" s="1"/>
  <c r="AM22" i="9"/>
  <c r="AO22" i="9" s="1"/>
  <c r="AG22" i="9"/>
  <c r="AI22" i="9" s="1"/>
  <c r="AA22" i="9"/>
  <c r="AC22" i="9" s="1"/>
  <c r="U22" i="9"/>
  <c r="W22" i="9" s="1"/>
  <c r="AG21" i="9"/>
  <c r="AI21" i="9" s="1"/>
  <c r="X21" i="9"/>
  <c r="Z21" i="9" s="1"/>
  <c r="AM20" i="9"/>
  <c r="AO20" i="9" s="1"/>
  <c r="X20" i="9"/>
  <c r="Z20" i="9" s="1"/>
  <c r="H20" i="9"/>
  <c r="AG19" i="9"/>
  <c r="AI19" i="9" s="1"/>
  <c r="X19" i="9"/>
  <c r="Z19" i="9" s="1"/>
  <c r="AM18" i="9"/>
  <c r="AO18" i="9" s="1"/>
  <c r="X18" i="9"/>
  <c r="Z18" i="9" s="1"/>
  <c r="AG17" i="9"/>
  <c r="AI17" i="9" s="1"/>
  <c r="X17" i="9"/>
  <c r="Z17" i="9" s="1"/>
  <c r="AM16" i="9"/>
  <c r="AO16" i="9" s="1"/>
  <c r="X16" i="9"/>
  <c r="Z16" i="9" s="1"/>
  <c r="AG14" i="9"/>
  <c r="AI14" i="9" s="1"/>
  <c r="I14" i="9"/>
  <c r="K14" i="9" s="1"/>
  <c r="N16" i="9"/>
  <c r="F14" i="9"/>
  <c r="L14" i="9"/>
  <c r="N14" i="9" s="1"/>
  <c r="R14" i="9"/>
  <c r="T14" i="9" s="1"/>
  <c r="X14" i="9"/>
  <c r="Z14" i="9" s="1"/>
  <c r="AD14" i="9"/>
  <c r="AF14" i="9" s="1"/>
  <c r="AJ14" i="9"/>
  <c r="AL14" i="9" s="1"/>
  <c r="H8" i="9"/>
  <c r="AM14" i="9"/>
  <c r="AO14" i="9" s="1"/>
  <c r="O14" i="9"/>
  <c r="Q14" i="9" s="1"/>
  <c r="F12" i="9"/>
  <c r="L12" i="9"/>
  <c r="N12" i="9" s="1"/>
  <c r="R12" i="9"/>
  <c r="T12" i="9" s="1"/>
  <c r="X12" i="9"/>
  <c r="Z12" i="9" s="1"/>
  <c r="AD12" i="9"/>
  <c r="AF12" i="9" s="1"/>
  <c r="AJ12" i="9"/>
  <c r="AL12" i="9" s="1"/>
  <c r="AJ10" i="9"/>
  <c r="AL10" i="9" s="1"/>
  <c r="AD10" i="9"/>
  <c r="AF10" i="9" s="1"/>
  <c r="X10" i="9"/>
  <c r="Z10" i="9" s="1"/>
  <c r="R10" i="9"/>
  <c r="T10" i="9" s="1"/>
  <c r="L10" i="9"/>
  <c r="N10" i="9" s="1"/>
  <c r="AJ8" i="9"/>
  <c r="AL8" i="9" s="1"/>
  <c r="AD8" i="9"/>
  <c r="AF8" i="9" s="1"/>
  <c r="X8" i="9"/>
  <c r="Z8" i="9" s="1"/>
  <c r="R8" i="9"/>
  <c r="T8" i="9" s="1"/>
  <c r="L8" i="9"/>
  <c r="N8" i="9" s="1"/>
  <c r="X61" i="9" l="1"/>
  <c r="Z61" i="9" s="1"/>
  <c r="X44" i="9"/>
  <c r="Z44" i="9" s="1"/>
  <c r="AM48" i="9"/>
  <c r="AO48" i="9" s="1"/>
  <c r="F61" i="9"/>
  <c r="H61" i="9" s="1"/>
  <c r="X56" i="9"/>
  <c r="Z56" i="9" s="1"/>
  <c r="I61" i="9"/>
  <c r="K61" i="9" s="1"/>
  <c r="AJ68" i="9"/>
  <c r="AL68" i="9" s="1"/>
  <c r="F29" i="3"/>
  <c r="U61" i="9"/>
  <c r="W61" i="9" s="1"/>
  <c r="F44" i="9"/>
  <c r="AD48" i="9"/>
  <c r="AF48" i="9" s="1"/>
  <c r="R61" i="9"/>
  <c r="T61" i="9" s="1"/>
  <c r="AM52" i="9"/>
  <c r="AO52" i="9" s="1"/>
  <c r="O56" i="9"/>
  <c r="Q56" i="9" s="1"/>
  <c r="AG44" i="9"/>
  <c r="AI44" i="9" s="1"/>
  <c r="F64" i="9"/>
  <c r="H64" i="9" s="1"/>
  <c r="AG61" i="9"/>
  <c r="AI61" i="9" s="1"/>
  <c r="X48" i="9"/>
  <c r="Z48" i="9" s="1"/>
  <c r="O61" i="9"/>
  <c r="Q61" i="9" s="1"/>
  <c r="O64" i="9"/>
  <c r="Q64" i="9" s="1"/>
  <c r="X46" i="9"/>
  <c r="Z46" i="9" s="1"/>
  <c r="F48" i="9"/>
  <c r="H48" i="9" s="1"/>
  <c r="I64" i="9"/>
  <c r="K64" i="9" s="1"/>
  <c r="AJ61" i="9"/>
  <c r="AL61" i="9" s="1"/>
  <c r="I67" i="9"/>
  <c r="K67" i="9" s="1"/>
  <c r="X52" i="9"/>
  <c r="Z52" i="9" s="1"/>
  <c r="R68" i="9"/>
  <c r="T68" i="9" s="1"/>
  <c r="AA44" i="9"/>
  <c r="AC44" i="9" s="1"/>
  <c r="L56" i="9"/>
  <c r="N56" i="9" s="1"/>
  <c r="U67" i="9"/>
  <c r="W67" i="9" s="1"/>
  <c r="U52" i="9"/>
  <c r="W52" i="9" s="1"/>
  <c r="I56" i="9"/>
  <c r="K56" i="9" s="1"/>
  <c r="F56" i="9"/>
  <c r="H56" i="9" s="1"/>
  <c r="O44" i="9"/>
  <c r="Q44" i="9" s="1"/>
  <c r="R67" i="9"/>
  <c r="T67" i="9" s="1"/>
  <c r="AG60" i="9"/>
  <c r="AI60" i="9" s="1"/>
  <c r="AD44" i="9"/>
  <c r="AF44" i="9" s="1"/>
  <c r="AA46" i="9"/>
  <c r="AC46" i="9" s="1"/>
  <c r="AA60" i="9"/>
  <c r="AC60" i="9" s="1"/>
  <c r="U60" i="9"/>
  <c r="W60" i="9" s="1"/>
  <c r="AD52" i="9"/>
  <c r="AF52" i="9" s="1"/>
  <c r="AJ56" i="9"/>
  <c r="AL56" i="9" s="1"/>
  <c r="AG56" i="9"/>
  <c r="AI56" i="9" s="1"/>
  <c r="AD68" i="9"/>
  <c r="AF68" i="9" s="1"/>
  <c r="I68" i="9"/>
  <c r="K68" i="9" s="1"/>
  <c r="AP13" i="9"/>
  <c r="AR13" i="9" s="1"/>
  <c r="AP9" i="9"/>
  <c r="AR9" i="9" s="1"/>
  <c r="X60" i="9"/>
  <c r="Z60" i="9" s="1"/>
  <c r="O67" i="9"/>
  <c r="Q67" i="9" s="1"/>
  <c r="AA52" i="9"/>
  <c r="AC52" i="9" s="1"/>
  <c r="O52" i="9"/>
  <c r="Q52" i="9" s="1"/>
  <c r="L52" i="9"/>
  <c r="N52" i="9" s="1"/>
  <c r="AG68" i="9"/>
  <c r="AI68" i="9" s="1"/>
  <c r="O68" i="9"/>
  <c r="Q68" i="9" s="1"/>
  <c r="L67" i="9"/>
  <c r="N67" i="9" s="1"/>
  <c r="AP32" i="9"/>
  <c r="AR32" i="9" s="1"/>
  <c r="AP24" i="9"/>
  <c r="AR24" i="9" s="1"/>
  <c r="R44" i="9"/>
  <c r="T44" i="9" s="1"/>
  <c r="AM44" i="9"/>
  <c r="AO44" i="9" s="1"/>
  <c r="R60" i="9"/>
  <c r="T60" i="9" s="1"/>
  <c r="I60" i="9"/>
  <c r="K60" i="9" s="1"/>
  <c r="O60" i="9"/>
  <c r="Q60" i="9" s="1"/>
  <c r="X67" i="9"/>
  <c r="Z67" i="9" s="1"/>
  <c r="R52" i="9"/>
  <c r="T52" i="9" s="1"/>
  <c r="F52" i="9"/>
  <c r="H52" i="9" s="1"/>
  <c r="U44" i="9"/>
  <c r="W44" i="9" s="1"/>
  <c r="X68" i="9"/>
  <c r="Z68" i="9" s="1"/>
  <c r="AM68" i="9"/>
  <c r="AO68" i="9" s="1"/>
  <c r="AJ67" i="9"/>
  <c r="AL67" i="9" s="1"/>
  <c r="F60" i="9"/>
  <c r="H60" i="9" s="1"/>
  <c r="L60" i="9"/>
  <c r="N60" i="9" s="1"/>
  <c r="AM67" i="9"/>
  <c r="AO67" i="9" s="1"/>
  <c r="AA68" i="9"/>
  <c r="AC68" i="9" s="1"/>
  <c r="AJ44" i="9"/>
  <c r="AL44" i="9" s="1"/>
  <c r="L44" i="9"/>
  <c r="N44" i="9" s="1"/>
  <c r="AM60" i="9"/>
  <c r="AO60" i="9" s="1"/>
  <c r="AD60" i="9"/>
  <c r="AF60" i="9" s="1"/>
  <c r="I52" i="9"/>
  <c r="K52" i="9" s="1"/>
  <c r="AD67" i="9"/>
  <c r="AF67" i="9" s="1"/>
  <c r="F67" i="9"/>
  <c r="AG67" i="9"/>
  <c r="AI67" i="9" s="1"/>
  <c r="AJ52" i="9"/>
  <c r="AL52" i="9" s="1"/>
  <c r="F68" i="9"/>
  <c r="H68" i="9" s="1"/>
  <c r="U46" i="9"/>
  <c r="W46" i="9" s="1"/>
  <c r="O46" i="9"/>
  <c r="Q46" i="9" s="1"/>
  <c r="R46" i="9"/>
  <c r="T46" i="9" s="1"/>
  <c r="AG46" i="9"/>
  <c r="AJ46" i="9"/>
  <c r="AL46" i="9" s="1"/>
  <c r="L46" i="9"/>
  <c r="N46" i="9" s="1"/>
  <c r="AP26" i="9"/>
  <c r="AR26" i="9" s="1"/>
  <c r="AM46" i="9"/>
  <c r="AO46" i="9" s="1"/>
  <c r="AD46" i="9"/>
  <c r="AF46" i="9" s="1"/>
  <c r="F46" i="9"/>
  <c r="H46" i="9" s="1"/>
  <c r="AA48" i="9"/>
  <c r="AC48" i="9" s="1"/>
  <c r="AD61" i="9"/>
  <c r="AF61" i="9" s="1"/>
  <c r="U48" i="9"/>
  <c r="W48" i="9" s="1"/>
  <c r="O48" i="9"/>
  <c r="Q48" i="9" s="1"/>
  <c r="R48" i="9"/>
  <c r="T48" i="9" s="1"/>
  <c r="AG48" i="9"/>
  <c r="AI48" i="9" s="1"/>
  <c r="AJ48" i="9"/>
  <c r="AL48" i="9" s="1"/>
  <c r="L48" i="9"/>
  <c r="N48" i="9" s="1"/>
  <c r="AP28" i="9"/>
  <c r="AR28" i="9" s="1"/>
  <c r="AA64" i="9"/>
  <c r="AC64" i="9" s="1"/>
  <c r="AM64" i="9"/>
  <c r="AO64" i="9" s="1"/>
  <c r="U64" i="9"/>
  <c r="W64" i="9" s="1"/>
  <c r="R64" i="9"/>
  <c r="T64" i="9" s="1"/>
  <c r="AJ64" i="9"/>
  <c r="AL64" i="9" s="1"/>
  <c r="AP30" i="9"/>
  <c r="AR30" i="9" s="1"/>
  <c r="AG64" i="9"/>
  <c r="AI64" i="9" s="1"/>
  <c r="AD64" i="9"/>
  <c r="AF64" i="9" s="1"/>
  <c r="X64" i="9"/>
  <c r="Z64" i="9" s="1"/>
  <c r="AI62" i="9"/>
  <c r="X62" i="9"/>
  <c r="Z62" i="9" s="1"/>
  <c r="AP11" i="9"/>
  <c r="AR11" i="9" s="1"/>
  <c r="AI31" i="9"/>
  <c r="AI27" i="9"/>
  <c r="AP55" i="9"/>
  <c r="AR55" i="9" s="1"/>
  <c r="AI47" i="9"/>
  <c r="AI57" i="9"/>
  <c r="AP51" i="9"/>
  <c r="AR51" i="9" s="1"/>
  <c r="AI58" i="9"/>
  <c r="AI49" i="9"/>
  <c r="AI51" i="9"/>
  <c r="AP53" i="9"/>
  <c r="AR53" i="9" s="1"/>
  <c r="AP49" i="9"/>
  <c r="AR49" i="9" s="1"/>
  <c r="F62" i="9"/>
  <c r="H62" i="9" s="1"/>
  <c r="U62" i="9"/>
  <c r="W62" i="9" s="1"/>
  <c r="AJ62" i="9"/>
  <c r="AL62" i="9" s="1"/>
  <c r="O62" i="9"/>
  <c r="Q62" i="9" s="1"/>
  <c r="AD62" i="9"/>
  <c r="AF62" i="9" s="1"/>
  <c r="L62" i="9"/>
  <c r="N62" i="9" s="1"/>
  <c r="AM62" i="9"/>
  <c r="AO62" i="9" s="1"/>
  <c r="AA62" i="9"/>
  <c r="AC62" i="9" s="1"/>
  <c r="R62" i="9"/>
  <c r="T62" i="9" s="1"/>
  <c r="I70" i="9"/>
  <c r="K70" i="9" s="1"/>
  <c r="R70" i="9"/>
  <c r="T70" i="9" s="1"/>
  <c r="AA70" i="9"/>
  <c r="AC70" i="9" s="1"/>
  <c r="AJ70" i="9"/>
  <c r="AL70" i="9" s="1"/>
  <c r="L70" i="9"/>
  <c r="N70" i="9" s="1"/>
  <c r="U70" i="9"/>
  <c r="W70" i="9" s="1"/>
  <c r="AM70" i="9"/>
  <c r="AO70" i="9" s="1"/>
  <c r="O70" i="9"/>
  <c r="Q70" i="9" s="1"/>
  <c r="AD70" i="9"/>
  <c r="AF70" i="9" s="1"/>
  <c r="X70" i="9"/>
  <c r="Z70" i="9" s="1"/>
  <c r="AG70" i="9"/>
  <c r="AI70" i="9" s="1"/>
  <c r="F70" i="9"/>
  <c r="AP69" i="9"/>
  <c r="AR69" i="9" s="1"/>
  <c r="H69" i="9"/>
  <c r="AP71" i="9"/>
  <c r="AR71" i="9" s="1"/>
  <c r="H71" i="9"/>
  <c r="L50" i="9"/>
  <c r="N50" i="9" s="1"/>
  <c r="AD50" i="9"/>
  <c r="AF50" i="9" s="1"/>
  <c r="AM50" i="9"/>
  <c r="AO50" i="9" s="1"/>
  <c r="F50" i="9"/>
  <c r="U50" i="9"/>
  <c r="W50" i="9" s="1"/>
  <c r="O50" i="9"/>
  <c r="Q50" i="9" s="1"/>
  <c r="X50" i="9"/>
  <c r="Z50" i="9" s="1"/>
  <c r="AG50" i="9"/>
  <c r="I50" i="9"/>
  <c r="K50" i="9" s="1"/>
  <c r="R50" i="9"/>
  <c r="T50" i="9" s="1"/>
  <c r="AA50" i="9"/>
  <c r="AC50" i="9" s="1"/>
  <c r="AJ50" i="9"/>
  <c r="AL50" i="9" s="1"/>
  <c r="AP15" i="9"/>
  <c r="AR15" i="9" s="1"/>
  <c r="AP35" i="9"/>
  <c r="AR35" i="9" s="1"/>
  <c r="AP45" i="9"/>
  <c r="AR45" i="9" s="1"/>
  <c r="AP65" i="9"/>
  <c r="AR65" i="9" s="1"/>
  <c r="AP47" i="9"/>
  <c r="AR47" i="9" s="1"/>
  <c r="I58" i="9"/>
  <c r="K58" i="9" s="1"/>
  <c r="R58" i="9"/>
  <c r="T58" i="9" s="1"/>
  <c r="L58" i="9"/>
  <c r="N58" i="9" s="1"/>
  <c r="AJ58" i="9"/>
  <c r="AL58" i="9" s="1"/>
  <c r="F58" i="9"/>
  <c r="H58" i="9" s="1"/>
  <c r="AD58" i="9"/>
  <c r="AF58" i="9" s="1"/>
  <c r="O58" i="9"/>
  <c r="Q58" i="9" s="1"/>
  <c r="AM58" i="9"/>
  <c r="AO58" i="9" s="1"/>
  <c r="U58" i="9"/>
  <c r="W58" i="9" s="1"/>
  <c r="AA58" i="9"/>
  <c r="AC58" i="9" s="1"/>
  <c r="O66" i="9"/>
  <c r="Q66" i="9" s="1"/>
  <c r="AD66" i="9"/>
  <c r="AF66" i="9" s="1"/>
  <c r="F66" i="9"/>
  <c r="X66" i="9"/>
  <c r="Z66" i="9" s="1"/>
  <c r="AG66" i="9"/>
  <c r="I66" i="9"/>
  <c r="K66" i="9" s="1"/>
  <c r="R66" i="9"/>
  <c r="T66" i="9" s="1"/>
  <c r="AA66" i="9"/>
  <c r="AC66" i="9" s="1"/>
  <c r="AJ66" i="9"/>
  <c r="AL66" i="9" s="1"/>
  <c r="L66" i="9"/>
  <c r="N66" i="9" s="1"/>
  <c r="U66" i="9"/>
  <c r="W66" i="9" s="1"/>
  <c r="AM66" i="9"/>
  <c r="AO66" i="9" s="1"/>
  <c r="AP21" i="9"/>
  <c r="AR21" i="9" s="1"/>
  <c r="AP57" i="9"/>
  <c r="AR57" i="9" s="1"/>
  <c r="I54" i="9"/>
  <c r="K54" i="9" s="1"/>
  <c r="R54" i="9"/>
  <c r="T54" i="9" s="1"/>
  <c r="AA54" i="9"/>
  <c r="AC54" i="9" s="1"/>
  <c r="AJ54" i="9"/>
  <c r="AL54" i="9" s="1"/>
  <c r="L54" i="9"/>
  <c r="N54" i="9" s="1"/>
  <c r="AD54" i="9"/>
  <c r="AF54" i="9" s="1"/>
  <c r="U54" i="9"/>
  <c r="W54" i="9" s="1"/>
  <c r="AM54" i="9"/>
  <c r="AO54" i="9" s="1"/>
  <c r="AG54" i="9"/>
  <c r="F54" i="9"/>
  <c r="O54" i="9"/>
  <c r="Q54" i="9" s="1"/>
  <c r="X54" i="9"/>
  <c r="Z54" i="9" s="1"/>
  <c r="K62" i="9"/>
  <c r="H44" i="9"/>
  <c r="AP59" i="9"/>
  <c r="AR59" i="9" s="1"/>
  <c r="H63" i="9"/>
  <c r="AP63" i="9"/>
  <c r="AR63" i="9" s="1"/>
  <c r="AP8" i="9"/>
  <c r="AR8" i="9" s="1"/>
  <c r="AP10" i="9"/>
  <c r="AR10" i="9" s="1"/>
  <c r="AP19" i="9"/>
  <c r="AR19" i="9" s="1"/>
  <c r="H27" i="9"/>
  <c r="AP27" i="9"/>
  <c r="AR27" i="9" s="1"/>
  <c r="AP16" i="9"/>
  <c r="AR16" i="9" s="1"/>
  <c r="H33" i="9"/>
  <c r="AP33" i="9"/>
  <c r="AR33" i="9" s="1"/>
  <c r="AP22" i="9"/>
  <c r="AR22" i="9" s="1"/>
  <c r="H31" i="9"/>
  <c r="AP31" i="9"/>
  <c r="AR31" i="9" s="1"/>
  <c r="AP17" i="9"/>
  <c r="AR17" i="9" s="1"/>
  <c r="AP20" i="9"/>
  <c r="AR20" i="9" s="1"/>
  <c r="AP23" i="9"/>
  <c r="AR23" i="9" s="1"/>
  <c r="AP18" i="9"/>
  <c r="AR18" i="9" s="1"/>
  <c r="AP34" i="9"/>
  <c r="AR34" i="9" s="1"/>
  <c r="H12" i="9"/>
  <c r="AP12" i="9"/>
  <c r="AR12" i="9" s="1"/>
  <c r="H14" i="9"/>
  <c r="AP14" i="9"/>
  <c r="AR14" i="9" s="1"/>
  <c r="AP25" i="9"/>
  <c r="AR25" i="9" s="1"/>
  <c r="H29" i="9"/>
  <c r="AP29" i="9"/>
  <c r="AR29" i="9" s="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CD49" i="11"/>
  <c r="CE49" i="11"/>
  <c r="CF49" i="11"/>
  <c r="CG49" i="11"/>
  <c r="CH49" i="11"/>
  <c r="CI49" i="11"/>
  <c r="CJ49" i="11"/>
  <c r="CK49" i="11"/>
  <c r="CL49" i="11"/>
  <c r="CM49" i="11"/>
  <c r="CN49" i="11"/>
  <c r="CO49" i="11"/>
  <c r="CP49" i="11"/>
  <c r="CQ49" i="11"/>
  <c r="CR49" i="11"/>
  <c r="CS49" i="11"/>
  <c r="CT49" i="11"/>
  <c r="CU49" i="11"/>
  <c r="CV49" i="11"/>
  <c r="CW49" i="11"/>
  <c r="CX49" i="11"/>
  <c r="CY49" i="11"/>
  <c r="CZ49" i="11"/>
  <c r="DA49" i="11"/>
  <c r="DB49" i="11"/>
  <c r="DC49" i="11"/>
  <c r="DD49" i="11"/>
  <c r="DE49" i="11"/>
  <c r="DF49" i="11"/>
  <c r="DG49" i="11"/>
  <c r="DH49" i="11"/>
  <c r="DI49" i="11"/>
  <c r="DJ49" i="11"/>
  <c r="DK49" i="11"/>
  <c r="DL49" i="11"/>
  <c r="DM49" i="11"/>
  <c r="DN49" i="11"/>
  <c r="DO49" i="11"/>
  <c r="DP49" i="11"/>
  <c r="DQ49" i="11"/>
  <c r="DR49" i="11"/>
  <c r="DS49" i="11"/>
  <c r="DT49" i="11"/>
  <c r="DU49" i="11"/>
  <c r="DV49" i="11"/>
  <c r="DW49" i="11"/>
  <c r="DX49" i="11"/>
  <c r="DY49" i="11"/>
  <c r="DZ49" i="11"/>
  <c r="EA49" i="11"/>
  <c r="EB49" i="11"/>
  <c r="EC49" i="11"/>
  <c r="ED49" i="11"/>
  <c r="EE49" i="11"/>
  <c r="EF49" i="11"/>
  <c r="EG49" i="11"/>
  <c r="EH49" i="11"/>
  <c r="EI49" i="11"/>
  <c r="EJ49" i="11"/>
  <c r="EK49" i="11"/>
  <c r="EL49" i="11"/>
  <c r="EM49" i="11"/>
  <c r="EN49" i="11"/>
  <c r="EO49" i="11"/>
  <c r="EP49" i="11"/>
  <c r="EQ49" i="11"/>
  <c r="ER49" i="11"/>
  <c r="ES49" i="11"/>
  <c r="ET49" i="11"/>
  <c r="EU49" i="11"/>
  <c r="EV49" i="11"/>
  <c r="EW49" i="11"/>
  <c r="EX49" i="11"/>
  <c r="EY49" i="11"/>
  <c r="EZ49" i="11"/>
  <c r="FA49" i="11"/>
  <c r="FB49" i="11"/>
  <c r="FC49" i="11"/>
  <c r="FD49" i="11"/>
  <c r="FE49" i="11"/>
  <c r="FF49" i="11"/>
  <c r="FG49" i="11"/>
  <c r="FH49" i="11"/>
  <c r="FI49" i="11"/>
  <c r="FJ49" i="11"/>
  <c r="FK49" i="11"/>
  <c r="FL49" i="11"/>
  <c r="FM49" i="11"/>
  <c r="FN49" i="11"/>
  <c r="FO49" i="11"/>
  <c r="FP49" i="11"/>
  <c r="FQ49" i="11"/>
  <c r="FR49" i="11"/>
  <c r="FS49" i="11"/>
  <c r="FT49" i="11"/>
  <c r="FU49" i="11"/>
  <c r="FV49" i="11"/>
  <c r="FW49" i="11"/>
  <c r="FX49" i="11"/>
  <c r="FY49" i="11"/>
  <c r="FZ49" i="11"/>
  <c r="GA49" i="11"/>
  <c r="GB49" i="11"/>
  <c r="GC49" i="11"/>
  <c r="GD49" i="11"/>
  <c r="GE49" i="11"/>
  <c r="GF49" i="11"/>
  <c r="GG49" i="11"/>
  <c r="GH49" i="11"/>
  <c r="GI49" i="11"/>
  <c r="GJ49" i="11"/>
  <c r="GK49" i="11"/>
  <c r="GL49" i="11"/>
  <c r="GM49" i="11"/>
  <c r="GN49" i="11"/>
  <c r="GO49" i="11"/>
  <c r="GP49" i="11"/>
  <c r="GQ49" i="11"/>
  <c r="GR49" i="11"/>
  <c r="GS49" i="11"/>
  <c r="GT49" i="11"/>
  <c r="GU49" i="11"/>
  <c r="GV49" i="11"/>
  <c r="GW49" i="11"/>
  <c r="GX49" i="11"/>
  <c r="GY49" i="11"/>
  <c r="GZ49" i="11"/>
  <c r="HA49" i="11"/>
  <c r="HB49" i="11"/>
  <c r="HC49" i="11"/>
  <c r="HD49" i="11"/>
  <c r="HE49" i="11"/>
  <c r="HF49" i="11"/>
  <c r="HG49" i="11"/>
  <c r="HH49" i="11"/>
  <c r="HI49" i="11"/>
  <c r="HJ49" i="11"/>
  <c r="HK49" i="11"/>
  <c r="HL49" i="11"/>
  <c r="HM49" i="11"/>
  <c r="HN49" i="11"/>
  <c r="HO49" i="11"/>
  <c r="HP49" i="11"/>
  <c r="HQ49" i="11"/>
  <c r="HR49" i="11"/>
  <c r="HS49" i="11"/>
  <c r="HT49" i="11"/>
  <c r="HU49" i="11"/>
  <c r="HV49" i="11"/>
  <c r="HW49" i="11"/>
  <c r="HX49" i="11"/>
  <c r="HY49" i="11"/>
  <c r="HZ49" i="11"/>
  <c r="IA49" i="11"/>
  <c r="IB49" i="11"/>
  <c r="IC49" i="11"/>
  <c r="ID49" i="11"/>
  <c r="IE49" i="11"/>
  <c r="IF49" i="11"/>
  <c r="IG49" i="11"/>
  <c r="IH49" i="11"/>
  <c r="II49" i="11"/>
  <c r="IJ49" i="11"/>
  <c r="IK49" i="11"/>
  <c r="IL49" i="11"/>
  <c r="IM49" i="11"/>
  <c r="IN49" i="11"/>
  <c r="IO49" i="11"/>
  <c r="IP49" i="11"/>
  <c r="IQ49" i="11"/>
  <c r="IR49" i="11"/>
  <c r="IS49" i="11"/>
  <c r="IT49" i="11"/>
  <c r="IU49" i="11"/>
  <c r="IV49" i="11"/>
  <c r="IW49" i="11"/>
  <c r="IX49" i="11"/>
  <c r="IY49" i="11"/>
  <c r="IZ49" i="11"/>
  <c r="JA49" i="11"/>
  <c r="JB49" i="11"/>
  <c r="JC49" i="11"/>
  <c r="JD49" i="11"/>
  <c r="JE49" i="11"/>
  <c r="JF49" i="11"/>
  <c r="JG49" i="11"/>
  <c r="JH49" i="11"/>
  <c r="JI49" i="11"/>
  <c r="JJ49" i="11"/>
  <c r="JK49" i="11"/>
  <c r="JL49" i="11"/>
  <c r="JM49" i="11"/>
  <c r="JN49" i="11"/>
  <c r="JO49" i="11"/>
  <c r="JP49" i="11"/>
  <c r="JQ49" i="11"/>
  <c r="JR49" i="11"/>
  <c r="JS49" i="11"/>
  <c r="JT49" i="11"/>
  <c r="JU49" i="11"/>
  <c r="JV49" i="11"/>
  <c r="JW49" i="11"/>
  <c r="JX49" i="11"/>
  <c r="JY49" i="11"/>
  <c r="JZ49" i="11"/>
  <c r="KA49" i="11"/>
  <c r="KB49" i="11"/>
  <c r="KC49" i="11"/>
  <c r="KD49" i="11"/>
  <c r="KE49" i="11"/>
  <c r="KF49" i="11"/>
  <c r="KG49" i="11"/>
  <c r="KH49" i="11"/>
  <c r="KI49" i="11"/>
  <c r="I49" i="11"/>
  <c r="C4" i="15"/>
  <c r="G6" i="11"/>
  <c r="AP56" i="9" l="1"/>
  <c r="AR56" i="9" s="1"/>
  <c r="AP44" i="9"/>
  <c r="AR44" i="9" s="1"/>
  <c r="AP67" i="9"/>
  <c r="AR67" i="9" s="1"/>
  <c r="AP46" i="9"/>
  <c r="AR46" i="9" s="1"/>
  <c r="AP52" i="9"/>
  <c r="AR52" i="9" s="1"/>
  <c r="H67" i="9"/>
  <c r="AP68" i="9"/>
  <c r="AR68" i="9" s="1"/>
  <c r="AP60" i="9"/>
  <c r="AR60" i="9" s="1"/>
  <c r="AP61" i="9"/>
  <c r="AR61" i="9" s="1"/>
  <c r="AI46" i="9"/>
  <c r="AP48" i="9"/>
  <c r="AR48" i="9" s="1"/>
  <c r="AP64" i="9"/>
  <c r="AR64" i="9" s="1"/>
  <c r="AI66" i="9"/>
  <c r="AI54" i="9"/>
  <c r="AI50" i="9"/>
  <c r="AP58" i="9"/>
  <c r="AR58" i="9" s="1"/>
  <c r="AP62" i="9"/>
  <c r="AR62" i="9" s="1"/>
  <c r="H54" i="9"/>
  <c r="AP54" i="9"/>
  <c r="AR54" i="9" s="1"/>
  <c r="H50" i="9"/>
  <c r="AP50" i="9"/>
  <c r="AR50" i="9" s="1"/>
  <c r="H70" i="9"/>
  <c r="AP70" i="9"/>
  <c r="AR70" i="9" s="1"/>
  <c r="H66" i="9"/>
  <c r="AP66" i="9"/>
  <c r="AR66" i="9" s="1"/>
  <c r="G49" i="11"/>
  <c r="E4" i="15" l="1"/>
  <c r="D4" i="15"/>
  <c r="B4" i="15"/>
  <c r="B2" i="15"/>
  <c r="C2" i="14"/>
  <c r="D2" i="9" s="1"/>
  <c r="C2" i="2" s="1"/>
  <c r="B2" i="14"/>
  <c r="C2" i="9" s="1"/>
  <c r="B2" i="2" s="1"/>
  <c r="C2" i="11"/>
  <c r="C2" i="13" s="1"/>
  <c r="B2" i="11"/>
  <c r="B2" i="13" s="1"/>
  <c r="E7" i="14"/>
  <c r="D7" i="14"/>
  <c r="B7" i="14"/>
  <c r="E5" i="14"/>
  <c r="D5" i="14"/>
  <c r="C5" i="14"/>
  <c r="B5" i="14"/>
  <c r="Q11" i="3" l="1"/>
  <c r="R11" i="3" s="1"/>
  <c r="Q12" i="3"/>
  <c r="R12" i="3" s="1"/>
  <c r="Q13" i="3"/>
  <c r="R13" i="3" s="1"/>
  <c r="Q9" i="3"/>
  <c r="R9" i="3" s="1"/>
  <c r="Q27" i="3"/>
  <c r="R27" i="3" s="1"/>
  <c r="Q25" i="3"/>
  <c r="R25" i="3" s="1"/>
  <c r="Q30" i="3"/>
  <c r="R30" i="3" s="1"/>
  <c r="Q33" i="3"/>
  <c r="R33" i="3" s="1"/>
  <c r="Q21" i="3"/>
  <c r="R21" i="3" s="1"/>
  <c r="Q26" i="3"/>
  <c r="R26" i="3" s="1"/>
  <c r="Q18" i="3"/>
  <c r="R18" i="3" s="1"/>
  <c r="Q29" i="3"/>
  <c r="R29" i="3" s="1"/>
  <c r="Q36" i="3"/>
  <c r="R36" i="3" s="1"/>
  <c r="Q24" i="3"/>
  <c r="R24" i="3" s="1"/>
  <c r="Q17" i="3"/>
  <c r="R17" i="3" s="1"/>
  <c r="Q32" i="3"/>
  <c r="R32" i="3" s="1"/>
  <c r="Q34" i="3"/>
  <c r="R34" i="3" s="1"/>
  <c r="Q22" i="3"/>
  <c r="R22" i="3" s="1"/>
  <c r="Q19" i="3"/>
  <c r="R19" i="3" s="1"/>
  <c r="Q31" i="3"/>
  <c r="R31" i="3" s="1"/>
  <c r="Q23" i="3"/>
  <c r="R23" i="3" s="1"/>
  <c r="Q16" i="3"/>
  <c r="R16" i="3" s="1"/>
  <c r="Q14" i="3"/>
  <c r="R14" i="3" s="1"/>
  <c r="Q10" i="3"/>
  <c r="R10" i="3" s="1"/>
  <c r="Q28" i="3"/>
  <c r="R28" i="3" s="1"/>
  <c r="Q35" i="3"/>
  <c r="R35" i="3" s="1"/>
  <c r="Q20" i="3"/>
  <c r="R20" i="3" s="1"/>
  <c r="Q15" i="3"/>
  <c r="R15" i="3" s="1"/>
  <c r="F4" i="15"/>
  <c r="G4" i="15"/>
  <c r="H49" i="11" l="1"/>
  <c r="F49" i="11" s="1"/>
  <c r="S42" i="2" l="1"/>
  <c r="AM43" i="9" s="1"/>
  <c r="AO43" i="9" s="1"/>
  <c r="R42" i="2"/>
  <c r="AJ43" i="9" s="1"/>
  <c r="AL43" i="9" s="1"/>
  <c r="Q42" i="2"/>
  <c r="AG43" i="9" s="1"/>
  <c r="AI43" i="9" s="1"/>
  <c r="P42" i="2"/>
  <c r="AD43" i="9" s="1"/>
  <c r="AF43" i="9" s="1"/>
  <c r="O42" i="2"/>
  <c r="AA43" i="9" s="1"/>
  <c r="AC43" i="9" s="1"/>
  <c r="N42" i="2"/>
  <c r="X43" i="9" s="1"/>
  <c r="Z43" i="9" s="1"/>
  <c r="M42" i="2"/>
  <c r="U43" i="9" s="1"/>
  <c r="W43" i="9" s="1"/>
  <c r="L42" i="2"/>
  <c r="R43" i="9" s="1"/>
  <c r="T43" i="9" s="1"/>
  <c r="K42" i="2"/>
  <c r="O43" i="9" s="1"/>
  <c r="Q43" i="9" s="1"/>
  <c r="J42" i="2"/>
  <c r="L43" i="9" s="1"/>
  <c r="N43" i="9" s="1"/>
  <c r="I42" i="2"/>
  <c r="I43" i="9" s="1"/>
  <c r="K43" i="9" s="1"/>
  <c r="H42" i="2"/>
  <c r="F43" i="9" s="1"/>
  <c r="S41" i="2"/>
  <c r="R41" i="2"/>
  <c r="Q41" i="2"/>
  <c r="P41" i="2"/>
  <c r="O41" i="2"/>
  <c r="N41" i="2"/>
  <c r="M41" i="2"/>
  <c r="L41" i="2"/>
  <c r="K41" i="2"/>
  <c r="J41" i="2"/>
  <c r="I41" i="2"/>
  <c r="H41" i="2"/>
  <c r="H43" i="9" l="1"/>
  <c r="AP43" i="9"/>
  <c r="AR43" i="9" s="1"/>
  <c r="AD8" i="13"/>
  <c r="AE8" i="13"/>
  <c r="AD9" i="13"/>
  <c r="AE9" i="13"/>
  <c r="AD10" i="13"/>
  <c r="AE10" i="13"/>
  <c r="AD11" i="13"/>
  <c r="AE11" i="13"/>
  <c r="AD12" i="13"/>
  <c r="AE12" i="13"/>
  <c r="AD13" i="13"/>
  <c r="AE13" i="13"/>
  <c r="AD14" i="13"/>
  <c r="AE14" i="13"/>
  <c r="AD23" i="13"/>
  <c r="AE23" i="13"/>
  <c r="AD24" i="13"/>
  <c r="AE24" i="13"/>
  <c r="AD25" i="13"/>
  <c r="AE25" i="13"/>
  <c r="AD26" i="13"/>
  <c r="AE26" i="13"/>
  <c r="AD27" i="13"/>
  <c r="AE27" i="13"/>
  <c r="AD28" i="13"/>
  <c r="AE28" i="13"/>
  <c r="AD29" i="13"/>
  <c r="AE29" i="13"/>
  <c r="AD30" i="13"/>
  <c r="AE30" i="13"/>
  <c r="AD31" i="13"/>
  <c r="AE31" i="13"/>
  <c r="AD32" i="13"/>
  <c r="AE32" i="13"/>
  <c r="AD33" i="13"/>
  <c r="AE33" i="13"/>
  <c r="AD34" i="13"/>
  <c r="AE34" i="13"/>
  <c r="AD35" i="13"/>
  <c r="AE35" i="13"/>
  <c r="AD36" i="13"/>
  <c r="AE36" i="13"/>
  <c r="AE7" i="13"/>
  <c r="AD7" i="13"/>
  <c r="P4" i="3"/>
  <c r="Q4" i="15" s="1"/>
  <c r="B8" i="13"/>
  <c r="B9" i="13"/>
  <c r="B10" i="13"/>
  <c r="B11" i="13"/>
  <c r="B12" i="13"/>
  <c r="B13" i="13"/>
  <c r="B14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7" i="13"/>
  <c r="E5" i="13"/>
  <c r="D5" i="13"/>
  <c r="C5" i="13"/>
  <c r="B5" i="13"/>
  <c r="B34" i="11" l="1"/>
  <c r="B77" i="11" s="1"/>
  <c r="B33" i="11"/>
  <c r="B76" i="11" s="1"/>
  <c r="B32" i="11"/>
  <c r="B75" i="11" s="1"/>
  <c r="B31" i="11"/>
  <c r="B74" i="11" s="1"/>
  <c r="B30" i="11"/>
  <c r="B73" i="11" s="1"/>
  <c r="B29" i="11"/>
  <c r="B72" i="11" s="1"/>
  <c r="B28" i="11"/>
  <c r="B71" i="11" s="1"/>
  <c r="B27" i="11"/>
  <c r="B70" i="11" s="1"/>
  <c r="B26" i="11"/>
  <c r="B69" i="11" s="1"/>
  <c r="B25" i="11"/>
  <c r="B68" i="11" s="1"/>
  <c r="B24" i="11"/>
  <c r="B67" i="11" s="1"/>
  <c r="B23" i="11"/>
  <c r="B66" i="11" s="1"/>
  <c r="B15" i="11"/>
  <c r="B58" i="11" s="1"/>
  <c r="B14" i="11"/>
  <c r="B57" i="11" s="1"/>
  <c r="B13" i="11"/>
  <c r="B56" i="11" s="1"/>
  <c r="B12" i="11"/>
  <c r="B55" i="11" s="1"/>
  <c r="B11" i="11"/>
  <c r="B54" i="11" s="1"/>
  <c r="B10" i="11"/>
  <c r="B53" i="11" s="1"/>
  <c r="B9" i="11"/>
  <c r="B52" i="11" s="1"/>
  <c r="B8" i="11"/>
  <c r="B51" i="11" s="1"/>
  <c r="B7" i="11"/>
  <c r="B50" i="11" s="1"/>
  <c r="B6" i="11"/>
  <c r="B49" i="11" s="1"/>
  <c r="E5" i="11"/>
  <c r="D5" i="11"/>
  <c r="C5" i="11"/>
  <c r="B5" i="11"/>
  <c r="E48" i="11" l="1"/>
  <c r="B48" i="11"/>
  <c r="C48" i="11"/>
  <c r="D48" i="11"/>
  <c r="G9" i="2"/>
  <c r="F11" i="3" s="1"/>
  <c r="G10" i="2"/>
  <c r="F12" i="3" s="1"/>
  <c r="G11" i="2"/>
  <c r="F13" i="3" s="1"/>
  <c r="G12" i="2"/>
  <c r="F14" i="3" s="1"/>
  <c r="G13" i="2"/>
  <c r="F15" i="3" s="1"/>
  <c r="G14" i="2"/>
  <c r="F16" i="3" s="1"/>
  <c r="G15" i="2"/>
  <c r="F17" i="3" s="1"/>
  <c r="G16" i="2"/>
  <c r="F18" i="3" s="1"/>
  <c r="G17" i="2"/>
  <c r="F19" i="3" s="1"/>
  <c r="G18" i="2"/>
  <c r="F20" i="3" s="1"/>
  <c r="G19" i="2"/>
  <c r="F21" i="3" s="1"/>
  <c r="G20" i="2"/>
  <c r="F22" i="3" s="1"/>
  <c r="G21" i="2"/>
  <c r="F23" i="3" s="1"/>
  <c r="G22" i="2"/>
  <c r="F24" i="3" s="1"/>
  <c r="G30" i="2"/>
  <c r="F32" i="3" s="1"/>
  <c r="G31" i="2"/>
  <c r="F33" i="3" s="1"/>
  <c r="G32" i="2"/>
  <c r="F34" i="3" s="1"/>
  <c r="A42" i="2" l="1"/>
  <c r="A43" i="2"/>
  <c r="A41" i="2"/>
  <c r="G42" i="2"/>
  <c r="G41" i="2"/>
  <c r="B28" i="9"/>
  <c r="B63" i="9" s="1"/>
  <c r="AQ42" i="9"/>
  <c r="AQ7" i="9" l="1"/>
  <c r="E8" i="3" l="1"/>
  <c r="E6" i="15" s="1"/>
  <c r="B7" i="9" l="1"/>
  <c r="B42" i="9" s="1"/>
  <c r="B8" i="9"/>
  <c r="B43" i="9" s="1"/>
  <c r="B9" i="9"/>
  <c r="B44" i="9" s="1"/>
  <c r="B10" i="9"/>
  <c r="B45" i="9" s="1"/>
  <c r="B11" i="9"/>
  <c r="B46" i="9" s="1"/>
  <c r="B12" i="9"/>
  <c r="B47" i="9" s="1"/>
  <c r="B13" i="9"/>
  <c r="B48" i="9" s="1"/>
  <c r="B14" i="9"/>
  <c r="B49" i="9" s="1"/>
  <c r="B15" i="9"/>
  <c r="B50" i="9" s="1"/>
  <c r="B16" i="9"/>
  <c r="B51" i="9" s="1"/>
  <c r="B17" i="9"/>
  <c r="B52" i="9" s="1"/>
  <c r="B18" i="9"/>
  <c r="B53" i="9" s="1"/>
  <c r="B19" i="9"/>
  <c r="B54" i="9" s="1"/>
  <c r="B20" i="9"/>
  <c r="B55" i="9" s="1"/>
  <c r="B21" i="9"/>
  <c r="B56" i="9" s="1"/>
  <c r="B22" i="9"/>
  <c r="B57" i="9" s="1"/>
  <c r="B23" i="9"/>
  <c r="B58" i="9" s="1"/>
  <c r="B24" i="9"/>
  <c r="B59" i="9" s="1"/>
  <c r="B25" i="9"/>
  <c r="B60" i="9" s="1"/>
  <c r="B26" i="9"/>
  <c r="B61" i="9" s="1"/>
  <c r="B27" i="9"/>
  <c r="B62" i="9" s="1"/>
  <c r="C5" i="9"/>
  <c r="C40" i="9" s="1"/>
  <c r="B5" i="9"/>
  <c r="B40" i="9" s="1"/>
  <c r="E7" i="9"/>
  <c r="E42" i="9" s="1"/>
  <c r="D7" i="9"/>
  <c r="D42" i="9" l="1"/>
  <c r="H9" i="3"/>
  <c r="H15" i="3"/>
  <c r="H27" i="3"/>
  <c r="H12" i="3"/>
  <c r="H16" i="3"/>
  <c r="H20" i="3"/>
  <c r="H11" i="3"/>
  <c r="H17" i="3"/>
  <c r="H19" i="3"/>
  <c r="H13" i="3"/>
  <c r="G19" i="3"/>
  <c r="G34" i="3"/>
  <c r="H14" i="3"/>
  <c r="H35" i="3"/>
  <c r="H30" i="3"/>
  <c r="G14" i="3"/>
  <c r="G13" i="3"/>
  <c r="H23" i="3"/>
  <c r="H22" i="3"/>
  <c r="H21" i="3"/>
  <c r="H33" i="3"/>
  <c r="H10" i="3"/>
  <c r="H28" i="3"/>
  <c r="G9" i="3"/>
  <c r="G21" i="3"/>
  <c r="G24" i="3"/>
  <c r="H36" i="3"/>
  <c r="H25" i="3"/>
  <c r="G10" i="3"/>
  <c r="H34" i="3"/>
  <c r="G17" i="3"/>
  <c r="G11" i="3"/>
  <c r="G25" i="3"/>
  <c r="G33" i="3"/>
  <c r="H26" i="3"/>
  <c r="H29" i="3"/>
  <c r="G27" i="3"/>
  <c r="H24" i="3"/>
  <c r="H32" i="3"/>
  <c r="G26" i="3"/>
  <c r="H18" i="3"/>
  <c r="H31" i="3"/>
  <c r="G32" i="3"/>
  <c r="G22" i="3"/>
  <c r="G29" i="3"/>
  <c r="G18" i="3"/>
  <c r="G16" i="3"/>
  <c r="G36" i="3"/>
  <c r="G15" i="3"/>
  <c r="G23" i="3"/>
  <c r="G20" i="3"/>
  <c r="G31" i="3"/>
  <c r="G28" i="3"/>
  <c r="G35" i="3"/>
  <c r="G12" i="3"/>
  <c r="G30" i="3"/>
  <c r="D7" i="13"/>
  <c r="D6" i="11"/>
  <c r="F7" i="9"/>
  <c r="C7" i="13"/>
  <c r="C6" i="11"/>
  <c r="C49" i="11" s="1"/>
  <c r="E7" i="13"/>
  <c r="E6" i="11"/>
  <c r="E49" i="11" s="1"/>
  <c r="AM7" i="9"/>
  <c r="AO7" i="9" s="1"/>
  <c r="AA7" i="9"/>
  <c r="O7" i="9"/>
  <c r="Q7" i="9" s="1"/>
  <c r="AJ7" i="9"/>
  <c r="AL7" i="9" s="1"/>
  <c r="X7" i="9"/>
  <c r="Z7" i="9" s="1"/>
  <c r="L7" i="9"/>
  <c r="N7" i="9" s="1"/>
  <c r="AG7" i="9"/>
  <c r="AI7" i="9" s="1"/>
  <c r="U7" i="9"/>
  <c r="W7" i="9" s="1"/>
  <c r="I7" i="9"/>
  <c r="K7" i="9" s="1"/>
  <c r="AD7" i="9"/>
  <c r="AF7" i="9" s="1"/>
  <c r="R7" i="9"/>
  <c r="T7" i="9" s="1"/>
  <c r="I26" i="3" l="1"/>
  <c r="I22" i="3"/>
  <c r="I11" i="3"/>
  <c r="T13" i="3"/>
  <c r="S20" i="3"/>
  <c r="S12" i="3"/>
  <c r="T15" i="3"/>
  <c r="T12" i="3"/>
  <c r="S16" i="3"/>
  <c r="S9" i="3"/>
  <c r="S13" i="3"/>
  <c r="S17" i="3"/>
  <c r="T19" i="3"/>
  <c r="T29" i="3"/>
  <c r="T28" i="3"/>
  <c r="T25" i="3"/>
  <c r="S25" i="3"/>
  <c r="S30" i="3"/>
  <c r="S22" i="3"/>
  <c r="T34" i="3"/>
  <c r="S14" i="3"/>
  <c r="T16" i="3"/>
  <c r="S27" i="3"/>
  <c r="S19" i="3"/>
  <c r="T10" i="3"/>
  <c r="T9" i="3"/>
  <c r="T20" i="3"/>
  <c r="T27" i="3"/>
  <c r="T18" i="3"/>
  <c r="T11" i="3"/>
  <c r="S11" i="3"/>
  <c r="S24" i="3"/>
  <c r="S26" i="3"/>
  <c r="T26" i="3"/>
  <c r="S18" i="3"/>
  <c r="S21" i="3"/>
  <c r="T17" i="3"/>
  <c r="T22" i="3"/>
  <c r="T33" i="3"/>
  <c r="T23" i="3"/>
  <c r="S31" i="3"/>
  <c r="S23" i="3"/>
  <c r="S15" i="3"/>
  <c r="T14" i="3"/>
  <c r="T21" i="3"/>
  <c r="T24" i="3"/>
  <c r="S28" i="3"/>
  <c r="S10" i="3"/>
  <c r="T36" i="3"/>
  <c r="S36" i="3"/>
  <c r="S34" i="3"/>
  <c r="S33" i="3"/>
  <c r="T35" i="3"/>
  <c r="T30" i="3"/>
  <c r="S29" i="3"/>
  <c r="T31" i="3"/>
  <c r="S32" i="3"/>
  <c r="T32" i="3"/>
  <c r="S35" i="3"/>
  <c r="I23" i="3"/>
  <c r="I13" i="3"/>
  <c r="I20" i="3"/>
  <c r="I15" i="3"/>
  <c r="I29" i="3"/>
  <c r="I18" i="3"/>
  <c r="I33" i="3"/>
  <c r="I14" i="3"/>
  <c r="I19" i="3"/>
  <c r="I16" i="3"/>
  <c r="I9" i="3"/>
  <c r="I12" i="3"/>
  <c r="I32" i="3"/>
  <c r="I28" i="3"/>
  <c r="I27" i="3"/>
  <c r="I35" i="3"/>
  <c r="I24" i="3"/>
  <c r="I34" i="3"/>
  <c r="I10" i="3"/>
  <c r="I30" i="3"/>
  <c r="I31" i="3"/>
  <c r="I36" i="3"/>
  <c r="I25" i="3"/>
  <c r="I21" i="3"/>
  <c r="I17" i="3"/>
  <c r="K19" i="3"/>
  <c r="K9" i="3"/>
  <c r="K21" i="3"/>
  <c r="K20" i="3"/>
  <c r="K16" i="3"/>
  <c r="K26" i="3"/>
  <c r="K18" i="3"/>
  <c r="K24" i="3"/>
  <c r="K11" i="3"/>
  <c r="K10" i="3"/>
  <c r="K27" i="3"/>
  <c r="K15" i="3"/>
  <c r="J19" i="3"/>
  <c r="K25" i="3"/>
  <c r="K17" i="3"/>
  <c r="K14" i="3"/>
  <c r="K12" i="3"/>
  <c r="K23" i="3"/>
  <c r="K13" i="3"/>
  <c r="K22" i="3"/>
  <c r="K34" i="3"/>
  <c r="J35" i="3"/>
  <c r="J23" i="3"/>
  <c r="J24" i="3"/>
  <c r="J18" i="3"/>
  <c r="J31" i="3"/>
  <c r="J11" i="3"/>
  <c r="K31" i="3"/>
  <c r="K35" i="3"/>
  <c r="J27" i="3"/>
  <c r="J29" i="3"/>
  <c r="J34" i="3"/>
  <c r="K36" i="3"/>
  <c r="K30" i="3"/>
  <c r="J14" i="3"/>
  <c r="J13" i="3"/>
  <c r="J12" i="3"/>
  <c r="J22" i="3"/>
  <c r="J25" i="3"/>
  <c r="J17" i="3"/>
  <c r="K28" i="3"/>
  <c r="K33" i="3"/>
  <c r="J21" i="3"/>
  <c r="J26" i="3"/>
  <c r="K29" i="3"/>
  <c r="K32" i="3"/>
  <c r="J10" i="3"/>
  <c r="J9" i="3"/>
  <c r="J15" i="3"/>
  <c r="J33" i="3"/>
  <c r="J36" i="3"/>
  <c r="J32" i="3"/>
  <c r="J30" i="3"/>
  <c r="J20" i="3"/>
  <c r="J28" i="3"/>
  <c r="J16" i="3"/>
  <c r="X13" i="3"/>
  <c r="W24" i="3"/>
  <c r="W9" i="3"/>
  <c r="W15" i="3"/>
  <c r="X27" i="3"/>
  <c r="W11" i="3"/>
  <c r="W14" i="3"/>
  <c r="X36" i="3"/>
  <c r="X25" i="3"/>
  <c r="X10" i="3"/>
  <c r="X15" i="3"/>
  <c r="X26" i="3"/>
  <c r="X9" i="3"/>
  <c r="X16" i="3"/>
  <c r="W19" i="3"/>
  <c r="X35" i="3"/>
  <c r="W22" i="3"/>
  <c r="X23" i="3"/>
  <c r="W18" i="3"/>
  <c r="X11" i="3"/>
  <c r="W20" i="3"/>
  <c r="W33" i="3"/>
  <c r="X30" i="3"/>
  <c r="W36" i="3"/>
  <c r="X19" i="3"/>
  <c r="X14" i="3"/>
  <c r="W16" i="3"/>
  <c r="X20" i="3"/>
  <c r="X12" i="3"/>
  <c r="X28" i="3"/>
  <c r="W17" i="3"/>
  <c r="W10" i="3"/>
  <c r="W12" i="3"/>
  <c r="W25" i="3"/>
  <c r="X18" i="3"/>
  <c r="W35" i="3"/>
  <c r="X31" i="3"/>
  <c r="W34" i="3"/>
  <c r="W21" i="3"/>
  <c r="X17" i="3"/>
  <c r="W27" i="3"/>
  <c r="W23" i="3"/>
  <c r="X21" i="3"/>
  <c r="W26" i="3"/>
  <c r="X34" i="3"/>
  <c r="W13" i="3"/>
  <c r="X24" i="3"/>
  <c r="X22" i="3"/>
  <c r="W29" i="3"/>
  <c r="W32" i="3"/>
  <c r="X33" i="3"/>
  <c r="X32" i="3"/>
  <c r="W28" i="3"/>
  <c r="W31" i="3"/>
  <c r="W30" i="3"/>
  <c r="X29" i="3"/>
  <c r="D49" i="11"/>
  <c r="AJ42" i="9"/>
  <c r="AL42" i="9" s="1"/>
  <c r="X42" i="9"/>
  <c r="Z42" i="9" s="1"/>
  <c r="L42" i="9"/>
  <c r="N42" i="9" s="1"/>
  <c r="AG42" i="9"/>
  <c r="AI42" i="9" s="1"/>
  <c r="U42" i="9"/>
  <c r="W42" i="9" s="1"/>
  <c r="I42" i="9"/>
  <c r="K42" i="9" s="1"/>
  <c r="AD42" i="9"/>
  <c r="AF42" i="9" s="1"/>
  <c r="R42" i="9"/>
  <c r="T42" i="9" s="1"/>
  <c r="F42" i="9"/>
  <c r="H42" i="9" s="1"/>
  <c r="AA42" i="9"/>
  <c r="AC42" i="9" s="1"/>
  <c r="O42" i="9"/>
  <c r="Q42" i="9" s="1"/>
  <c r="AM42" i="9"/>
  <c r="AO42" i="9" s="1"/>
  <c r="H7" i="9"/>
  <c r="AP7" i="9"/>
  <c r="AR7" i="9" s="1"/>
  <c r="AC7" i="9"/>
  <c r="L31" i="3" l="1"/>
  <c r="P31" i="3" s="1"/>
  <c r="L22" i="3"/>
  <c r="P22" i="3" s="1"/>
  <c r="L15" i="3"/>
  <c r="P15" i="3" s="1"/>
  <c r="L20" i="3"/>
  <c r="P20" i="3" s="1"/>
  <c r="L28" i="3"/>
  <c r="P28" i="3" s="1"/>
  <c r="L13" i="3"/>
  <c r="P13" i="3" s="1"/>
  <c r="L27" i="3"/>
  <c r="P27" i="3" s="1"/>
  <c r="L21" i="3"/>
  <c r="P21" i="3" s="1"/>
  <c r="M31" i="3"/>
  <c r="L32" i="3"/>
  <c r="P32" i="3" s="1"/>
  <c r="L33" i="3"/>
  <c r="P33" i="3" s="1"/>
  <c r="L23" i="3"/>
  <c r="P23" i="3" s="1"/>
  <c r="L25" i="3"/>
  <c r="P25" i="3" s="1"/>
  <c r="L10" i="3"/>
  <c r="P10" i="3" s="1"/>
  <c r="L26" i="3"/>
  <c r="P26" i="3" s="1"/>
  <c r="L9" i="3"/>
  <c r="P9" i="3" s="1"/>
  <c r="L14" i="3"/>
  <c r="P14" i="3" s="1"/>
  <c r="L24" i="3"/>
  <c r="P24" i="3" s="1"/>
  <c r="L17" i="3"/>
  <c r="P17" i="3" s="1"/>
  <c r="L18" i="3"/>
  <c r="P18" i="3" s="1"/>
  <c r="U25" i="3"/>
  <c r="V23" i="3"/>
  <c r="U23" i="3"/>
  <c r="U17" i="3"/>
  <c r="U15" i="3"/>
  <c r="V11" i="3"/>
  <c r="V10" i="3"/>
  <c r="V27" i="3"/>
  <c r="U16" i="3"/>
  <c r="V26" i="3"/>
  <c r="U18" i="3"/>
  <c r="U26" i="3"/>
  <c r="V28" i="3"/>
  <c r="U24" i="3"/>
  <c r="V24" i="3"/>
  <c r="U13" i="3"/>
  <c r="V22" i="3"/>
  <c r="V14" i="3"/>
  <c r="U10" i="3"/>
  <c r="V18" i="3"/>
  <c r="V12" i="3"/>
  <c r="U19" i="3"/>
  <c r="V15" i="3"/>
  <c r="V13" i="3"/>
  <c r="U21" i="3"/>
  <c r="V17" i="3"/>
  <c r="V35" i="3"/>
  <c r="U36" i="3"/>
  <c r="V32" i="3"/>
  <c r="V21" i="3"/>
  <c r="V9" i="3"/>
  <c r="U34" i="3"/>
  <c r="V33" i="3"/>
  <c r="V30" i="3"/>
  <c r="U12" i="3"/>
  <c r="U27" i="3"/>
  <c r="U33" i="3"/>
  <c r="V16" i="3"/>
  <c r="V25" i="3"/>
  <c r="U32" i="3"/>
  <c r="U28" i="3"/>
  <c r="U30" i="3"/>
  <c r="V31" i="3"/>
  <c r="U29" i="3"/>
  <c r="V36" i="3"/>
  <c r="U20" i="3"/>
  <c r="U14" i="3"/>
  <c r="V19" i="3"/>
  <c r="U9" i="3"/>
  <c r="V29" i="3"/>
  <c r="U35" i="3"/>
  <c r="U31" i="3"/>
  <c r="U11" i="3"/>
  <c r="U22" i="3"/>
  <c r="V20" i="3"/>
  <c r="V34" i="3"/>
  <c r="L30" i="3"/>
  <c r="P30" i="3" s="1"/>
  <c r="L29" i="3"/>
  <c r="P29" i="3" s="1"/>
  <c r="L36" i="3"/>
  <c r="P36" i="3" s="1"/>
  <c r="L35" i="3"/>
  <c r="P35" i="3" s="1"/>
  <c r="L34" i="3"/>
  <c r="P34" i="3" s="1"/>
  <c r="L12" i="3"/>
  <c r="P12" i="3" s="1"/>
  <c r="L11" i="3"/>
  <c r="P11" i="3" s="1"/>
  <c r="L16" i="3"/>
  <c r="P16" i="3" s="1"/>
  <c r="L19" i="3"/>
  <c r="P19" i="3" s="1"/>
  <c r="Y26" i="3"/>
  <c r="Y35" i="3"/>
  <c r="Y10" i="3"/>
  <c r="Y36" i="3"/>
  <c r="Y15" i="3"/>
  <c r="Y30" i="3"/>
  <c r="Y21" i="3"/>
  <c r="Y17" i="3"/>
  <c r="Y16" i="3"/>
  <c r="Y18" i="3"/>
  <c r="Y19" i="3"/>
  <c r="Y14" i="3"/>
  <c r="Y9" i="3"/>
  <c r="Y31" i="3"/>
  <c r="Y32" i="3"/>
  <c r="Y13" i="3"/>
  <c r="Y23" i="3"/>
  <c r="Y34" i="3"/>
  <c r="Y25" i="3"/>
  <c r="Y33" i="3"/>
  <c r="Y11" i="3"/>
  <c r="Y24" i="3"/>
  <c r="Y28" i="3"/>
  <c r="Y29" i="3"/>
  <c r="Y27" i="3"/>
  <c r="Y12" i="3"/>
  <c r="Y20" i="3"/>
  <c r="Y22" i="3"/>
  <c r="AP42" i="9"/>
  <c r="AR42" i="9" s="1"/>
  <c r="E5" i="9"/>
  <c r="E40" i="9" s="1"/>
  <c r="D40" i="9"/>
  <c r="E6" i="8"/>
  <c r="E7" i="8"/>
  <c r="E8" i="8"/>
  <c r="E9" i="8"/>
  <c r="E10" i="8"/>
  <c r="E5" i="8"/>
  <c r="M15" i="3" l="1"/>
  <c r="N15" i="3" s="1"/>
  <c r="M30" i="3"/>
  <c r="O30" i="3" s="1"/>
  <c r="M25" i="3"/>
  <c r="N25" i="3" s="1"/>
  <c r="M27" i="3"/>
  <c r="O27" i="3" s="1"/>
  <c r="M26" i="3"/>
  <c r="O26" i="3" s="1"/>
  <c r="M23" i="3"/>
  <c r="N23" i="3" s="1"/>
  <c r="M21" i="3"/>
  <c r="N21" i="3" s="1"/>
  <c r="T25" i="15"/>
  <c r="M36" i="3"/>
  <c r="N36" i="3" s="1"/>
  <c r="M14" i="3"/>
  <c r="O14" i="3" s="1"/>
  <c r="M10" i="3"/>
  <c r="O10" i="3" s="1"/>
  <c r="M16" i="3"/>
  <c r="O16" i="3" s="1"/>
  <c r="M12" i="3"/>
  <c r="O12" i="3" s="1"/>
  <c r="M33" i="3"/>
  <c r="N33" i="3" s="1"/>
  <c r="O31" i="15" s="1"/>
  <c r="O31" i="3"/>
  <c r="N31" i="3"/>
  <c r="M20" i="3"/>
  <c r="M11" i="3"/>
  <c r="M35" i="3"/>
  <c r="M19" i="3"/>
  <c r="M13" i="3"/>
  <c r="M28" i="3"/>
  <c r="M32" i="3"/>
  <c r="M22" i="3"/>
  <c r="M9" i="3"/>
  <c r="M17" i="3"/>
  <c r="M18" i="3"/>
  <c r="M34" i="3"/>
  <c r="M29" i="3"/>
  <c r="M24" i="3"/>
  <c r="U17" i="15"/>
  <c r="U8" i="15"/>
  <c r="C6" i="15"/>
  <c r="D8" i="3"/>
  <c r="T30" i="15" s="1"/>
  <c r="B8" i="3"/>
  <c r="B6" i="15" s="1"/>
  <c r="G7" i="3"/>
  <c r="C4" i="3"/>
  <c r="D4" i="3"/>
  <c r="E4" i="3"/>
  <c r="B4" i="3"/>
  <c r="Q27" i="15" l="1"/>
  <c r="F26" i="15"/>
  <c r="U15" i="15"/>
  <c r="Q21" i="15"/>
  <c r="P12" i="15"/>
  <c r="Q9" i="15"/>
  <c r="O25" i="3"/>
  <c r="Z25" i="3" s="1"/>
  <c r="O15" i="3"/>
  <c r="P13" i="15" s="1"/>
  <c r="N26" i="3"/>
  <c r="Z26" i="3" s="1"/>
  <c r="N30" i="3"/>
  <c r="O28" i="15" s="1"/>
  <c r="N12" i="3"/>
  <c r="Z12" i="3" s="1"/>
  <c r="N27" i="3"/>
  <c r="O25" i="15" s="1"/>
  <c r="O23" i="3"/>
  <c r="Z23" i="3" s="1"/>
  <c r="O21" i="3"/>
  <c r="Z21" i="3" s="1"/>
  <c r="O33" i="3"/>
  <c r="P31" i="15" s="1"/>
  <c r="U26" i="15"/>
  <c r="O34" i="15"/>
  <c r="T21" i="15"/>
  <c r="S30" i="15"/>
  <c r="U12" i="15"/>
  <c r="O36" i="3"/>
  <c r="P34" i="15" s="1"/>
  <c r="N10" i="3"/>
  <c r="O8" i="15" s="1"/>
  <c r="Q22" i="15"/>
  <c r="T28" i="15"/>
  <c r="Q18" i="15"/>
  <c r="T23" i="15"/>
  <c r="U7" i="15"/>
  <c r="U29" i="15"/>
  <c r="U10" i="15"/>
  <c r="T31" i="15"/>
  <c r="T9" i="15"/>
  <c r="Q17" i="15"/>
  <c r="S27" i="15"/>
  <c r="U30" i="15"/>
  <c r="U21" i="15"/>
  <c r="U33" i="15"/>
  <c r="U31" i="15"/>
  <c r="U22" i="15"/>
  <c r="P25" i="15"/>
  <c r="O29" i="15"/>
  <c r="N14" i="3"/>
  <c r="O12" i="15" s="1"/>
  <c r="Q26" i="15"/>
  <c r="T26" i="15"/>
  <c r="T34" i="15"/>
  <c r="Q29" i="15"/>
  <c r="T12" i="15"/>
  <c r="T27" i="15"/>
  <c r="Q12" i="15"/>
  <c r="T11" i="15"/>
  <c r="Q20" i="15"/>
  <c r="T13" i="15"/>
  <c r="T18" i="15"/>
  <c r="U14" i="15"/>
  <c r="U18" i="15"/>
  <c r="U32" i="15"/>
  <c r="P28" i="15"/>
  <c r="O23" i="15"/>
  <c r="S23" i="15"/>
  <c r="Q7" i="15"/>
  <c r="T14" i="15"/>
  <c r="S24" i="15"/>
  <c r="Q19" i="15"/>
  <c r="T29" i="15"/>
  <c r="U24" i="15"/>
  <c r="U13" i="15"/>
  <c r="U9" i="15"/>
  <c r="U34" i="15"/>
  <c r="U20" i="15"/>
  <c r="U27" i="15"/>
  <c r="P24" i="15"/>
  <c r="P29" i="15"/>
  <c r="P8" i="15"/>
  <c r="Q31" i="15"/>
  <c r="T20" i="15"/>
  <c r="S7" i="15"/>
  <c r="Q13" i="15"/>
  <c r="S17" i="15"/>
  <c r="S20" i="15"/>
  <c r="S21" i="15"/>
  <c r="S34" i="15"/>
  <c r="Q11" i="15"/>
  <c r="T33" i="15"/>
  <c r="T32" i="15"/>
  <c r="O21" i="15"/>
  <c r="Q23" i="15"/>
  <c r="S13" i="15"/>
  <c r="T10" i="15"/>
  <c r="S31" i="15"/>
  <c r="S9" i="15"/>
  <c r="T8" i="15"/>
  <c r="Q25" i="15"/>
  <c r="T24" i="15"/>
  <c r="T15" i="15"/>
  <c r="S28" i="15"/>
  <c r="Q34" i="15"/>
  <c r="Q30" i="15"/>
  <c r="Q16" i="15"/>
  <c r="S11" i="15"/>
  <c r="S32" i="15"/>
  <c r="T17" i="15"/>
  <c r="Q10" i="15"/>
  <c r="T22" i="15"/>
  <c r="T7" i="15"/>
  <c r="S12" i="15"/>
  <c r="Z31" i="3"/>
  <c r="N16" i="3"/>
  <c r="O14" i="15" s="1"/>
  <c r="G30" i="15"/>
  <c r="G8" i="15"/>
  <c r="G18" i="15"/>
  <c r="G25" i="15"/>
  <c r="G32" i="15"/>
  <c r="G9" i="15"/>
  <c r="G16" i="15"/>
  <c r="J29" i="15"/>
  <c r="J13" i="15"/>
  <c r="J25" i="15"/>
  <c r="J15" i="15"/>
  <c r="J34" i="15"/>
  <c r="J32" i="15"/>
  <c r="J9" i="15"/>
  <c r="J17" i="15"/>
  <c r="G27" i="15"/>
  <c r="G20" i="15"/>
  <c r="G7" i="15"/>
  <c r="J18" i="15"/>
  <c r="J19" i="15"/>
  <c r="J16" i="15"/>
  <c r="G24" i="15"/>
  <c r="G23" i="15"/>
  <c r="G31" i="15"/>
  <c r="G29" i="15"/>
  <c r="G14" i="15"/>
  <c r="G22" i="15"/>
  <c r="G34" i="15"/>
  <c r="G13" i="15"/>
  <c r="G17" i="15"/>
  <c r="G26" i="15"/>
  <c r="J30" i="15"/>
  <c r="J21" i="15"/>
  <c r="J8" i="15"/>
  <c r="J7" i="15"/>
  <c r="J12" i="15"/>
  <c r="G28" i="15"/>
  <c r="G11" i="15"/>
  <c r="G33" i="15"/>
  <c r="G19" i="15"/>
  <c r="J26" i="15"/>
  <c r="J20" i="15"/>
  <c r="J11" i="15"/>
  <c r="G15" i="15"/>
  <c r="J24" i="15"/>
  <c r="J23" i="15"/>
  <c r="J33" i="15"/>
  <c r="J28" i="15"/>
  <c r="J31" i="15"/>
  <c r="J22" i="15"/>
  <c r="J27" i="15"/>
  <c r="G21" i="15"/>
  <c r="G12" i="15"/>
  <c r="G10" i="15"/>
  <c r="J14" i="15"/>
  <c r="J10" i="15"/>
  <c r="R9" i="15"/>
  <c r="I10" i="15"/>
  <c r="I11" i="15"/>
  <c r="R30" i="15"/>
  <c r="R11" i="15"/>
  <c r="R17" i="15"/>
  <c r="I9" i="15"/>
  <c r="R15" i="15"/>
  <c r="R10" i="15"/>
  <c r="R31" i="15"/>
  <c r="R7" i="15"/>
  <c r="I31" i="15"/>
  <c r="R23" i="15"/>
  <c r="I23" i="15"/>
  <c r="I15" i="15"/>
  <c r="I25" i="15"/>
  <c r="I17" i="15"/>
  <c r="I30" i="15"/>
  <c r="I7" i="15"/>
  <c r="I13" i="15"/>
  <c r="I26" i="15"/>
  <c r="I27" i="15"/>
  <c r="I28" i="15"/>
  <c r="I22" i="15"/>
  <c r="I24" i="15"/>
  <c r="I14" i="15"/>
  <c r="I21" i="15"/>
  <c r="I33" i="15"/>
  <c r="I32" i="15"/>
  <c r="I8" i="15"/>
  <c r="I20" i="15"/>
  <c r="I12" i="15"/>
  <c r="I19" i="15"/>
  <c r="I34" i="15"/>
  <c r="I16" i="15"/>
  <c r="I29" i="15"/>
  <c r="I18" i="15"/>
  <c r="R34" i="15"/>
  <c r="R29" i="15"/>
  <c r="R33" i="15"/>
  <c r="R26" i="15"/>
  <c r="R27" i="15"/>
  <c r="R28" i="15"/>
  <c r="R8" i="15"/>
  <c r="R20" i="15"/>
  <c r="R12" i="15"/>
  <c r="R25" i="15"/>
  <c r="R22" i="15"/>
  <c r="R21" i="15"/>
  <c r="R24" i="15"/>
  <c r="R14" i="15"/>
  <c r="R19" i="15"/>
  <c r="R18" i="15"/>
  <c r="R16" i="15"/>
  <c r="R32" i="15"/>
  <c r="R13" i="15"/>
  <c r="H13" i="15"/>
  <c r="H28" i="15"/>
  <c r="F25" i="15"/>
  <c r="F11" i="15"/>
  <c r="F21" i="15"/>
  <c r="F20" i="15"/>
  <c r="F7" i="15"/>
  <c r="H24" i="15"/>
  <c r="H9" i="15"/>
  <c r="H11" i="15"/>
  <c r="H16" i="15"/>
  <c r="H12" i="15"/>
  <c r="H14" i="15"/>
  <c r="H26" i="15"/>
  <c r="H32" i="15"/>
  <c r="H19" i="15"/>
  <c r="H17" i="15"/>
  <c r="H30" i="15"/>
  <c r="H22" i="15"/>
  <c r="H15" i="15"/>
  <c r="F22" i="15"/>
  <c r="H10" i="15"/>
  <c r="F29" i="15"/>
  <c r="F18" i="15"/>
  <c r="F16" i="15"/>
  <c r="F23" i="15"/>
  <c r="F30" i="15"/>
  <c r="H29" i="15"/>
  <c r="F24" i="15"/>
  <c r="F12" i="15"/>
  <c r="F13" i="15"/>
  <c r="F10" i="15"/>
  <c r="F33" i="15"/>
  <c r="F28" i="15"/>
  <c r="F34" i="15"/>
  <c r="H21" i="15"/>
  <c r="H18" i="15"/>
  <c r="H31" i="15"/>
  <c r="H7" i="15"/>
  <c r="H25" i="15"/>
  <c r="H8" i="15"/>
  <c r="H23" i="15"/>
  <c r="F15" i="15"/>
  <c r="F17" i="15"/>
  <c r="F27" i="15"/>
  <c r="F14" i="15"/>
  <c r="H33" i="15"/>
  <c r="F8" i="15"/>
  <c r="H34" i="15"/>
  <c r="F31" i="15"/>
  <c r="H27" i="15"/>
  <c r="F32" i="15"/>
  <c r="H20" i="15"/>
  <c r="F19" i="15"/>
  <c r="F9" i="15"/>
  <c r="L15" i="15"/>
  <c r="L25" i="15"/>
  <c r="K15" i="15"/>
  <c r="N20" i="15"/>
  <c r="K29" i="15"/>
  <c r="N31" i="15"/>
  <c r="K31" i="15"/>
  <c r="N12" i="15"/>
  <c r="K27" i="15"/>
  <c r="L31" i="15"/>
  <c r="K25" i="15"/>
  <c r="L13" i="15"/>
  <c r="N24" i="15"/>
  <c r="L19" i="15"/>
  <c r="N13" i="15"/>
  <c r="K19" i="15"/>
  <c r="N17" i="15"/>
  <c r="N11" i="15"/>
  <c r="K34" i="15"/>
  <c r="L24" i="15"/>
  <c r="K28" i="15"/>
  <c r="M13" i="15"/>
  <c r="M17" i="15"/>
  <c r="M7" i="15"/>
  <c r="M21" i="15"/>
  <c r="M9" i="15"/>
  <c r="M26" i="15"/>
  <c r="M25" i="15"/>
  <c r="M18" i="15"/>
  <c r="L32" i="15"/>
  <c r="N33" i="15"/>
  <c r="K12" i="15"/>
  <c r="N14" i="15"/>
  <c r="K26" i="15"/>
  <c r="L26" i="15"/>
  <c r="K23" i="15"/>
  <c r="K8" i="15"/>
  <c r="N23" i="15"/>
  <c r="K21" i="15"/>
  <c r="K7" i="15"/>
  <c r="L8" i="15"/>
  <c r="K17" i="15"/>
  <c r="L10" i="15"/>
  <c r="N15" i="15"/>
  <c r="L16" i="15"/>
  <c r="M19" i="15"/>
  <c r="L21" i="15"/>
  <c r="N21" i="15"/>
  <c r="K32" i="15"/>
  <c r="K16" i="15"/>
  <c r="K20" i="15"/>
  <c r="N30" i="15"/>
  <c r="K24" i="15"/>
  <c r="L29" i="15"/>
  <c r="N32" i="15"/>
  <c r="N7" i="15"/>
  <c r="L22" i="15"/>
  <c r="L9" i="15"/>
  <c r="L27" i="15"/>
  <c r="M24" i="15"/>
  <c r="M8" i="15"/>
  <c r="N19" i="15"/>
  <c r="M14" i="15"/>
  <c r="M30" i="15"/>
  <c r="M23" i="15"/>
  <c r="K14" i="15"/>
  <c r="L11" i="15"/>
  <c r="N16" i="15"/>
  <c r="K22" i="15"/>
  <c r="K9" i="15"/>
  <c r="N18" i="15"/>
  <c r="K30" i="15"/>
  <c r="N29" i="15"/>
  <c r="L30" i="15"/>
  <c r="L7" i="15"/>
  <c r="N22" i="15"/>
  <c r="L33" i="15"/>
  <c r="N26" i="15"/>
  <c r="K13" i="15"/>
  <c r="L12" i="15"/>
  <c r="L28" i="15"/>
  <c r="L23" i="15"/>
  <c r="K18" i="15"/>
  <c r="N8" i="15"/>
  <c r="L18" i="15"/>
  <c r="L34" i="15"/>
  <c r="N10" i="15"/>
  <c r="L20" i="15"/>
  <c r="M34" i="15"/>
  <c r="M16" i="15"/>
  <c r="M12" i="15"/>
  <c r="M32" i="15"/>
  <c r="M31" i="15"/>
  <c r="M10" i="15"/>
  <c r="M20" i="15"/>
  <c r="N27" i="15"/>
  <c r="N28" i="15"/>
  <c r="K11" i="15"/>
  <c r="L17" i="15"/>
  <c r="N25" i="15"/>
  <c r="L14" i="15"/>
  <c r="M33" i="15"/>
  <c r="M15" i="15"/>
  <c r="M27" i="15"/>
  <c r="N34" i="15"/>
  <c r="K33" i="15"/>
  <c r="N9" i="15"/>
  <c r="K10" i="15"/>
  <c r="M22" i="15"/>
  <c r="M29" i="15"/>
  <c r="M11" i="15"/>
  <c r="M28" i="15"/>
  <c r="U19" i="15"/>
  <c r="U23" i="15"/>
  <c r="U25" i="15"/>
  <c r="U28" i="15"/>
  <c r="U11" i="15"/>
  <c r="U16" i="15"/>
  <c r="O13" i="15"/>
  <c r="P10" i="15"/>
  <c r="O19" i="15"/>
  <c r="Q24" i="15"/>
  <c r="S14" i="15"/>
  <c r="S19" i="15"/>
  <c r="S26" i="15"/>
  <c r="Q28" i="15"/>
  <c r="S16" i="15"/>
  <c r="Q15" i="15"/>
  <c r="S22" i="15"/>
  <c r="T19" i="15"/>
  <c r="S18" i="15"/>
  <c r="Q32" i="15"/>
  <c r="Q8" i="15"/>
  <c r="S15" i="15"/>
  <c r="T16" i="15"/>
  <c r="S25" i="15"/>
  <c r="S29" i="15"/>
  <c r="Q33" i="15"/>
  <c r="S8" i="15"/>
  <c r="S10" i="15"/>
  <c r="S33" i="15"/>
  <c r="Q14" i="15"/>
  <c r="P14" i="15"/>
  <c r="N11" i="3"/>
  <c r="O11" i="3"/>
  <c r="P9" i="15" s="1"/>
  <c r="O32" i="3"/>
  <c r="P30" i="15" s="1"/>
  <c r="N32" i="3"/>
  <c r="O24" i="3"/>
  <c r="P22" i="15" s="1"/>
  <c r="N24" i="3"/>
  <c r="N17" i="3"/>
  <c r="O17" i="3"/>
  <c r="P15" i="15" s="1"/>
  <c r="O28" i="3"/>
  <c r="P26" i="15" s="1"/>
  <c r="N28" i="3"/>
  <c r="O19" i="3"/>
  <c r="P17" i="15" s="1"/>
  <c r="N19" i="3"/>
  <c r="N34" i="3"/>
  <c r="O34" i="3"/>
  <c r="P32" i="15" s="1"/>
  <c r="N22" i="3"/>
  <c r="O22" i="3"/>
  <c r="P20" i="15" s="1"/>
  <c r="N18" i="3"/>
  <c r="O18" i="3"/>
  <c r="P16" i="15" s="1"/>
  <c r="O29" i="3"/>
  <c r="P27" i="15" s="1"/>
  <c r="N29" i="3"/>
  <c r="O9" i="3"/>
  <c r="P7" i="15" s="1"/>
  <c r="N9" i="3"/>
  <c r="N13" i="3"/>
  <c r="O13" i="3"/>
  <c r="P11" i="15" s="1"/>
  <c r="N35" i="3"/>
  <c r="O35" i="3"/>
  <c r="P33" i="15" s="1"/>
  <c r="O20" i="3"/>
  <c r="P18" i="15" s="1"/>
  <c r="N20" i="3"/>
  <c r="Q8" i="3"/>
  <c r="R8" i="3" s="1"/>
  <c r="D6" i="15"/>
  <c r="K8" i="3"/>
  <c r="T8" i="3"/>
  <c r="S8" i="3"/>
  <c r="V8" i="3"/>
  <c r="U8" i="3"/>
  <c r="X8" i="3"/>
  <c r="W8" i="3"/>
  <c r="H7" i="3"/>
  <c r="S7" i="3"/>
  <c r="H8" i="3"/>
  <c r="J8" i="3"/>
  <c r="G8" i="3"/>
  <c r="G6" i="2"/>
  <c r="F8" i="3" s="1"/>
  <c r="P23" i="15" l="1"/>
  <c r="AB23" i="15" s="1"/>
  <c r="Z15" i="3"/>
  <c r="Z30" i="3"/>
  <c r="O24" i="15"/>
  <c r="AB24" i="15" s="1"/>
  <c r="P19" i="15"/>
  <c r="AB19" i="15" s="1"/>
  <c r="Z27" i="3"/>
  <c r="Z36" i="3"/>
  <c r="P21" i="15"/>
  <c r="AB21" i="15" s="1"/>
  <c r="O10" i="15"/>
  <c r="AB10" i="15" s="1"/>
  <c r="Z14" i="3"/>
  <c r="AB14" i="15"/>
  <c r="Z33" i="3"/>
  <c r="Z10" i="3"/>
  <c r="Z16" i="3"/>
  <c r="AB13" i="15"/>
  <c r="AB34" i="15"/>
  <c r="AB8" i="15"/>
  <c r="AB28" i="15"/>
  <c r="AB29" i="15"/>
  <c r="AB12" i="15"/>
  <c r="AB31" i="15"/>
  <c r="AB25" i="15"/>
  <c r="H6" i="15"/>
  <c r="N6" i="15"/>
  <c r="G6" i="15"/>
  <c r="J6" i="15"/>
  <c r="O11" i="15"/>
  <c r="AB11" i="15" s="1"/>
  <c r="Z13" i="3"/>
  <c r="O7" i="15"/>
  <c r="AB7" i="15" s="1"/>
  <c r="Z9" i="3"/>
  <c r="O20" i="15"/>
  <c r="AB20" i="15" s="1"/>
  <c r="Z22" i="3"/>
  <c r="O15" i="15"/>
  <c r="AB15" i="15" s="1"/>
  <c r="Z17" i="3"/>
  <c r="O33" i="15"/>
  <c r="AB33" i="15" s="1"/>
  <c r="Z35" i="3"/>
  <c r="O16" i="15"/>
  <c r="AB16" i="15" s="1"/>
  <c r="Z18" i="3"/>
  <c r="O26" i="15"/>
  <c r="AB26" i="15" s="1"/>
  <c r="Z28" i="3"/>
  <c r="O22" i="15"/>
  <c r="AB22" i="15" s="1"/>
  <c r="Z24" i="3"/>
  <c r="O17" i="15"/>
  <c r="AB17" i="15" s="1"/>
  <c r="Z19" i="3"/>
  <c r="O18" i="15"/>
  <c r="AB18" i="15" s="1"/>
  <c r="Z20" i="3"/>
  <c r="O27" i="15"/>
  <c r="AB27" i="15" s="1"/>
  <c r="Z29" i="3"/>
  <c r="O32" i="15"/>
  <c r="AB32" i="15" s="1"/>
  <c r="Z34" i="3"/>
  <c r="O30" i="15"/>
  <c r="AB30" i="15" s="1"/>
  <c r="Z32" i="3"/>
  <c r="O9" i="15"/>
  <c r="AB9" i="15" s="1"/>
  <c r="Z11" i="3"/>
  <c r="L6" i="15"/>
  <c r="K6" i="15"/>
  <c r="R6" i="15"/>
  <c r="I6" i="15"/>
  <c r="F6" i="15"/>
  <c r="T6" i="15"/>
  <c r="M6" i="15"/>
  <c r="Y8" i="3"/>
  <c r="U6" i="15" s="1"/>
  <c r="S6" i="15"/>
  <c r="I7" i="3"/>
  <c r="W7" i="3" s="1"/>
  <c r="T7" i="3"/>
  <c r="K7" i="3"/>
  <c r="L7" i="3" s="1"/>
  <c r="Q7" i="3" s="1"/>
  <c r="I8" i="3"/>
  <c r="L8" i="3"/>
  <c r="P8" i="3" s="1"/>
  <c r="J7" i="3" l="1"/>
  <c r="Q6" i="15"/>
  <c r="M8" i="3"/>
  <c r="N8" i="3" l="1"/>
  <c r="O8" i="3"/>
  <c r="P6" i="15" s="1"/>
  <c r="O6" i="15" l="1"/>
  <c r="AB6" i="15" s="1"/>
  <c r="Z8" i="3"/>
</calcChain>
</file>

<file path=xl/sharedStrings.xml><?xml version="1.0" encoding="utf-8"?>
<sst xmlns="http://schemas.openxmlformats.org/spreadsheetml/2006/main" count="1773" uniqueCount="255">
  <si>
    <t>Sl.</t>
  </si>
  <si>
    <t>Wing</t>
  </si>
  <si>
    <t>Name</t>
  </si>
  <si>
    <t>ID</t>
  </si>
  <si>
    <t>Cell No</t>
  </si>
  <si>
    <t>Joinning Date</t>
  </si>
  <si>
    <t>Total Yearly Budget</t>
  </si>
  <si>
    <t>DSL-DHK</t>
  </si>
  <si>
    <t>`01730046583</t>
  </si>
  <si>
    <t>Sagar Chakrobarti</t>
  </si>
  <si>
    <t>`01708911660</t>
  </si>
  <si>
    <t>Md. Minhazul Islam</t>
  </si>
  <si>
    <t>`01762686570</t>
  </si>
  <si>
    <t>Md. Nazmul Hasan Titu</t>
  </si>
  <si>
    <t>`01730046581</t>
  </si>
  <si>
    <t>Md. Zahirul Islam</t>
  </si>
  <si>
    <t>`01755520323</t>
  </si>
  <si>
    <t>Md. Rakibul Hasan</t>
  </si>
  <si>
    <t>`01730046571</t>
  </si>
  <si>
    <t>Md Ariful Islam</t>
  </si>
  <si>
    <t>`01708154106</t>
  </si>
  <si>
    <t>Mohammad Jewel Rana</t>
  </si>
  <si>
    <t>3002</t>
  </si>
  <si>
    <t>`01762686572</t>
  </si>
  <si>
    <t>Faysal Ahmed</t>
  </si>
  <si>
    <t>3004</t>
  </si>
  <si>
    <t>`01730046576</t>
  </si>
  <si>
    <t>Rakibul Islam Razib</t>
  </si>
  <si>
    <t>3006</t>
  </si>
  <si>
    <t>`01730046580</t>
  </si>
  <si>
    <t>Ashraful Islam</t>
  </si>
  <si>
    <t>`01764660814</t>
  </si>
  <si>
    <t>Md. Rakibul Islam</t>
  </si>
  <si>
    <t>Ohid Hasan Saikat</t>
  </si>
  <si>
    <t>`01755520384</t>
  </si>
  <si>
    <t>Abdullah Al Mahmud</t>
  </si>
  <si>
    <t>`01740053252</t>
  </si>
  <si>
    <t>Apurba Kumar Gain</t>
  </si>
  <si>
    <t>`01730046577</t>
  </si>
  <si>
    <t>Amirul Islam</t>
  </si>
  <si>
    <t>Md. Jafor Ikbal</t>
  </si>
  <si>
    <t>`01733050093</t>
  </si>
  <si>
    <t>CTG</t>
  </si>
  <si>
    <t xml:space="preserve">Sumon Sen </t>
  </si>
  <si>
    <t>Tapan Barua</t>
  </si>
  <si>
    <t>Sozol prince</t>
  </si>
  <si>
    <t>Month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</si>
  <si>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</si>
  <si>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</si>
  <si>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</si>
  <si>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</si>
  <si>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</si>
  <si>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</si>
  <si>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</si>
  <si>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</si>
  <si>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</si>
  <si>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</si>
  <si>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</si>
  <si>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</si>
  <si>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&lt;&lt;&lt; input</t>
  </si>
  <si>
    <t>Sales</t>
  </si>
  <si>
    <t>Collection</t>
  </si>
  <si>
    <t>Commission</t>
  </si>
  <si>
    <t>Total</t>
  </si>
  <si>
    <t>Spares</t>
  </si>
  <si>
    <t>Bonus</t>
  </si>
  <si>
    <t>Service</t>
  </si>
  <si>
    <t>a</t>
  </si>
  <si>
    <t>b</t>
  </si>
  <si>
    <t>c</t>
  </si>
  <si>
    <t>d</t>
  </si>
  <si>
    <t>e</t>
  </si>
  <si>
    <t>f</t>
  </si>
  <si>
    <t>g</t>
  </si>
  <si>
    <t>Si No.</t>
  </si>
  <si>
    <t>Collected Amount (%)</t>
  </si>
  <si>
    <t>Additional Bonus</t>
  </si>
  <si>
    <r>
      <t xml:space="preserve">Range </t>
    </r>
    <r>
      <rPr>
        <b/>
        <sz val="8"/>
        <color theme="1"/>
        <rFont val="Calibri"/>
        <family val="2"/>
        <scheme val="minor"/>
      </rPr>
      <t>1 (Greater Than equal to)</t>
    </r>
  </si>
  <si>
    <r>
      <t xml:space="preserve">Range 2 </t>
    </r>
    <r>
      <rPr>
        <b/>
        <sz val="8"/>
        <color theme="1"/>
        <rFont val="Calibri"/>
        <family val="2"/>
        <scheme val="minor"/>
      </rPr>
      <t>(Less Than equal to)</t>
    </r>
  </si>
  <si>
    <t>Target</t>
  </si>
  <si>
    <t>Ach</t>
  </si>
  <si>
    <t>Ach (%)</t>
  </si>
  <si>
    <t>Eligiblity</t>
  </si>
  <si>
    <t xml:space="preserve">Md. Shohidul </t>
  </si>
  <si>
    <t>Yearly Sales Target (BDT)</t>
  </si>
  <si>
    <t>Sales Target of Respective Month (BDT)</t>
  </si>
  <si>
    <t>Sales Achievement of Respective Month (BDT)</t>
  </si>
  <si>
    <t>Collection Achievement of Respective Month (BDT)</t>
  </si>
  <si>
    <t>Commission (BDT)</t>
  </si>
  <si>
    <t>Bonus (BDT)</t>
  </si>
  <si>
    <t>Total Commission (BDT)</t>
  </si>
  <si>
    <t>Total (Jul-May)</t>
  </si>
  <si>
    <t>Sales Achievement of Respective Month (%)</t>
  </si>
  <si>
    <t>Collection Achievement of Respective Month (%)</t>
  </si>
  <si>
    <t>Collection Target of Respective Month (BDT)</t>
  </si>
  <si>
    <t>of Sales</t>
  </si>
  <si>
    <t>8041</t>
  </si>
  <si>
    <t>1475</t>
  </si>
  <si>
    <t>6076</t>
  </si>
  <si>
    <t>Sales (Spares)</t>
  </si>
  <si>
    <t>Collection  (Spares)</t>
  </si>
  <si>
    <t>Collected Amount</t>
  </si>
  <si>
    <r>
      <t xml:space="preserve">Range </t>
    </r>
    <r>
      <rPr>
        <b/>
        <sz val="8"/>
        <color theme="1"/>
        <rFont val="Calibri"/>
        <family val="2"/>
        <scheme val="minor"/>
      </rPr>
      <t>1 (Greater Than )</t>
    </r>
  </si>
  <si>
    <t>Policy (a-g)_Spares Sales</t>
  </si>
  <si>
    <t>Policy (a-d)_Service Collection</t>
  </si>
  <si>
    <t xml:space="preserve">Spares </t>
  </si>
  <si>
    <t>Policy_Service &amp; Maintenance Contract (CSA/SnM/OnM) Renewal</t>
  </si>
  <si>
    <t>BDT/Per Contract Renewal</t>
  </si>
  <si>
    <t>BDT/Per New Fresh Contract</t>
  </si>
  <si>
    <t>Service (CSA)</t>
  </si>
  <si>
    <t>No. of CSA Achievement</t>
  </si>
  <si>
    <t>Existing</t>
  </si>
  <si>
    <t>No. of Existing Customer</t>
  </si>
  <si>
    <t>No. of New Fresh Customer</t>
  </si>
  <si>
    <t>Achievement of CSA/SnM/OnM Renewal</t>
  </si>
  <si>
    <t>New/Fresh</t>
  </si>
  <si>
    <t>condition [iv(a-b))]</t>
  </si>
  <si>
    <t>condition [iii(a-d)]</t>
  </si>
  <si>
    <t>h</t>
  </si>
  <si>
    <t>Collection Target =</t>
  </si>
  <si>
    <t>+</t>
  </si>
  <si>
    <t>Collection Target</t>
  </si>
  <si>
    <t>i</t>
  </si>
  <si>
    <r>
      <t xml:space="preserve">100% achievement of </t>
    </r>
    <r>
      <rPr>
        <b/>
        <sz val="11"/>
        <color theme="1"/>
        <rFont val="Calibri"/>
        <family val="2"/>
        <scheme val="minor"/>
      </rPr>
      <t>yearly</t>
    </r>
    <r>
      <rPr>
        <sz val="11"/>
        <color theme="1"/>
        <rFont val="Calibri"/>
        <family val="2"/>
        <scheme val="minor"/>
      </rPr>
      <t xml:space="preserve"> sales/collection budget</t>
    </r>
  </si>
  <si>
    <r>
      <t xml:space="preserve">Range 2 </t>
    </r>
    <r>
      <rPr>
        <b/>
        <sz val="8"/>
        <color theme="1"/>
        <rFont val="Calibri"/>
        <family val="2"/>
        <scheme val="minor"/>
      </rPr>
      <t>(Less Than)</t>
    </r>
  </si>
  <si>
    <t>Per Service Amount</t>
  </si>
  <si>
    <t>Total Service Amount</t>
  </si>
  <si>
    <t xml:space="preserve">Per Service Commission </t>
  </si>
  <si>
    <t>No Input</t>
  </si>
  <si>
    <t>Input if any new ASE appointed</t>
  </si>
  <si>
    <t>Per TDS/VDS Collection</t>
  </si>
  <si>
    <t>Total TDS/VDS Collection</t>
  </si>
  <si>
    <t>Total Service Commission</t>
  </si>
  <si>
    <t>Total TDS/VDS Commission</t>
  </si>
  <si>
    <t xml:space="preserve">Service Payment &amp; TDS/VDS Collection </t>
  </si>
  <si>
    <t xml:space="preserve">Service Payment &amp; TDS/VDS Commission </t>
  </si>
  <si>
    <t>Per TDS/VDS Commission</t>
  </si>
  <si>
    <t>Service Collection Achievement of Respective Month (BDT)</t>
  </si>
  <si>
    <t>TDS/VDS Collection Achievement of Respective Month (BDT)</t>
  </si>
  <si>
    <t>TDS/VDS</t>
  </si>
  <si>
    <t xml:space="preserve">k. Above commissions are not applicable for Lube Oil sales. For lube oil, ASEs will get Tk. 5 / Liter (except Gas Lube Oil for which commission is not applicable). Other lubricants like coolant, grease etc. shall follow the commission structure as stated above. </t>
  </si>
  <si>
    <t>Policy_Lubeoil</t>
  </si>
  <si>
    <t>condition [k]</t>
  </si>
  <si>
    <t>&lt;&lt;&lt; No input</t>
  </si>
  <si>
    <t>Sales (Lubeoil)</t>
  </si>
  <si>
    <t xml:space="preserve">Total Lubeoil Sales </t>
  </si>
  <si>
    <r>
      <t xml:space="preserve">Commission of </t>
    </r>
    <r>
      <rPr>
        <b/>
        <sz val="12"/>
        <color rgb="FFFF0000"/>
        <rFont val="Calibri"/>
        <family val="2"/>
        <scheme val="minor"/>
      </rPr>
      <t>Lubeoil</t>
    </r>
    <r>
      <rPr>
        <b/>
        <sz val="12"/>
        <color theme="1"/>
        <rFont val="Calibri"/>
        <family val="2"/>
        <scheme val="minor"/>
      </rPr>
      <t xml:space="preserve"> Sales (BDT)</t>
    </r>
  </si>
  <si>
    <r>
      <t>input</t>
    </r>
    <r>
      <rPr>
        <b/>
        <sz val="11"/>
        <color rgb="FF00B050"/>
        <rFont val="Arial"/>
        <family val="2"/>
      </rPr>
      <t>▼</t>
    </r>
  </si>
  <si>
    <r>
      <t xml:space="preserve">Input
</t>
    </r>
    <r>
      <rPr>
        <b/>
        <sz val="11"/>
        <color rgb="FF00B050"/>
        <rFont val="Arial"/>
        <family val="2"/>
      </rPr>
      <t>▼</t>
    </r>
  </si>
  <si>
    <t>condition [ii(a-g)]</t>
  </si>
  <si>
    <t>condition [ii(h)]</t>
  </si>
  <si>
    <r>
      <t xml:space="preserve">Achievement of </t>
    </r>
    <r>
      <rPr>
        <b/>
        <sz val="12"/>
        <color rgb="FFFF0000"/>
        <rFont val="Calibri"/>
        <family val="2"/>
        <scheme val="minor"/>
      </rPr>
      <t xml:space="preserve">Lubeoil </t>
    </r>
    <r>
      <rPr>
        <b/>
        <sz val="12"/>
        <color theme="1"/>
        <rFont val="Calibri"/>
        <family val="2"/>
        <scheme val="minor"/>
      </rPr>
      <t>Sales (QTY; L)</t>
    </r>
  </si>
  <si>
    <t>Lubeoil (QTY; L)</t>
  </si>
  <si>
    <t>Spares Collection (BDT)</t>
  </si>
  <si>
    <t>Lube oil Sales (BDT)</t>
  </si>
  <si>
    <t xml:space="preserve">Sales </t>
  </si>
  <si>
    <t>Spares (BDT)</t>
  </si>
  <si>
    <t>Service
(BDT)</t>
  </si>
  <si>
    <t>TDS/VDS
(BDT)</t>
  </si>
  <si>
    <t>QTY; L</t>
  </si>
  <si>
    <t>Ach. Of CSA/SnM/OnM Renewal (Nos)</t>
  </si>
  <si>
    <t>Service (BDT)</t>
  </si>
  <si>
    <t>TDS/VDS  (BDT)</t>
  </si>
  <si>
    <t>Ach. Of CSA/SnM/OnM Renewal  (BDT)</t>
  </si>
  <si>
    <t>Basic Salary (BDT)</t>
  </si>
  <si>
    <t>Conveyance Allowance (BDT)</t>
  </si>
  <si>
    <t>Food Allowance (BDT)</t>
  </si>
  <si>
    <t>Mobile Allowance (BDT)</t>
  </si>
  <si>
    <t>Total (BDT)</t>
  </si>
  <si>
    <t>Addition (BDT)</t>
  </si>
  <si>
    <t>Deduction (BDT)</t>
  </si>
  <si>
    <t>Misc</t>
  </si>
  <si>
    <r>
      <t>No input</t>
    </r>
    <r>
      <rPr>
        <b/>
        <sz val="11"/>
        <color rgb="FFC00000"/>
        <rFont val="Arial"/>
        <family val="2"/>
      </rPr>
      <t>▼</t>
    </r>
  </si>
  <si>
    <t>Md. Habibur Rahman</t>
  </si>
  <si>
    <t>Ashikur Rahman</t>
  </si>
  <si>
    <t>Md. Sujon Hossain</t>
  </si>
  <si>
    <t>`01816461480</t>
  </si>
  <si>
    <t>`01870236390</t>
  </si>
  <si>
    <t>`01924011300</t>
  </si>
  <si>
    <t>`01977786210</t>
  </si>
  <si>
    <t>`02031561120</t>
  </si>
  <si>
    <t>`02085336030</t>
  </si>
  <si>
    <t>`02139110940</t>
  </si>
  <si>
    <t>`02192885850</t>
  </si>
  <si>
    <t>`02246660760</t>
  </si>
  <si>
    <t>`02300435670</t>
  </si>
  <si>
    <t>`02354210580</t>
  </si>
  <si>
    <t>`02407985490</t>
  </si>
  <si>
    <t>`02461760400</t>
  </si>
  <si>
    <t>`02515535310</t>
  </si>
  <si>
    <t>`02569310220</t>
  </si>
  <si>
    <t>`02623085130</t>
  </si>
  <si>
    <t>`02676860040</t>
  </si>
  <si>
    <t>`02730634950</t>
  </si>
  <si>
    <t>`02784409860</t>
  </si>
  <si>
    <t>`02838184770</t>
  </si>
  <si>
    <t>`02891959680</t>
  </si>
  <si>
    <t>`02945734590</t>
  </si>
  <si>
    <t>`02999509500</t>
  </si>
  <si>
    <t>`03053284410</t>
  </si>
  <si>
    <t>`03107059320</t>
  </si>
  <si>
    <t>`03160834230</t>
  </si>
  <si>
    <t>New-2</t>
  </si>
  <si>
    <t>New-3</t>
  </si>
  <si>
    <t>New-4</t>
  </si>
  <si>
    <t>New-5</t>
  </si>
  <si>
    <t>New-6</t>
  </si>
  <si>
    <r>
      <t>input</t>
    </r>
    <r>
      <rPr>
        <b/>
        <sz val="11"/>
        <color rgb="FF00B050"/>
        <rFont val="Arial"/>
        <family val="2"/>
      </rPr>
      <t>▼</t>
    </r>
    <r>
      <rPr>
        <b/>
        <sz val="8"/>
        <color rgb="FF00B050"/>
        <rFont val="Arial"/>
        <family val="2"/>
      </rPr>
      <t>(if Require)</t>
    </r>
  </si>
  <si>
    <r>
      <t xml:space="preserve">100% achievement of </t>
    </r>
    <r>
      <rPr>
        <b/>
        <sz val="11"/>
        <color theme="1"/>
        <rFont val="Calibri"/>
        <family val="2"/>
        <scheme val="minor"/>
      </rPr>
      <t>monthly</t>
    </r>
    <r>
      <rPr>
        <sz val="11"/>
        <color theme="1"/>
        <rFont val="Calibri"/>
        <family val="2"/>
        <scheme val="minor"/>
      </rPr>
      <t xml:space="preserve"> collection budget</t>
    </r>
  </si>
  <si>
    <t xml:space="preserve">Amended </t>
  </si>
  <si>
    <t>0522</t>
  </si>
  <si>
    <t xml:space="preserve">Md Jiaur Rahman </t>
  </si>
  <si>
    <t>Md. Shohidul</t>
  </si>
  <si>
    <t>Sumon Sen</t>
  </si>
  <si>
    <t>Sozol Prince</t>
  </si>
  <si>
    <t>FY 2022-23</t>
  </si>
  <si>
    <t>127.0.0.1</t>
  </si>
  <si>
    <t>BU</t>
  </si>
  <si>
    <t>ASEUID</t>
  </si>
  <si>
    <t>MonthYearName</t>
  </si>
  <si>
    <t>TargetType</t>
  </si>
  <si>
    <t>StartDate</t>
  </si>
  <si>
    <t>EndDate</t>
  </si>
  <si>
    <t>TargetAmount</t>
  </si>
  <si>
    <t>AchievedPerc</t>
  </si>
  <si>
    <t>AchievedAmount</t>
  </si>
  <si>
    <t>NewContract</t>
  </si>
  <si>
    <t>RenewContract</t>
  </si>
  <si>
    <t>UserID</t>
  </si>
  <si>
    <t>EntryDateTime</t>
  </si>
  <si>
    <t>HostName</t>
  </si>
  <si>
    <t>FY 2022-24</t>
  </si>
  <si>
    <t>FY 2022-25</t>
  </si>
  <si>
    <t>FY 2022-26</t>
  </si>
  <si>
    <t>FY 2022-27</t>
  </si>
  <si>
    <t>FY 2022-28</t>
  </si>
  <si>
    <t>FY 2022-29</t>
  </si>
  <si>
    <t>FY 2022-30</t>
  </si>
  <si>
    <t>FY 2022-31</t>
  </si>
  <si>
    <t>FY 2022-32</t>
  </si>
  <si>
    <t>FY 2022-33</t>
  </si>
  <si>
    <t>FY 2022-34</t>
  </si>
  <si>
    <t>FY 2022-35</t>
  </si>
  <si>
    <t>FY 2022-36</t>
  </si>
  <si>
    <t>FY 2022-37</t>
  </si>
  <si>
    <t>FY 2022-38</t>
  </si>
  <si>
    <t>FY 2022-39</t>
  </si>
  <si>
    <t>FY 2022-40</t>
  </si>
  <si>
    <t>FY 2022-41</t>
  </si>
  <si>
    <t>FY 2022-42</t>
  </si>
  <si>
    <t>FY 2022-43</t>
  </si>
  <si>
    <t>FY 2022-44</t>
  </si>
  <si>
    <t>FY 2022-45</t>
  </si>
  <si>
    <t>FY 2022-46</t>
  </si>
  <si>
    <t>July,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</si>
</sst>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&quot;Additional &quot;0.00%"/>
    <numFmt numFmtId="166" formatCode="0%&quot; of Sales&quot;"/>
    <numFmt numFmtId="167" formatCode="0%&quot; of Last Month&quot;"/>
    <numFmt numFmtId="168" formatCode="0%&quot; X&quot;"/>
    <numFmt numFmtId="169" formatCode="0%&quot; of Present Month&quot;"/>
    <numFmt numFmtId="170" formatCode="&quot;Tk. &quot;\5&quot; / Liter&quot;"/>
    <numFmt numFmtId="171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C00000"/>
      <name val="Arial"/>
      <family val="2"/>
    </font>
    <font>
      <b/>
      <sz val="8"/>
      <color rgb="FF00B050"/>
      <name val="Arial"/>
      <family val="2"/>
    </font>
    <font>
      <b/>
      <sz val="10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auto="1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/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3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43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vertical="center"/>
    </xf>
    <xf numFmtId="43" fontId="0" fillId="0" borderId="0" xfId="1" applyFont="1" applyBorder="1"/>
    <xf numFmtId="43" fontId="0" fillId="0" borderId="0" xfId="1" applyFont="1" applyBorder="1" applyAlignment="1">
      <alignment horizontal="center"/>
    </xf>
    <xf numFmtId="43" fontId="0" fillId="0" borderId="0" xfId="0" applyNumberFormat="1"/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3" fillId="2" borderId="1" xfId="0" applyFont="1" applyFill="1" applyBorder="1"/>
    <xf numFmtId="49" fontId="0" fillId="0" borderId="1" xfId="0" applyNumberFormat="1" applyBorder="1" applyAlignment="1">
      <alignment horizontal="center"/>
    </xf>
    <xf numFmtId="0" fontId="0" fillId="0" borderId="1" xfId="0" applyBorder="1"/>
    <xf numFmtId="43" fontId="0" fillId="0" borderId="1" xfId="1" applyFont="1" applyBorder="1"/>
    <xf numFmtId="43" fontId="0" fillId="0" borderId="18" xfId="1" applyFont="1" applyBorder="1"/>
    <xf numFmtId="49" fontId="0" fillId="0" borderId="1" xfId="0" applyNumberForma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49" fontId="0" fillId="0" borderId="1" xfId="0" quotePrefix="1" applyNumberFormat="1" applyBorder="1" applyAlignment="1">
      <alignment horizontal="center"/>
    </xf>
    <xf numFmtId="15" fontId="3" fillId="0" borderId="1" xfId="0" applyNumberFormat="1" applyFont="1" applyBorder="1" applyAlignment="1">
      <alignment horizontal="center" vertical="center"/>
    </xf>
    <xf numFmtId="43" fontId="0" fillId="2" borderId="1" xfId="1" applyFont="1" applyFill="1" applyBorder="1"/>
    <xf numFmtId="43" fontId="0" fillId="2" borderId="18" xfId="1" applyFont="1" applyFill="1" applyBorder="1"/>
    <xf numFmtId="49" fontId="4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2" borderId="19" xfId="0" applyFont="1" applyFill="1" applyBorder="1" applyAlignment="1">
      <alignment horizontal="center" vertical="center"/>
    </xf>
    <xf numFmtId="0" fontId="3" fillId="2" borderId="20" xfId="0" applyFont="1" applyFill="1" applyBorder="1"/>
    <xf numFmtId="0" fontId="0" fillId="0" borderId="20" xfId="0" applyBorder="1"/>
    <xf numFmtId="43" fontId="0" fillId="0" borderId="20" xfId="1" applyFont="1" applyBorder="1"/>
    <xf numFmtId="0" fontId="2" fillId="2" borderId="2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17" fillId="4" borderId="1" xfId="2" applyFont="1" applyFill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3" fontId="18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1" applyNumberFormat="1" applyFont="1" applyBorder="1" applyAlignment="1">
      <alignment horizontal="center" vertical="center"/>
    </xf>
    <xf numFmtId="43" fontId="0" fillId="0" borderId="21" xfId="1" applyFont="1" applyBorder="1"/>
    <xf numFmtId="0" fontId="2" fillId="0" borderId="1" xfId="0" applyFont="1" applyBorder="1" applyAlignment="1">
      <alignment horizontal="center"/>
    </xf>
    <xf numFmtId="0" fontId="21" fillId="4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164" fontId="0" fillId="0" borderId="1" xfId="1" applyNumberFormat="1" applyFont="1" applyBorder="1"/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67" fontId="25" fillId="4" borderId="1" xfId="0" applyNumberFormat="1" applyFont="1" applyFill="1" applyBorder="1"/>
    <xf numFmtId="169" fontId="25" fillId="4" borderId="1" xfId="0" applyNumberFormat="1" applyFont="1" applyFill="1" applyBorder="1"/>
    <xf numFmtId="0" fontId="26" fillId="0" borderId="0" xfId="0" applyFont="1" applyAlignment="1">
      <alignment vertical="center"/>
    </xf>
    <xf numFmtId="9" fontId="0" fillId="5" borderId="1" xfId="2" applyFont="1" applyFill="1" applyBorder="1" applyAlignment="1">
      <alignment horizontal="center" vertical="center"/>
    </xf>
    <xf numFmtId="9" fontId="17" fillId="5" borderId="1" xfId="2" applyFont="1" applyFill="1" applyBorder="1" applyAlignment="1">
      <alignment horizontal="center" vertical="center"/>
    </xf>
    <xf numFmtId="9" fontId="17" fillId="3" borderId="1" xfId="2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3" fontId="0" fillId="0" borderId="1" xfId="1" applyFont="1" applyBorder="1" applyAlignment="1">
      <alignment horizontal="center" vertical="center"/>
    </xf>
    <xf numFmtId="0" fontId="27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164" fontId="0" fillId="0" borderId="0" xfId="1" applyNumberFormat="1" applyFont="1" applyBorder="1"/>
    <xf numFmtId="0" fontId="13" fillId="0" borderId="1" xfId="0" applyFont="1" applyBorder="1" applyAlignment="1">
      <alignment horizontal="center" vertical="center"/>
    </xf>
    <xf numFmtId="0" fontId="27" fillId="3" borderId="5" xfId="0" applyFont="1" applyFill="1" applyBorder="1" applyAlignment="1">
      <alignment vertical="center" wrapText="1"/>
    </xf>
    <xf numFmtId="0" fontId="28" fillId="7" borderId="5" xfId="0" applyFont="1" applyFill="1" applyBorder="1" applyAlignment="1">
      <alignment vertical="center" wrapText="1"/>
    </xf>
    <xf numFmtId="0" fontId="28" fillId="8" borderId="5" xfId="0" applyFont="1" applyFill="1" applyBorder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3" fontId="24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37" fontId="0" fillId="0" borderId="1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0" borderId="0" xfId="0" applyFont="1"/>
    <xf numFmtId="1" fontId="26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9" fontId="32" fillId="0" borderId="0" xfId="2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4" fillId="2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43" fontId="11" fillId="0" borderId="1" xfId="1" applyFont="1" applyBorder="1" applyAlignment="1">
      <alignment vertical="center"/>
    </xf>
    <xf numFmtId="0" fontId="11" fillId="0" borderId="1" xfId="0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1" fillId="0" borderId="1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>
      <alignment vertical="center"/>
    </xf>
    <xf numFmtId="10" fontId="0" fillId="9" borderId="1" xfId="0" applyNumberFormat="1" applyFill="1" applyBorder="1" applyAlignment="1">
      <alignment horizontal="center" vertical="center"/>
    </xf>
    <xf numFmtId="43" fontId="18" fillId="0" borderId="0" xfId="0" applyNumberFormat="1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43" fontId="0" fillId="0" borderId="1" xfId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15" fontId="5" fillId="0" borderId="20" xfId="0" applyNumberFormat="1" applyFont="1" applyBorder="1" applyAlignment="1">
      <alignment horizontal="center" vertical="center"/>
    </xf>
    <xf numFmtId="0" fontId="3" fillId="5" borderId="1" xfId="0" applyFont="1" applyFill="1" applyBorder="1"/>
    <xf numFmtId="0" fontId="3" fillId="5" borderId="20" xfId="0" applyFont="1" applyFill="1" applyBorder="1"/>
    <xf numFmtId="0" fontId="35" fillId="2" borderId="1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164" fontId="11" fillId="2" borderId="1" xfId="1" applyNumberFormat="1" applyFont="1" applyFill="1" applyBorder="1" applyAlignment="1">
      <alignment horizontal="center" vertical="center"/>
    </xf>
    <xf numFmtId="43" fontId="11" fillId="2" borderId="1" xfId="1" applyFont="1" applyFill="1" applyBorder="1" applyAlignment="1">
      <alignment vertical="center"/>
    </xf>
    <xf numFmtId="0" fontId="11" fillId="2" borderId="1" xfId="0" applyNumberFormat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164" fontId="11" fillId="2" borderId="1" xfId="0" applyNumberFormat="1" applyFont="1" applyFill="1" applyBorder="1" applyAlignment="1">
      <alignment vertical="center"/>
    </xf>
    <xf numFmtId="0" fontId="11" fillId="9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 wrapText="1"/>
    </xf>
    <xf numFmtId="164" fontId="11" fillId="9" borderId="1" xfId="1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vertical="center" wrapText="1"/>
    </xf>
    <xf numFmtId="43" fontId="11" fillId="9" borderId="1" xfId="1" applyFont="1" applyFill="1" applyBorder="1" applyAlignment="1">
      <alignment vertical="center"/>
    </xf>
    <xf numFmtId="164" fontId="11" fillId="9" borderId="1" xfId="1" applyNumberFormat="1" applyFont="1" applyFill="1" applyBorder="1" applyAlignment="1">
      <alignment vertical="center"/>
    </xf>
    <xf numFmtId="0" fontId="11" fillId="9" borderId="1" xfId="0" applyNumberFormat="1" applyFont="1" applyFill="1" applyBorder="1" applyAlignment="1">
      <alignment horizontal="center" vertical="center"/>
    </xf>
    <xf numFmtId="164" fontId="11" fillId="10" borderId="1" xfId="1" applyNumberFormat="1" applyFont="1" applyFill="1" applyBorder="1" applyAlignment="1">
      <alignment horizontal="center" vertical="center"/>
    </xf>
    <xf numFmtId="43" fontId="11" fillId="10" borderId="1" xfId="1" applyFont="1" applyFill="1" applyBorder="1" applyAlignment="1">
      <alignment vertical="center"/>
    </xf>
    <xf numFmtId="9" fontId="11" fillId="2" borderId="0" xfId="2" applyFont="1" applyFill="1" applyAlignment="1">
      <alignment vertical="center"/>
    </xf>
    <xf numFmtId="10" fontId="12" fillId="2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165" fontId="14" fillId="2" borderId="1" xfId="0" applyNumberFormat="1" applyFont="1" applyFill="1" applyBorder="1" applyAlignment="1">
      <alignment vertical="center" wrapText="1"/>
    </xf>
    <xf numFmtId="165" fontId="14" fillId="2" borderId="1" xfId="0" applyNumberFormat="1" applyFont="1" applyFill="1" applyBorder="1" applyAlignment="1">
      <alignment horizontal="center" vertical="center" wrapText="1"/>
    </xf>
    <xf numFmtId="171" fontId="11" fillId="2" borderId="1" xfId="0" applyNumberFormat="1" applyFont="1" applyFill="1" applyBorder="1" applyAlignment="1">
      <alignment vertical="center"/>
    </xf>
    <xf numFmtId="49" fontId="0" fillId="0" borderId="0" xfId="0" applyNumberFormat="1"/>
    <xf numFmtId="0" fontId="0" fillId="0" borderId="0" xfId="0" applyNumberFormat="1"/>
    <xf numFmtId="168" fontId="25" fillId="4" borderId="1" xfId="0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6" fontId="26" fillId="5" borderId="23" xfId="0" applyNumberFormat="1" applyFont="1" applyFill="1" applyBorder="1" applyAlignment="1">
      <alignment horizontal="center"/>
    </xf>
    <xf numFmtId="166" fontId="26" fillId="5" borderId="12" xfId="0" applyNumberFormat="1" applyFont="1" applyFill="1" applyBorder="1" applyAlignment="1">
      <alignment horizontal="center"/>
    </xf>
    <xf numFmtId="0" fontId="7" fillId="5" borderId="10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29" fillId="2" borderId="27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2" fillId="6" borderId="24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43" fontId="23" fillId="0" borderId="1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24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17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0" fontId="0" fillId="11" borderId="0" xfId="0" applyFill="1"/>
    <xf numFmtId="14" fontId="0" fillId="11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8">
    <cellStyle name="Comma" xfId="1" builtinId="3"/>
    <cellStyle name="Comma 2" xfId="4"/>
    <cellStyle name="Comma 3" xfId="6"/>
    <cellStyle name="Normal" xfId="0" builtinId="0"/>
    <cellStyle name="Normal 2" xfId="3"/>
    <cellStyle name="Normal 2 2" xfId="5"/>
    <cellStyle name="Percent" xfId="2" builtinId="5"/>
    <cellStyle name="Percent 2" xfId="7"/>
  </cellStyles>
  <dxfs count="3"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ASE%20Salary%20DHK%20%20Jan%6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vidual"/>
      <sheetName val="Total"/>
      <sheetName val="list of incentive "/>
      <sheetName val="Sheet1"/>
      <sheetName val="ASE Target, FY 21-22"/>
      <sheetName val="Sheet4"/>
      <sheetName val="Cash"/>
      <sheetName val="Bank Sheet"/>
    </sheetNames>
    <sheetDataSet>
      <sheetData sheetId="0"/>
      <sheetData sheetId="1"/>
      <sheetData sheetId="2">
        <row r="3">
          <cell r="E3" t="str">
            <v xml:space="preserve"> Salary of Ohid Hasan Saikat, ASE, Spare Parts, PED</v>
          </cell>
        </row>
        <row r="4">
          <cell r="E4" t="str">
            <v>Salary of Sagar Chakrabarti, ASE, Spare Parts, PED</v>
          </cell>
        </row>
        <row r="5">
          <cell r="E5" t="str">
            <v>Salary of Md Minhazul Alam, ASE, Spare Parts, PED</v>
          </cell>
        </row>
        <row r="6">
          <cell r="E6" t="str">
            <v>Salary of Faysal Ahmed , ASE, Spare Parts, PED</v>
          </cell>
        </row>
        <row r="7">
          <cell r="E7" t="str">
            <v>Salary of Md. Rakibul Islam3 , ASE, Spare Parts, PED</v>
          </cell>
        </row>
        <row r="8">
          <cell r="E8" t="str">
            <v>Salary of Nazmul Hasan Titu , ASE, Spare Parts, PED</v>
          </cell>
        </row>
        <row r="9">
          <cell r="E9" t="str">
            <v>Salary of Zahirul Islam, ASE, Spare Parts, PED</v>
          </cell>
        </row>
        <row r="10">
          <cell r="E10" t="str">
            <v>Salary of Shohidul, ASE, Spare Parts, PED</v>
          </cell>
        </row>
        <row r="11">
          <cell r="E11" t="str">
            <v>Salary of  Rakibul Hasan, ASE, Spare Parts, PED</v>
          </cell>
        </row>
        <row r="12">
          <cell r="E12" t="str">
            <v>Salary of Abdullah Al Mahmud , ASE, Spare Parts, PED</v>
          </cell>
        </row>
        <row r="13">
          <cell r="E13" t="str">
            <v>Salary of Md. Ashraful Islam, ASE, Spare Parts, PED</v>
          </cell>
        </row>
        <row r="14">
          <cell r="E14" t="str">
            <v>Salary of Rakibul Islam Razib, ASE, Spare Parts, PED</v>
          </cell>
        </row>
        <row r="15">
          <cell r="E15" t="str">
            <v>Salary of Amirul Islam, ASE, Spare Parts, PED</v>
          </cell>
        </row>
        <row r="16">
          <cell r="E16" t="str">
            <v>Salary of Md. Jafor Ikbal, ASE, Spare Parts, PED</v>
          </cell>
        </row>
        <row r="17">
          <cell r="E17" t="str">
            <v>Salary of Md. Ariful Islam, ASE, Spare Parts, PED</v>
          </cell>
        </row>
        <row r="18">
          <cell r="E18" t="str">
            <v>Salary of Apurbo Kumar Gain, Spare Parts, PED</v>
          </cell>
        </row>
        <row r="19">
          <cell r="E19" t="str">
            <v>Salary of Mohammad Jewel Rana, ASE, Spare Parts, PED</v>
          </cell>
        </row>
        <row r="20">
          <cell r="E20" t="str">
            <v>Salary of Md.Jiaur Rahman, ASE, Spare Parts, PED</v>
          </cell>
        </row>
      </sheetData>
      <sheetData sheetId="3">
        <row r="1">
          <cell r="CM1" t="str">
            <v>Salary of Ihsan Sardum, ASE, Spare Parts, PED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AA69"/>
  <sheetViews>
    <sheetView showGridLines="0" view="pageBreakPreview" zoomScaleNormal="100" zoomScaleSheetLayoutView="100" workbookViewId="0">
      <pane ySplit="5" topLeftCell="A20" activePane="bottomLeft" state="frozen"/>
      <selection pane="bottomLeft" activeCell="H7" sqref="H7:H26"/>
    </sheetView>
  </sheetViews>
  <sheetFormatPr defaultRowHeight="15" x14ac:dyDescent="0.25"/>
  <cols>
    <col min="1" max="1" width="5.42578125" style="1" customWidth="1"/>
    <col min="2" max="2" width="9.140625" style="1"/>
    <col min="3" max="3" width="20.85546875" customWidth="1"/>
    <col min="4" max="4" width="13.7109375" style="7" customWidth="1"/>
    <col min="5" max="5" width="14.28515625" customWidth="1"/>
    <col min="6" max="6" width="21" style="2" customWidth="1"/>
    <col min="7" max="7" width="18.42578125" bestFit="1" customWidth="1"/>
    <col min="8" max="8" width="19.5703125" customWidth="1"/>
    <col min="9" max="11" width="16.7109375" customWidth="1"/>
    <col min="12" max="12" width="19.5703125" customWidth="1"/>
    <col min="13" max="15" width="16.7109375" customWidth="1"/>
    <col min="16" max="16" width="23.28515625" customWidth="1"/>
    <col min="17" max="19" width="16.7109375" bestFit="1" customWidth="1"/>
    <col min="20" max="20" width="11.5703125" bestFit="1" customWidth="1"/>
  </cols>
  <sheetData>
    <row r="2" spans="1:27" ht="15.75" x14ac:dyDescent="0.25">
      <c r="B2" s="23" t="str">
        <f>'ASE Target vs Ach(Spares)(Inpt)'!C2</f>
        <v>Month</v>
      </c>
      <c r="C2" s="24" t="str">
        <f>'ASE Target vs Ach(Spares)(Inpt)'!D2</f>
        <v>Jul</v>
      </c>
      <c r="D2" s="11" t="str">
        <f>'ASE Target vs Ach(Spares)(Inpt)'!E2</f>
        <v>&lt;&lt;&lt; No input</v>
      </c>
    </row>
    <row r="3" spans="1:27" ht="15.75" thickBot="1" x14ac:dyDescent="0.3"/>
    <row r="4" spans="1:27" ht="16.5" thickBot="1" x14ac:dyDescent="0.3">
      <c r="A4" s="180" t="s">
        <v>60</v>
      </c>
      <c r="B4" s="181"/>
      <c r="C4" s="182" t="s">
        <v>129</v>
      </c>
      <c r="D4" s="183"/>
      <c r="E4" s="178"/>
      <c r="F4" s="179"/>
      <c r="G4" s="11" t="s">
        <v>172</v>
      </c>
      <c r="H4" s="118" t="s">
        <v>207</v>
      </c>
      <c r="I4" s="118" t="s">
        <v>207</v>
      </c>
      <c r="J4" s="118" t="s">
        <v>207</v>
      </c>
      <c r="K4" s="118" t="s">
        <v>207</v>
      </c>
      <c r="L4" s="118" t="s">
        <v>207</v>
      </c>
      <c r="M4" s="118" t="s">
        <v>207</v>
      </c>
      <c r="N4" s="118" t="s">
        <v>207</v>
      </c>
      <c r="O4" s="118" t="s">
        <v>207</v>
      </c>
      <c r="P4" s="118" t="s">
        <v>207</v>
      </c>
      <c r="Q4" s="118" t="s">
        <v>207</v>
      </c>
      <c r="R4" s="118" t="s">
        <v>207</v>
      </c>
      <c r="S4" s="118" t="s">
        <v>207</v>
      </c>
    </row>
    <row r="5" spans="1:27" s="3" customFormat="1" ht="20.100000000000001" customHeight="1" x14ac:dyDescent="0.25">
      <c r="A5" s="67" t="s">
        <v>0</v>
      </c>
      <c r="B5" s="68" t="s">
        <v>1</v>
      </c>
      <c r="C5" s="68" t="s">
        <v>2</v>
      </c>
      <c r="D5" s="69" t="s">
        <v>3</v>
      </c>
      <c r="E5" s="45" t="s">
        <v>4</v>
      </c>
      <c r="F5" s="45" t="s">
        <v>5</v>
      </c>
      <c r="G5" s="45" t="s">
        <v>6</v>
      </c>
      <c r="H5" s="45" t="s">
        <v>47</v>
      </c>
      <c r="I5" s="45" t="s">
        <v>48</v>
      </c>
      <c r="J5" s="45" t="s">
        <v>49</v>
      </c>
      <c r="K5" s="45" t="s">
        <v>50</v>
      </c>
      <c r="L5" s="45" t="s">
        <v>51</v>
      </c>
      <c r="M5" s="45" t="s">
        <v>52</v>
      </c>
      <c r="N5" s="45" t="s">
        <v>53</v>
      </c>
      <c r="O5" s="45" t="s">
        <v>54</v>
      </c>
      <c r="P5" s="45" t="s">
        <v>55</v>
      </c>
      <c r="Q5" s="45" t="s">
        <v>56</v>
      </c>
      <c r="R5" s="45" t="s">
        <v>57</v>
      </c>
      <c r="S5" s="46" t="s">
        <v>58</v>
      </c>
    </row>
    <row r="6" spans="1:27" ht="15" customHeight="1" x14ac:dyDescent="0.25">
      <c r="A6" s="47">
        <v>1</v>
      </c>
      <c r="B6" s="48" t="s">
        <v>7</v>
      </c>
      <c r="C6" s="48" t="s">
        <v>83</v>
      </c>
      <c r="D6" s="49">
        <v>1418</v>
      </c>
      <c r="E6" s="50" t="s">
        <v>8</v>
      </c>
      <c r="F6" s="25"/>
      <c r="G6" s="51">
        <f>SUM(H6:S6)</f>
        <v>2700000</v>
      </c>
      <c r="H6" s="52">
        <v>500000</v>
      </c>
      <c r="I6" s="51"/>
      <c r="J6" s="51"/>
      <c r="K6" s="51"/>
      <c r="L6" s="51"/>
      <c r="M6" s="51"/>
      <c r="N6" s="51"/>
      <c r="O6" s="51">
        <v>600000</v>
      </c>
      <c r="P6" s="51">
        <v>300000</v>
      </c>
      <c r="Q6" s="51">
        <v>400000</v>
      </c>
      <c r="R6" s="51">
        <v>400000</v>
      </c>
      <c r="S6" s="52">
        <v>500000</v>
      </c>
    </row>
    <row r="7" spans="1:27" ht="15" customHeight="1" x14ac:dyDescent="0.25">
      <c r="A7" s="47">
        <v>2</v>
      </c>
      <c r="B7" s="48" t="s">
        <v>7</v>
      </c>
      <c r="C7" s="48" t="s">
        <v>9</v>
      </c>
      <c r="D7" s="53">
        <v>2701</v>
      </c>
      <c r="E7" s="50" t="s">
        <v>10</v>
      </c>
      <c r="F7" s="25"/>
      <c r="G7" s="51">
        <f>SUM(H7:S7)</f>
        <v>250000</v>
      </c>
      <c r="H7" s="52"/>
      <c r="I7" s="51"/>
      <c r="J7" s="51"/>
      <c r="K7" s="51"/>
      <c r="L7" s="51"/>
      <c r="M7" s="51"/>
      <c r="N7" s="51"/>
      <c r="O7" s="51">
        <v>250000</v>
      </c>
      <c r="P7" s="51"/>
      <c r="Q7" s="51"/>
      <c r="R7" s="51"/>
      <c r="S7" s="52"/>
    </row>
    <row r="8" spans="1:27" ht="15" customHeight="1" x14ac:dyDescent="0.25">
      <c r="A8" s="47">
        <v>3</v>
      </c>
      <c r="B8" s="48" t="s">
        <v>7</v>
      </c>
      <c r="C8" s="48" t="s">
        <v>11</v>
      </c>
      <c r="D8" s="49">
        <v>2330</v>
      </c>
      <c r="E8" s="50" t="s">
        <v>12</v>
      </c>
      <c r="F8" s="25"/>
      <c r="G8" s="51">
        <f t="shared" ref="G8:G34" si="0">SUM(H8:S8)</f>
        <v>2000000</v>
      </c>
      <c r="H8" s="52"/>
      <c r="I8" s="51"/>
      <c r="J8" s="51"/>
      <c r="K8" s="51"/>
      <c r="L8" s="51"/>
      <c r="M8" s="51"/>
      <c r="N8" s="51"/>
      <c r="O8" s="51">
        <v>1000000</v>
      </c>
      <c r="P8" s="51">
        <v>1000000</v>
      </c>
      <c r="Q8" s="51"/>
      <c r="R8" s="51"/>
      <c r="S8" s="52"/>
    </row>
    <row r="9" spans="1:27" ht="15" customHeight="1" x14ac:dyDescent="0.25">
      <c r="A9" s="47">
        <v>4</v>
      </c>
      <c r="B9" s="48" t="s">
        <v>7</v>
      </c>
      <c r="C9" s="48" t="s">
        <v>13</v>
      </c>
      <c r="D9" s="49">
        <v>2913</v>
      </c>
      <c r="E9" s="50" t="s">
        <v>14</v>
      </c>
      <c r="F9" s="25"/>
      <c r="G9" s="51">
        <f t="shared" si="0"/>
        <v>1500000</v>
      </c>
      <c r="H9" s="52">
        <v>250000</v>
      </c>
      <c r="I9" s="51"/>
      <c r="J9" s="51"/>
      <c r="K9" s="51"/>
      <c r="L9" s="51"/>
      <c r="M9" s="51"/>
      <c r="N9" s="51"/>
      <c r="O9" s="51">
        <v>250000</v>
      </c>
      <c r="P9" s="51">
        <v>250000</v>
      </c>
      <c r="Q9" s="51">
        <v>250000</v>
      </c>
      <c r="R9" s="51">
        <v>250000</v>
      </c>
      <c r="S9" s="52">
        <v>250000</v>
      </c>
    </row>
    <row r="10" spans="1:27" ht="15" customHeight="1" x14ac:dyDescent="0.25">
      <c r="A10" s="47">
        <v>5</v>
      </c>
      <c r="B10" s="48" t="s">
        <v>7</v>
      </c>
      <c r="C10" s="48" t="s">
        <v>15</v>
      </c>
      <c r="D10" s="49">
        <v>2914</v>
      </c>
      <c r="E10" s="50" t="s">
        <v>16</v>
      </c>
      <c r="F10" s="54"/>
      <c r="G10" s="51">
        <f t="shared" si="0"/>
        <v>5600000</v>
      </c>
      <c r="H10" s="52">
        <v>1000000</v>
      </c>
      <c r="I10" s="51"/>
      <c r="J10" s="51"/>
      <c r="K10" s="51"/>
      <c r="L10" s="51"/>
      <c r="M10" s="51"/>
      <c r="N10" s="51"/>
      <c r="O10" s="51">
        <v>800000</v>
      </c>
      <c r="P10" s="51">
        <v>800000</v>
      </c>
      <c r="Q10" s="51">
        <v>1000000</v>
      </c>
      <c r="R10" s="51">
        <v>1000000</v>
      </c>
      <c r="S10" s="52">
        <v>1000000</v>
      </c>
      <c r="T10" s="44"/>
      <c r="U10" s="44"/>
      <c r="V10" s="44"/>
      <c r="W10" s="44"/>
      <c r="X10" s="44"/>
      <c r="Y10" s="44"/>
      <c r="Z10" s="44"/>
      <c r="AA10" s="44"/>
    </row>
    <row r="11" spans="1:27" ht="15" customHeight="1" x14ac:dyDescent="0.25">
      <c r="A11" s="47">
        <v>6</v>
      </c>
      <c r="B11" s="48" t="s">
        <v>7</v>
      </c>
      <c r="C11" s="48" t="s">
        <v>17</v>
      </c>
      <c r="D11" s="49">
        <v>2927</v>
      </c>
      <c r="E11" s="50" t="s">
        <v>18</v>
      </c>
      <c r="F11" s="54"/>
      <c r="G11" s="51">
        <f t="shared" si="0"/>
        <v>1900000</v>
      </c>
      <c r="H11" s="52">
        <v>300000</v>
      </c>
      <c r="I11" s="51"/>
      <c r="J11" s="51"/>
      <c r="K11" s="51"/>
      <c r="L11" s="51"/>
      <c r="M11" s="51"/>
      <c r="N11" s="51"/>
      <c r="O11" s="51">
        <v>400000</v>
      </c>
      <c r="P11" s="51">
        <v>300000</v>
      </c>
      <c r="Q11" s="51">
        <v>300000</v>
      </c>
      <c r="R11" s="51">
        <v>300000</v>
      </c>
      <c r="S11" s="52">
        <v>300000</v>
      </c>
    </row>
    <row r="12" spans="1:27" ht="15" customHeight="1" x14ac:dyDescent="0.25">
      <c r="A12" s="47">
        <v>7</v>
      </c>
      <c r="B12" s="48" t="s">
        <v>7</v>
      </c>
      <c r="C12" s="48" t="s">
        <v>19</v>
      </c>
      <c r="D12" s="49">
        <v>2699</v>
      </c>
      <c r="E12" s="50" t="s">
        <v>20</v>
      </c>
      <c r="F12" s="54"/>
      <c r="G12" s="51">
        <f t="shared" si="0"/>
        <v>2000000</v>
      </c>
      <c r="H12" s="52">
        <v>400000</v>
      </c>
      <c r="I12" s="51"/>
      <c r="J12" s="51"/>
      <c r="K12" s="51"/>
      <c r="L12" s="51"/>
      <c r="M12" s="51"/>
      <c r="N12" s="51"/>
      <c r="O12" s="51"/>
      <c r="P12" s="51">
        <v>400000</v>
      </c>
      <c r="Q12" s="51">
        <v>400000</v>
      </c>
      <c r="R12" s="51">
        <v>400000</v>
      </c>
      <c r="S12" s="52">
        <v>400000</v>
      </c>
    </row>
    <row r="13" spans="1:27" ht="15" customHeight="1" x14ac:dyDescent="0.25">
      <c r="A13" s="47">
        <v>8</v>
      </c>
      <c r="B13" s="48" t="s">
        <v>7</v>
      </c>
      <c r="C13" s="48" t="s">
        <v>21</v>
      </c>
      <c r="D13" s="55" t="s">
        <v>22</v>
      </c>
      <c r="E13" s="50" t="s">
        <v>23</v>
      </c>
      <c r="F13" s="56">
        <v>43893</v>
      </c>
      <c r="G13" s="51">
        <f t="shared" si="0"/>
        <v>3600000</v>
      </c>
      <c r="H13" s="52">
        <v>600000</v>
      </c>
      <c r="I13" s="51"/>
      <c r="J13" s="51"/>
      <c r="K13" s="51"/>
      <c r="L13" s="51"/>
      <c r="M13" s="51"/>
      <c r="N13" s="51"/>
      <c r="O13" s="51">
        <v>600000</v>
      </c>
      <c r="P13" s="51">
        <v>600000</v>
      </c>
      <c r="Q13" s="51">
        <v>600000</v>
      </c>
      <c r="R13" s="51">
        <v>600000</v>
      </c>
      <c r="S13" s="52">
        <v>600000</v>
      </c>
    </row>
    <row r="14" spans="1:27" ht="15" customHeight="1" x14ac:dyDescent="0.25">
      <c r="A14" s="47">
        <v>9</v>
      </c>
      <c r="B14" s="48" t="s">
        <v>7</v>
      </c>
      <c r="C14" s="48" t="s">
        <v>24</v>
      </c>
      <c r="D14" s="55" t="s">
        <v>25</v>
      </c>
      <c r="E14" s="50" t="s">
        <v>26</v>
      </c>
      <c r="F14" s="56">
        <v>43893</v>
      </c>
      <c r="G14" s="51">
        <f t="shared" si="0"/>
        <v>3600000</v>
      </c>
      <c r="H14" s="52">
        <v>600000</v>
      </c>
      <c r="I14" s="51"/>
      <c r="J14" s="51"/>
      <c r="K14" s="51"/>
      <c r="L14" s="51"/>
      <c r="M14" s="51"/>
      <c r="N14" s="51"/>
      <c r="O14" s="51">
        <v>600000</v>
      </c>
      <c r="P14" s="51">
        <v>600000</v>
      </c>
      <c r="Q14" s="51">
        <v>600000</v>
      </c>
      <c r="R14" s="51">
        <v>600000</v>
      </c>
      <c r="S14" s="52">
        <v>600000</v>
      </c>
    </row>
    <row r="15" spans="1:27" ht="15" customHeight="1" x14ac:dyDescent="0.25">
      <c r="A15" s="47">
        <v>10</v>
      </c>
      <c r="B15" s="48" t="s">
        <v>7</v>
      </c>
      <c r="C15" s="48" t="s">
        <v>27</v>
      </c>
      <c r="D15" s="55" t="s">
        <v>28</v>
      </c>
      <c r="E15" s="50" t="s">
        <v>29</v>
      </c>
      <c r="F15" s="56">
        <v>43893</v>
      </c>
      <c r="G15" s="51">
        <f t="shared" si="0"/>
        <v>1210000</v>
      </c>
      <c r="H15" s="52">
        <v>250000</v>
      </c>
      <c r="I15" s="51"/>
      <c r="J15" s="51"/>
      <c r="K15" s="51"/>
      <c r="L15" s="51"/>
      <c r="M15" s="51"/>
      <c r="N15" s="51"/>
      <c r="O15" s="51"/>
      <c r="P15" s="51">
        <v>230000</v>
      </c>
      <c r="Q15" s="51">
        <v>230000</v>
      </c>
      <c r="R15" s="51">
        <v>250000</v>
      </c>
      <c r="S15" s="52">
        <v>250000</v>
      </c>
    </row>
    <row r="16" spans="1:27" ht="15" customHeight="1" x14ac:dyDescent="0.25">
      <c r="A16" s="47">
        <v>11</v>
      </c>
      <c r="B16" s="48" t="s">
        <v>7</v>
      </c>
      <c r="C16" s="48" t="s">
        <v>30</v>
      </c>
      <c r="D16" s="49">
        <v>3003</v>
      </c>
      <c r="E16" s="50" t="s">
        <v>31</v>
      </c>
      <c r="F16" s="56">
        <v>43898</v>
      </c>
      <c r="G16" s="51">
        <f t="shared" si="0"/>
        <v>3600000</v>
      </c>
      <c r="H16" s="58">
        <v>500000</v>
      </c>
      <c r="I16" s="57"/>
      <c r="J16" s="57"/>
      <c r="K16" s="57"/>
      <c r="L16" s="57"/>
      <c r="M16" s="57"/>
      <c r="N16" s="57"/>
      <c r="O16" s="57">
        <v>800000</v>
      </c>
      <c r="P16" s="57">
        <v>800000</v>
      </c>
      <c r="Q16" s="57">
        <v>500000</v>
      </c>
      <c r="R16" s="57">
        <v>500000</v>
      </c>
      <c r="S16" s="58">
        <v>500000</v>
      </c>
    </row>
    <row r="17" spans="1:19" ht="15" customHeight="1" x14ac:dyDescent="0.25">
      <c r="A17" s="47">
        <v>12</v>
      </c>
      <c r="B17" s="48" t="s">
        <v>7</v>
      </c>
      <c r="C17" s="48" t="s">
        <v>32</v>
      </c>
      <c r="D17" s="59">
        <v>5690</v>
      </c>
      <c r="E17" s="50" t="s">
        <v>18</v>
      </c>
      <c r="F17" s="60">
        <v>44287</v>
      </c>
      <c r="G17" s="51">
        <f t="shared" si="0"/>
        <v>3600000</v>
      </c>
      <c r="H17" s="52">
        <v>600000</v>
      </c>
      <c r="I17" s="51"/>
      <c r="J17" s="51"/>
      <c r="K17" s="51"/>
      <c r="L17" s="51"/>
      <c r="M17" s="51"/>
      <c r="N17" s="51"/>
      <c r="O17" s="51">
        <v>600000</v>
      </c>
      <c r="P17" s="51">
        <v>600000</v>
      </c>
      <c r="Q17" s="51">
        <v>600000</v>
      </c>
      <c r="R17" s="51">
        <v>600000</v>
      </c>
      <c r="S17" s="52">
        <v>600000</v>
      </c>
    </row>
    <row r="18" spans="1:19" ht="15" customHeight="1" x14ac:dyDescent="0.25">
      <c r="A18" s="47">
        <v>13</v>
      </c>
      <c r="B18" s="48" t="s">
        <v>7</v>
      </c>
      <c r="C18" s="48" t="s">
        <v>33</v>
      </c>
      <c r="D18" s="59">
        <v>5691</v>
      </c>
      <c r="E18" s="50" t="s">
        <v>34</v>
      </c>
      <c r="F18" s="60">
        <v>44287</v>
      </c>
      <c r="G18" s="51">
        <f t="shared" si="0"/>
        <v>1900000</v>
      </c>
      <c r="H18" s="52">
        <v>300000</v>
      </c>
      <c r="I18" s="51"/>
      <c r="J18" s="51"/>
      <c r="K18" s="51"/>
      <c r="L18" s="51"/>
      <c r="M18" s="51"/>
      <c r="N18" s="51"/>
      <c r="O18" s="51">
        <v>300000</v>
      </c>
      <c r="P18" s="51">
        <v>400000</v>
      </c>
      <c r="Q18" s="51">
        <v>300000</v>
      </c>
      <c r="R18" s="51">
        <v>300000</v>
      </c>
      <c r="S18" s="52">
        <v>300000</v>
      </c>
    </row>
    <row r="19" spans="1:19" ht="15" customHeight="1" x14ac:dyDescent="0.25">
      <c r="A19" s="47">
        <v>14</v>
      </c>
      <c r="B19" s="48" t="s">
        <v>7</v>
      </c>
      <c r="C19" s="48" t="s">
        <v>35</v>
      </c>
      <c r="D19" s="59">
        <v>5692</v>
      </c>
      <c r="E19" s="50" t="s">
        <v>36</v>
      </c>
      <c r="F19" s="60">
        <v>44287</v>
      </c>
      <c r="G19" s="51">
        <f t="shared" si="0"/>
        <v>2700000</v>
      </c>
      <c r="H19" s="52">
        <v>400000</v>
      </c>
      <c r="I19" s="57"/>
      <c r="J19" s="57"/>
      <c r="K19" s="57"/>
      <c r="L19" s="57"/>
      <c r="M19" s="57"/>
      <c r="N19" s="57"/>
      <c r="O19" s="51">
        <v>700000</v>
      </c>
      <c r="P19" s="51">
        <v>400000</v>
      </c>
      <c r="Q19" s="51">
        <v>400000</v>
      </c>
      <c r="R19" s="51">
        <v>400000</v>
      </c>
      <c r="S19" s="52">
        <v>400000</v>
      </c>
    </row>
    <row r="20" spans="1:19" ht="15" customHeight="1" x14ac:dyDescent="0.25">
      <c r="A20" s="47">
        <v>15</v>
      </c>
      <c r="B20" s="48" t="s">
        <v>7</v>
      </c>
      <c r="C20" s="48" t="s">
        <v>37</v>
      </c>
      <c r="D20" s="59">
        <v>5927</v>
      </c>
      <c r="E20" s="50" t="s">
        <v>38</v>
      </c>
      <c r="F20" s="60">
        <v>44565</v>
      </c>
      <c r="G20" s="51">
        <f t="shared" si="0"/>
        <v>1150000</v>
      </c>
      <c r="H20" s="51">
        <v>230000</v>
      </c>
      <c r="I20" s="51"/>
      <c r="J20" s="51"/>
      <c r="K20" s="51"/>
      <c r="L20" s="51"/>
      <c r="M20" s="51"/>
      <c r="N20" s="51"/>
      <c r="O20" s="51"/>
      <c r="P20" s="51">
        <v>230000</v>
      </c>
      <c r="Q20" s="51">
        <v>230000</v>
      </c>
      <c r="R20" s="51">
        <v>230000</v>
      </c>
      <c r="S20" s="51">
        <v>230000</v>
      </c>
    </row>
    <row r="21" spans="1:19" ht="15" customHeight="1" x14ac:dyDescent="0.25">
      <c r="A21" s="47">
        <v>16</v>
      </c>
      <c r="B21" s="48" t="s">
        <v>7</v>
      </c>
      <c r="C21" s="48" t="s">
        <v>39</v>
      </c>
      <c r="D21" s="59">
        <v>5928</v>
      </c>
      <c r="E21" s="50"/>
      <c r="F21" s="60">
        <v>44565</v>
      </c>
      <c r="G21" s="51">
        <f t="shared" si="0"/>
        <v>1250000</v>
      </c>
      <c r="H21" s="52">
        <v>250000</v>
      </c>
      <c r="I21" s="51"/>
      <c r="J21" s="51"/>
      <c r="K21" s="51"/>
      <c r="L21" s="51"/>
      <c r="M21" s="51"/>
      <c r="N21" s="51"/>
      <c r="O21" s="51">
        <v>0</v>
      </c>
      <c r="P21" s="51">
        <v>250000</v>
      </c>
      <c r="Q21" s="51">
        <v>250000</v>
      </c>
      <c r="R21" s="51">
        <v>250000</v>
      </c>
      <c r="S21" s="52">
        <v>250000</v>
      </c>
    </row>
    <row r="22" spans="1:19" ht="15" customHeight="1" x14ac:dyDescent="0.25">
      <c r="A22" s="47">
        <v>17</v>
      </c>
      <c r="B22" s="48" t="s">
        <v>7</v>
      </c>
      <c r="C22" s="48" t="s">
        <v>40</v>
      </c>
      <c r="D22" s="59">
        <v>5929</v>
      </c>
      <c r="E22" s="50"/>
      <c r="F22" s="60">
        <v>44565</v>
      </c>
      <c r="G22" s="51">
        <f t="shared" si="0"/>
        <v>0</v>
      </c>
      <c r="H22" s="52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</row>
    <row r="23" spans="1:19" ht="15" customHeight="1" x14ac:dyDescent="0.25">
      <c r="A23" s="47">
        <v>14</v>
      </c>
      <c r="B23" s="48" t="s">
        <v>7</v>
      </c>
      <c r="C23" s="48" t="s">
        <v>173</v>
      </c>
      <c r="D23" s="59">
        <v>6079</v>
      </c>
      <c r="E23" s="50" t="s">
        <v>36</v>
      </c>
      <c r="F23" s="60">
        <v>44287</v>
      </c>
      <c r="G23" s="51">
        <f t="shared" ref="G23:G28" si="1">SUM(H23:S23)</f>
        <v>500000</v>
      </c>
      <c r="H23" s="52">
        <v>250000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2">
        <v>250000</v>
      </c>
    </row>
    <row r="24" spans="1:19" ht="15" customHeight="1" x14ac:dyDescent="0.25">
      <c r="A24" s="47">
        <v>15</v>
      </c>
      <c r="B24" s="48" t="s">
        <v>7</v>
      </c>
      <c r="C24" s="48" t="s">
        <v>174</v>
      </c>
      <c r="D24" s="59">
        <v>6080</v>
      </c>
      <c r="E24" s="50" t="s">
        <v>38</v>
      </c>
      <c r="F24" s="60">
        <v>44565</v>
      </c>
      <c r="G24" s="51">
        <f t="shared" si="1"/>
        <v>1000000</v>
      </c>
      <c r="H24" s="52">
        <v>500000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2">
        <v>500000</v>
      </c>
    </row>
    <row r="25" spans="1:19" ht="15" customHeight="1" x14ac:dyDescent="0.25">
      <c r="A25" s="47">
        <v>16</v>
      </c>
      <c r="B25" s="48" t="s">
        <v>7</v>
      </c>
      <c r="C25" s="48" t="s">
        <v>175</v>
      </c>
      <c r="D25" s="59">
        <v>6078</v>
      </c>
      <c r="E25" s="50"/>
      <c r="F25" s="60">
        <v>44565</v>
      </c>
      <c r="G25" s="51">
        <f t="shared" si="1"/>
        <v>1200000</v>
      </c>
      <c r="H25" s="52">
        <v>600000</v>
      </c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>
        <v>600000</v>
      </c>
    </row>
    <row r="26" spans="1:19" ht="15" customHeight="1" x14ac:dyDescent="0.25">
      <c r="A26" s="47">
        <v>15</v>
      </c>
      <c r="B26" s="48" t="s">
        <v>7</v>
      </c>
      <c r="C26" s="145" t="s">
        <v>211</v>
      </c>
      <c r="D26" s="59" t="s">
        <v>210</v>
      </c>
      <c r="E26" s="50" t="s">
        <v>38</v>
      </c>
      <c r="F26" s="60">
        <v>44565</v>
      </c>
      <c r="G26" s="51">
        <f t="shared" ref="G26:G27" si="2">SUM(H26:S26)</f>
        <v>4350000</v>
      </c>
      <c r="H26" s="52">
        <v>900000</v>
      </c>
      <c r="I26" s="51"/>
      <c r="J26" s="51"/>
      <c r="K26" s="51"/>
      <c r="L26" s="51"/>
      <c r="M26" s="51"/>
      <c r="N26" s="51"/>
      <c r="O26" s="51"/>
      <c r="P26" s="51">
        <v>850000</v>
      </c>
      <c r="Q26" s="51">
        <v>850000</v>
      </c>
      <c r="R26" s="51">
        <v>850000</v>
      </c>
      <c r="S26" s="52">
        <v>900000</v>
      </c>
    </row>
    <row r="27" spans="1:19" ht="15" customHeight="1" x14ac:dyDescent="0.25">
      <c r="A27" s="47">
        <v>16</v>
      </c>
      <c r="B27" s="48"/>
      <c r="C27" s="145" t="s">
        <v>202</v>
      </c>
      <c r="D27" s="59"/>
      <c r="E27" s="50"/>
      <c r="F27" s="60">
        <v>44565</v>
      </c>
      <c r="G27" s="51">
        <f t="shared" si="2"/>
        <v>0</v>
      </c>
      <c r="H27" s="51"/>
      <c r="I27" s="51"/>
      <c r="J27" s="51"/>
      <c r="K27" s="51"/>
      <c r="L27" s="51"/>
      <c r="M27" s="51"/>
      <c r="N27" s="51"/>
      <c r="O27" s="51">
        <v>0</v>
      </c>
      <c r="P27" s="51"/>
      <c r="Q27" s="51"/>
      <c r="R27" s="51"/>
      <c r="S27" s="52"/>
    </row>
    <row r="28" spans="1:19" ht="15" customHeight="1" x14ac:dyDescent="0.25">
      <c r="A28" s="47">
        <v>17</v>
      </c>
      <c r="B28" s="48"/>
      <c r="C28" s="145" t="s">
        <v>203</v>
      </c>
      <c r="D28" s="59"/>
      <c r="E28" s="50"/>
      <c r="F28" s="60">
        <v>44565</v>
      </c>
      <c r="G28" s="51">
        <f t="shared" si="1"/>
        <v>0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</row>
    <row r="29" spans="1:19" ht="15" customHeight="1" x14ac:dyDescent="0.25">
      <c r="A29" s="47">
        <v>18</v>
      </c>
      <c r="B29" s="48"/>
      <c r="C29" s="145" t="s">
        <v>204</v>
      </c>
      <c r="D29" s="59"/>
      <c r="E29" s="50" t="s">
        <v>41</v>
      </c>
      <c r="F29" s="60"/>
      <c r="G29" s="51">
        <f t="shared" ref="G29" si="3">SUM(H29:S29)</f>
        <v>0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2"/>
    </row>
    <row r="30" spans="1:19" x14ac:dyDescent="0.25">
      <c r="A30" s="47">
        <v>19</v>
      </c>
      <c r="B30" s="48" t="s">
        <v>42</v>
      </c>
      <c r="C30" s="48" t="s">
        <v>43</v>
      </c>
      <c r="D30" s="49" t="s">
        <v>96</v>
      </c>
      <c r="E30" s="50"/>
      <c r="F30" s="54"/>
      <c r="G30" s="51">
        <f t="shared" si="0"/>
        <v>2250000</v>
      </c>
      <c r="H30" s="61"/>
      <c r="I30" s="61"/>
      <c r="J30" s="61"/>
      <c r="K30" s="61"/>
      <c r="L30" s="61"/>
      <c r="M30" s="61"/>
      <c r="N30" s="61"/>
      <c r="O30" s="61">
        <v>450000</v>
      </c>
      <c r="P30" s="61">
        <v>450000</v>
      </c>
      <c r="Q30" s="61">
        <v>450000</v>
      </c>
      <c r="R30" s="61">
        <v>450000</v>
      </c>
      <c r="S30" s="62">
        <v>450000</v>
      </c>
    </row>
    <row r="31" spans="1:19" x14ac:dyDescent="0.25">
      <c r="A31" s="47">
        <v>20</v>
      </c>
      <c r="B31" s="48" t="s">
        <v>42</v>
      </c>
      <c r="C31" s="48" t="s">
        <v>44</v>
      </c>
      <c r="D31" s="49" t="s">
        <v>97</v>
      </c>
      <c r="E31" s="50"/>
      <c r="F31" s="54"/>
      <c r="G31" s="51">
        <f t="shared" si="0"/>
        <v>2250000</v>
      </c>
      <c r="H31" s="61"/>
      <c r="I31" s="61"/>
      <c r="J31" s="61"/>
      <c r="K31" s="61"/>
      <c r="L31" s="61"/>
      <c r="M31" s="61"/>
      <c r="N31" s="61"/>
      <c r="O31" s="61">
        <v>450000</v>
      </c>
      <c r="P31" s="61">
        <v>450000</v>
      </c>
      <c r="Q31" s="61">
        <v>450000</v>
      </c>
      <c r="R31" s="61">
        <v>450000</v>
      </c>
      <c r="S31" s="62">
        <v>450000</v>
      </c>
    </row>
    <row r="32" spans="1:19" x14ac:dyDescent="0.25">
      <c r="A32" s="47">
        <v>21</v>
      </c>
      <c r="B32" s="48" t="s">
        <v>42</v>
      </c>
      <c r="C32" s="48" t="s">
        <v>45</v>
      </c>
      <c r="D32" s="49" t="s">
        <v>98</v>
      </c>
      <c r="E32" s="50"/>
      <c r="F32" s="54"/>
      <c r="G32" s="51">
        <f t="shared" si="0"/>
        <v>2250000</v>
      </c>
      <c r="H32" s="61"/>
      <c r="I32" s="61"/>
      <c r="J32" s="61"/>
      <c r="K32" s="61"/>
      <c r="L32" s="61"/>
      <c r="M32" s="61"/>
      <c r="N32" s="61"/>
      <c r="O32" s="61">
        <v>450000</v>
      </c>
      <c r="P32" s="61">
        <v>450000</v>
      </c>
      <c r="Q32" s="61">
        <v>450000</v>
      </c>
      <c r="R32" s="61">
        <v>450000</v>
      </c>
      <c r="S32" s="62">
        <v>450000</v>
      </c>
    </row>
    <row r="33" spans="1:19" ht="15" customHeight="1" x14ac:dyDescent="0.25">
      <c r="A33" s="47">
        <v>16</v>
      </c>
      <c r="B33" s="48"/>
      <c r="C33" s="145" t="s">
        <v>205</v>
      </c>
      <c r="D33" s="59"/>
      <c r="E33" s="50"/>
      <c r="F33" s="60">
        <v>44565</v>
      </c>
      <c r="G33" s="51">
        <f t="shared" si="0"/>
        <v>0</v>
      </c>
      <c r="H33" s="51"/>
      <c r="I33" s="51"/>
      <c r="J33" s="51"/>
      <c r="K33" s="51"/>
      <c r="L33" s="51"/>
      <c r="M33" s="51"/>
      <c r="N33" s="51"/>
      <c r="O33" s="51">
        <v>0</v>
      </c>
      <c r="P33" s="51"/>
      <c r="Q33" s="51"/>
      <c r="R33" s="51"/>
      <c r="S33" s="52"/>
    </row>
    <row r="34" spans="1:19" ht="15" customHeight="1" thickBot="1" x14ac:dyDescent="0.3">
      <c r="A34" s="63">
        <v>17</v>
      </c>
      <c r="B34" s="64"/>
      <c r="C34" s="146" t="s">
        <v>206</v>
      </c>
      <c r="D34" s="143"/>
      <c r="E34" s="65"/>
      <c r="F34" s="144">
        <v>44565</v>
      </c>
      <c r="G34" s="66">
        <f t="shared" si="0"/>
        <v>0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81"/>
    </row>
    <row r="35" spans="1:19" x14ac:dyDescent="0.25">
      <c r="A35" s="37"/>
      <c r="B35" s="38"/>
      <c r="C35" s="38"/>
      <c r="D35" s="39"/>
      <c r="E35" s="40"/>
      <c r="F35" s="41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</row>
    <row r="38" spans="1:19" ht="16.5" thickBot="1" x14ac:dyDescent="0.3">
      <c r="H38" s="86" t="s">
        <v>119</v>
      </c>
      <c r="I38" s="86"/>
      <c r="J38" s="177">
        <v>0.5</v>
      </c>
      <c r="K38" s="177"/>
      <c r="L38" s="88">
        <v>0.9</v>
      </c>
      <c r="M38" s="87" t="s">
        <v>120</v>
      </c>
      <c r="N38" s="177">
        <v>0.5</v>
      </c>
      <c r="O38" s="177"/>
      <c r="P38" s="89">
        <v>0.9</v>
      </c>
    </row>
    <row r="39" spans="1:19" ht="16.5" thickBot="1" x14ac:dyDescent="0.3">
      <c r="A39" s="184" t="s">
        <v>121</v>
      </c>
      <c r="B39" s="185"/>
      <c r="C39" s="185"/>
      <c r="D39" s="186"/>
      <c r="E39" s="178" t="s">
        <v>95</v>
      </c>
      <c r="F39" s="179"/>
      <c r="G39" s="11" t="str">
        <f>$G$4</f>
        <v>No input▼</v>
      </c>
      <c r="H39" s="11" t="str">
        <f t="shared" ref="H39:S39" si="4">$G$4</f>
        <v>No input▼</v>
      </c>
      <c r="I39" s="11" t="str">
        <f t="shared" si="4"/>
        <v>No input▼</v>
      </c>
      <c r="J39" s="11" t="str">
        <f t="shared" si="4"/>
        <v>No input▼</v>
      </c>
      <c r="K39" s="11" t="str">
        <f t="shared" si="4"/>
        <v>No input▼</v>
      </c>
      <c r="L39" s="11" t="str">
        <f t="shared" si="4"/>
        <v>No input▼</v>
      </c>
      <c r="M39" s="11" t="str">
        <f t="shared" si="4"/>
        <v>No input▼</v>
      </c>
      <c r="N39" s="11" t="str">
        <f t="shared" si="4"/>
        <v>No input▼</v>
      </c>
      <c r="O39" s="11" t="str">
        <f t="shared" si="4"/>
        <v>No input▼</v>
      </c>
      <c r="P39" s="11" t="str">
        <f t="shared" si="4"/>
        <v>No input▼</v>
      </c>
      <c r="Q39" s="11" t="str">
        <f t="shared" si="4"/>
        <v>No input▼</v>
      </c>
      <c r="R39" s="11" t="str">
        <f t="shared" si="4"/>
        <v>No input▼</v>
      </c>
      <c r="S39" s="11" t="str">
        <f t="shared" si="4"/>
        <v>No input▼</v>
      </c>
    </row>
    <row r="40" spans="1:19" s="3" customFormat="1" ht="20.100000000000001" customHeight="1" x14ac:dyDescent="0.25">
      <c r="A40" s="67" t="s">
        <v>0</v>
      </c>
      <c r="B40" s="68" t="s">
        <v>1</v>
      </c>
      <c r="C40" s="68" t="s">
        <v>2</v>
      </c>
      <c r="D40" s="69" t="s">
        <v>3</v>
      </c>
      <c r="E40" s="45" t="s">
        <v>4</v>
      </c>
      <c r="F40" s="45" t="s">
        <v>5</v>
      </c>
      <c r="G40" s="45" t="s">
        <v>6</v>
      </c>
      <c r="H40" s="45" t="s">
        <v>47</v>
      </c>
      <c r="I40" s="45" t="s">
        <v>48</v>
      </c>
      <c r="J40" s="45" t="s">
        <v>49</v>
      </c>
      <c r="K40" s="45" t="s">
        <v>50</v>
      </c>
      <c r="L40" s="45" t="s">
        <v>51</v>
      </c>
      <c r="M40" s="45" t="s">
        <v>52</v>
      </c>
      <c r="N40" s="45" t="s">
        <v>53</v>
      </c>
      <c r="O40" s="45" t="s">
        <v>54</v>
      </c>
      <c r="P40" s="45" t="s">
        <v>55</v>
      </c>
      <c r="Q40" s="45" t="s">
        <v>56</v>
      </c>
      <c r="R40" s="45" t="s">
        <v>57</v>
      </c>
      <c r="S40" s="46" t="s">
        <v>58</v>
      </c>
    </row>
    <row r="41" spans="1:19" ht="15" customHeight="1" x14ac:dyDescent="0.25">
      <c r="A41" s="47">
        <f>A6</f>
        <v>1</v>
      </c>
      <c r="B41" s="48" t="str">
        <f t="shared" ref="B41:C41" si="5">IF(B6=0,"",B6)</f>
        <v>DSL-DHK</v>
      </c>
      <c r="C41" s="48" t="str">
        <f t="shared" si="5"/>
        <v xml:space="preserve">Md. Shohidul </v>
      </c>
      <c r="D41" s="49">
        <f>IF(D6=0,"",D6)</f>
        <v>1418</v>
      </c>
      <c r="E41" s="50" t="s">
        <v>8</v>
      </c>
      <c r="F41" s="25"/>
      <c r="G41" s="51">
        <f>SUM(H41:S41)</f>
        <v>2205000</v>
      </c>
      <c r="H41" s="51">
        <f>$J$38*H6*$L$38</f>
        <v>225000</v>
      </c>
      <c r="I41" s="51">
        <f t="shared" ref="I41:S41" si="6">$J$38*H6*$L$38+$N$38*I6*$P$38</f>
        <v>225000</v>
      </c>
      <c r="J41" s="51">
        <f t="shared" si="6"/>
        <v>0</v>
      </c>
      <c r="K41" s="51">
        <f t="shared" si="6"/>
        <v>0</v>
      </c>
      <c r="L41" s="51">
        <f t="shared" si="6"/>
        <v>0</v>
      </c>
      <c r="M41" s="51">
        <f t="shared" si="6"/>
        <v>0</v>
      </c>
      <c r="N41" s="51">
        <f t="shared" si="6"/>
        <v>0</v>
      </c>
      <c r="O41" s="51">
        <f t="shared" si="6"/>
        <v>270000</v>
      </c>
      <c r="P41" s="51">
        <f t="shared" si="6"/>
        <v>405000</v>
      </c>
      <c r="Q41" s="51">
        <f t="shared" si="6"/>
        <v>315000</v>
      </c>
      <c r="R41" s="51">
        <f t="shared" si="6"/>
        <v>360000</v>
      </c>
      <c r="S41" s="52">
        <f t="shared" si="6"/>
        <v>405000</v>
      </c>
    </row>
    <row r="42" spans="1:19" ht="15" customHeight="1" x14ac:dyDescent="0.25">
      <c r="A42" s="47">
        <f>A7</f>
        <v>2</v>
      </c>
      <c r="B42" s="48" t="str">
        <f t="shared" ref="B42:D42" si="7">IF(B7=0,"",B7)</f>
        <v>DSL-DHK</v>
      </c>
      <c r="C42" s="48" t="str">
        <f t="shared" si="7"/>
        <v>Sagar Chakrobarti</v>
      </c>
      <c r="D42" s="53">
        <f t="shared" si="7"/>
        <v>2701</v>
      </c>
      <c r="E42" s="50" t="s">
        <v>10</v>
      </c>
      <c r="F42" s="25"/>
      <c r="G42" s="51">
        <f t="shared" ref="G42:G43" si="8">SUM(H42:S42)</f>
        <v>225000</v>
      </c>
      <c r="H42" s="51">
        <f>$J$38*H7*$L$38</f>
        <v>0</v>
      </c>
      <c r="I42" s="51">
        <f t="shared" ref="I42:S42" si="9">$J$38*H7*$L$38+$N$38*I7*$P$38</f>
        <v>0</v>
      </c>
      <c r="J42" s="51">
        <f t="shared" si="9"/>
        <v>0</v>
      </c>
      <c r="K42" s="51">
        <f t="shared" si="9"/>
        <v>0</v>
      </c>
      <c r="L42" s="51">
        <f t="shared" si="9"/>
        <v>0</v>
      </c>
      <c r="M42" s="51">
        <f t="shared" si="9"/>
        <v>0</v>
      </c>
      <c r="N42" s="51">
        <f t="shared" si="9"/>
        <v>0</v>
      </c>
      <c r="O42" s="51">
        <f t="shared" si="9"/>
        <v>112500</v>
      </c>
      <c r="P42" s="51">
        <f t="shared" si="9"/>
        <v>112500</v>
      </c>
      <c r="Q42" s="51">
        <f t="shared" si="9"/>
        <v>0</v>
      </c>
      <c r="R42" s="51">
        <f t="shared" si="9"/>
        <v>0</v>
      </c>
      <c r="S42" s="52">
        <f t="shared" si="9"/>
        <v>0</v>
      </c>
    </row>
    <row r="43" spans="1:19" ht="15" customHeight="1" x14ac:dyDescent="0.25">
      <c r="A43" s="47">
        <f>A8</f>
        <v>3</v>
      </c>
      <c r="B43" s="48" t="str">
        <f t="shared" ref="B43:D43" si="10">IF(B8=0,"",B8)</f>
        <v>DSL-DHK</v>
      </c>
      <c r="C43" s="48" t="str">
        <f t="shared" si="10"/>
        <v>Md. Minhazul Islam</v>
      </c>
      <c r="D43" s="49">
        <f t="shared" si="10"/>
        <v>2330</v>
      </c>
      <c r="E43" s="50" t="s">
        <v>12</v>
      </c>
      <c r="F43" s="25"/>
      <c r="G43" s="51">
        <f t="shared" si="8"/>
        <v>1800000</v>
      </c>
      <c r="H43" s="51">
        <f t="shared" ref="H43:H68" si="11">$J$38*H8*$L$38</f>
        <v>0</v>
      </c>
      <c r="I43" s="51">
        <f t="shared" ref="I43:S43" si="12">$J$38*H8*$L$38+$N$38*I8*$P$38</f>
        <v>0</v>
      </c>
      <c r="J43" s="51">
        <f t="shared" si="12"/>
        <v>0</v>
      </c>
      <c r="K43" s="51">
        <f t="shared" si="12"/>
        <v>0</v>
      </c>
      <c r="L43" s="51">
        <f t="shared" si="12"/>
        <v>0</v>
      </c>
      <c r="M43" s="51">
        <f t="shared" si="12"/>
        <v>0</v>
      </c>
      <c r="N43" s="51">
        <f t="shared" si="12"/>
        <v>0</v>
      </c>
      <c r="O43" s="51">
        <f t="shared" si="12"/>
        <v>450000</v>
      </c>
      <c r="P43" s="51">
        <f t="shared" si="12"/>
        <v>900000</v>
      </c>
      <c r="Q43" s="51">
        <f t="shared" si="12"/>
        <v>450000</v>
      </c>
      <c r="R43" s="51">
        <f t="shared" si="12"/>
        <v>0</v>
      </c>
      <c r="S43" s="52">
        <f t="shared" si="12"/>
        <v>0</v>
      </c>
    </row>
    <row r="44" spans="1:19" ht="15" customHeight="1" x14ac:dyDescent="0.25">
      <c r="A44" s="47">
        <f t="shared" ref="A44" si="13">A9</f>
        <v>4</v>
      </c>
      <c r="B44" s="48" t="str">
        <f t="shared" ref="B44:D44" si="14">IF(B9=0,"",B9)</f>
        <v>DSL-DHK</v>
      </c>
      <c r="C44" s="48" t="str">
        <f t="shared" si="14"/>
        <v>Md. Nazmul Hasan Titu</v>
      </c>
      <c r="D44" s="49">
        <f t="shared" si="14"/>
        <v>2913</v>
      </c>
      <c r="E44" s="50" t="s">
        <v>176</v>
      </c>
      <c r="F44" s="25"/>
      <c r="G44" s="51">
        <f t="shared" ref="G44:G68" si="15">SUM(H44:S44)</f>
        <v>1237500</v>
      </c>
      <c r="H44" s="51">
        <f t="shared" si="11"/>
        <v>112500</v>
      </c>
      <c r="I44" s="51">
        <f t="shared" ref="I44:S44" si="16">$J$38*H9*$L$38+$N$38*I9*$P$38</f>
        <v>112500</v>
      </c>
      <c r="J44" s="51">
        <f t="shared" si="16"/>
        <v>0</v>
      </c>
      <c r="K44" s="51">
        <f t="shared" si="16"/>
        <v>0</v>
      </c>
      <c r="L44" s="51">
        <f t="shared" si="16"/>
        <v>0</v>
      </c>
      <c r="M44" s="51">
        <f t="shared" si="16"/>
        <v>0</v>
      </c>
      <c r="N44" s="51">
        <f t="shared" si="16"/>
        <v>0</v>
      </c>
      <c r="O44" s="51">
        <f t="shared" si="16"/>
        <v>112500</v>
      </c>
      <c r="P44" s="51">
        <f t="shared" si="16"/>
        <v>225000</v>
      </c>
      <c r="Q44" s="51">
        <f t="shared" si="16"/>
        <v>225000</v>
      </c>
      <c r="R44" s="51">
        <f t="shared" si="16"/>
        <v>225000</v>
      </c>
      <c r="S44" s="52">
        <f t="shared" si="16"/>
        <v>225000</v>
      </c>
    </row>
    <row r="45" spans="1:19" ht="15" customHeight="1" x14ac:dyDescent="0.25">
      <c r="A45" s="47">
        <f t="shared" ref="A45" si="17">A10</f>
        <v>5</v>
      </c>
      <c r="B45" s="48" t="str">
        <f t="shared" ref="B45:D45" si="18">IF(B10=0,"",B10)</f>
        <v>DSL-DHK</v>
      </c>
      <c r="C45" s="48" t="str">
        <f t="shared" si="18"/>
        <v>Md. Zahirul Islam</v>
      </c>
      <c r="D45" s="49">
        <f t="shared" si="18"/>
        <v>2914</v>
      </c>
      <c r="E45" s="50" t="s">
        <v>177</v>
      </c>
      <c r="F45" s="54"/>
      <c r="G45" s="51">
        <f t="shared" si="15"/>
        <v>4590000</v>
      </c>
      <c r="H45" s="51">
        <f t="shared" si="11"/>
        <v>450000</v>
      </c>
      <c r="I45" s="51">
        <f t="shared" ref="I45:S45" si="19">$J$38*H10*$L$38+$N$38*I10*$P$38</f>
        <v>450000</v>
      </c>
      <c r="J45" s="51">
        <f t="shared" si="19"/>
        <v>0</v>
      </c>
      <c r="K45" s="51">
        <f t="shared" si="19"/>
        <v>0</v>
      </c>
      <c r="L45" s="51">
        <f t="shared" si="19"/>
        <v>0</v>
      </c>
      <c r="M45" s="51">
        <f t="shared" si="19"/>
        <v>0</v>
      </c>
      <c r="N45" s="51">
        <f t="shared" si="19"/>
        <v>0</v>
      </c>
      <c r="O45" s="51">
        <f t="shared" si="19"/>
        <v>360000</v>
      </c>
      <c r="P45" s="51">
        <f t="shared" si="19"/>
        <v>720000</v>
      </c>
      <c r="Q45" s="51">
        <f t="shared" si="19"/>
        <v>810000</v>
      </c>
      <c r="R45" s="51">
        <f t="shared" si="19"/>
        <v>900000</v>
      </c>
      <c r="S45" s="52">
        <f t="shared" si="19"/>
        <v>900000</v>
      </c>
    </row>
    <row r="46" spans="1:19" ht="15" customHeight="1" x14ac:dyDescent="0.25">
      <c r="A46" s="47">
        <f t="shared" ref="A46" si="20">A11</f>
        <v>6</v>
      </c>
      <c r="B46" s="48" t="str">
        <f t="shared" ref="B46:D46" si="21">IF(B11=0,"",B11)</f>
        <v>DSL-DHK</v>
      </c>
      <c r="C46" s="48" t="str">
        <f t="shared" si="21"/>
        <v>Md. Rakibul Hasan</v>
      </c>
      <c r="D46" s="49">
        <f t="shared" si="21"/>
        <v>2927</v>
      </c>
      <c r="E46" s="50" t="s">
        <v>178</v>
      </c>
      <c r="F46" s="54"/>
      <c r="G46" s="51">
        <f t="shared" si="15"/>
        <v>1575000</v>
      </c>
      <c r="H46" s="51">
        <f t="shared" si="11"/>
        <v>135000</v>
      </c>
      <c r="I46" s="51">
        <f t="shared" ref="I46:S46" si="22">$J$38*H11*$L$38+$N$38*I11*$P$38</f>
        <v>135000</v>
      </c>
      <c r="J46" s="51">
        <f t="shared" si="22"/>
        <v>0</v>
      </c>
      <c r="K46" s="51">
        <f t="shared" si="22"/>
        <v>0</v>
      </c>
      <c r="L46" s="51">
        <f t="shared" si="22"/>
        <v>0</v>
      </c>
      <c r="M46" s="51">
        <f t="shared" si="22"/>
        <v>0</v>
      </c>
      <c r="N46" s="51">
        <f t="shared" si="22"/>
        <v>0</v>
      </c>
      <c r="O46" s="51">
        <f t="shared" si="22"/>
        <v>180000</v>
      </c>
      <c r="P46" s="51">
        <f t="shared" si="22"/>
        <v>315000</v>
      </c>
      <c r="Q46" s="51">
        <f t="shared" si="22"/>
        <v>270000</v>
      </c>
      <c r="R46" s="51">
        <f t="shared" si="22"/>
        <v>270000</v>
      </c>
      <c r="S46" s="52">
        <f t="shared" si="22"/>
        <v>270000</v>
      </c>
    </row>
    <row r="47" spans="1:19" ht="15" customHeight="1" x14ac:dyDescent="0.25">
      <c r="A47" s="47">
        <f t="shared" ref="A47" si="23">A12</f>
        <v>7</v>
      </c>
      <c r="B47" s="48" t="str">
        <f t="shared" ref="B47:D47" si="24">IF(B12=0,"",B12)</f>
        <v>DSL-DHK</v>
      </c>
      <c r="C47" s="48" t="str">
        <f t="shared" si="24"/>
        <v>Md Ariful Islam</v>
      </c>
      <c r="D47" s="49">
        <f t="shared" si="24"/>
        <v>2699</v>
      </c>
      <c r="E47" s="50" t="s">
        <v>179</v>
      </c>
      <c r="F47" s="54"/>
      <c r="G47" s="51">
        <f t="shared" si="15"/>
        <v>1620000</v>
      </c>
      <c r="H47" s="51">
        <f t="shared" si="11"/>
        <v>180000</v>
      </c>
      <c r="I47" s="51">
        <f t="shared" ref="I47:S47" si="25">$J$38*H12*$L$38+$N$38*I12*$P$38</f>
        <v>180000</v>
      </c>
      <c r="J47" s="51">
        <f t="shared" si="25"/>
        <v>0</v>
      </c>
      <c r="K47" s="51">
        <f t="shared" si="25"/>
        <v>0</v>
      </c>
      <c r="L47" s="51">
        <f t="shared" si="25"/>
        <v>0</v>
      </c>
      <c r="M47" s="51">
        <f t="shared" si="25"/>
        <v>0</v>
      </c>
      <c r="N47" s="51">
        <f t="shared" si="25"/>
        <v>0</v>
      </c>
      <c r="O47" s="51">
        <f t="shared" si="25"/>
        <v>0</v>
      </c>
      <c r="P47" s="51">
        <f t="shared" si="25"/>
        <v>180000</v>
      </c>
      <c r="Q47" s="51">
        <f t="shared" si="25"/>
        <v>360000</v>
      </c>
      <c r="R47" s="51">
        <f t="shared" si="25"/>
        <v>360000</v>
      </c>
      <c r="S47" s="52">
        <f t="shared" si="25"/>
        <v>360000</v>
      </c>
    </row>
    <row r="48" spans="1:19" ht="15" customHeight="1" x14ac:dyDescent="0.25">
      <c r="A48" s="47">
        <f t="shared" ref="A48" si="26">A13</f>
        <v>8</v>
      </c>
      <c r="B48" s="48" t="str">
        <f t="shared" ref="B48:D48" si="27">IF(B13=0,"",B13)</f>
        <v>DSL-DHK</v>
      </c>
      <c r="C48" s="48" t="str">
        <f t="shared" si="27"/>
        <v>Mohammad Jewel Rana</v>
      </c>
      <c r="D48" s="55" t="str">
        <f t="shared" si="27"/>
        <v>3002</v>
      </c>
      <c r="E48" s="50" t="s">
        <v>180</v>
      </c>
      <c r="F48" s="56"/>
      <c r="G48" s="51">
        <f t="shared" si="15"/>
        <v>2970000</v>
      </c>
      <c r="H48" s="51">
        <f t="shared" si="11"/>
        <v>270000</v>
      </c>
      <c r="I48" s="51">
        <f t="shared" ref="I48:S48" si="28">$J$38*H13*$L$38+$N$38*I13*$P$38</f>
        <v>270000</v>
      </c>
      <c r="J48" s="51">
        <f t="shared" si="28"/>
        <v>0</v>
      </c>
      <c r="K48" s="51">
        <f t="shared" si="28"/>
        <v>0</v>
      </c>
      <c r="L48" s="51">
        <f t="shared" si="28"/>
        <v>0</v>
      </c>
      <c r="M48" s="51">
        <f t="shared" si="28"/>
        <v>0</v>
      </c>
      <c r="N48" s="51">
        <f t="shared" si="28"/>
        <v>0</v>
      </c>
      <c r="O48" s="51">
        <f t="shared" si="28"/>
        <v>270000</v>
      </c>
      <c r="P48" s="51">
        <f t="shared" si="28"/>
        <v>540000</v>
      </c>
      <c r="Q48" s="51">
        <f t="shared" si="28"/>
        <v>540000</v>
      </c>
      <c r="R48" s="51">
        <f t="shared" si="28"/>
        <v>540000</v>
      </c>
      <c r="S48" s="52">
        <f t="shared" si="28"/>
        <v>540000</v>
      </c>
    </row>
    <row r="49" spans="1:19" ht="15" customHeight="1" x14ac:dyDescent="0.25">
      <c r="A49" s="47">
        <f t="shared" ref="A49" si="29">A14</f>
        <v>9</v>
      </c>
      <c r="B49" s="48" t="str">
        <f t="shared" ref="B49:D49" si="30">IF(B14=0,"",B14)</f>
        <v>DSL-DHK</v>
      </c>
      <c r="C49" s="48" t="str">
        <f t="shared" si="30"/>
        <v>Faysal Ahmed</v>
      </c>
      <c r="D49" s="55" t="str">
        <f t="shared" si="30"/>
        <v>3004</v>
      </c>
      <c r="E49" s="50" t="s">
        <v>181</v>
      </c>
      <c r="F49" s="56"/>
      <c r="G49" s="51">
        <f t="shared" si="15"/>
        <v>2970000</v>
      </c>
      <c r="H49" s="51">
        <f t="shared" si="11"/>
        <v>270000</v>
      </c>
      <c r="I49" s="51">
        <f t="shared" ref="I49:S49" si="31">$J$38*H14*$L$38+$N$38*I14*$P$38</f>
        <v>270000</v>
      </c>
      <c r="J49" s="51">
        <f t="shared" si="31"/>
        <v>0</v>
      </c>
      <c r="K49" s="51">
        <f t="shared" si="31"/>
        <v>0</v>
      </c>
      <c r="L49" s="51">
        <f t="shared" si="31"/>
        <v>0</v>
      </c>
      <c r="M49" s="51">
        <f t="shared" si="31"/>
        <v>0</v>
      </c>
      <c r="N49" s="51">
        <f t="shared" si="31"/>
        <v>0</v>
      </c>
      <c r="O49" s="51">
        <f t="shared" si="31"/>
        <v>270000</v>
      </c>
      <c r="P49" s="51">
        <f t="shared" si="31"/>
        <v>540000</v>
      </c>
      <c r="Q49" s="51">
        <f t="shared" si="31"/>
        <v>540000</v>
      </c>
      <c r="R49" s="51">
        <f t="shared" si="31"/>
        <v>540000</v>
      </c>
      <c r="S49" s="52">
        <f t="shared" si="31"/>
        <v>540000</v>
      </c>
    </row>
    <row r="50" spans="1:19" ht="15" customHeight="1" x14ac:dyDescent="0.25">
      <c r="A50" s="47">
        <f t="shared" ref="A50" si="32">A15</f>
        <v>10</v>
      </c>
      <c r="B50" s="48" t="str">
        <f t="shared" ref="B50:D50" si="33">IF(B15=0,"",B15)</f>
        <v>DSL-DHK</v>
      </c>
      <c r="C50" s="48" t="str">
        <f t="shared" si="33"/>
        <v>Rakibul Islam Razib</v>
      </c>
      <c r="D50" s="55" t="str">
        <f t="shared" si="33"/>
        <v>3006</v>
      </c>
      <c r="E50" s="50" t="s">
        <v>182</v>
      </c>
      <c r="F50" s="56"/>
      <c r="G50" s="51">
        <f t="shared" si="15"/>
        <v>976500</v>
      </c>
      <c r="H50" s="51">
        <f t="shared" si="11"/>
        <v>112500</v>
      </c>
      <c r="I50" s="51">
        <f t="shared" ref="I50:S50" si="34">$J$38*H15*$L$38+$N$38*I15*$P$38</f>
        <v>112500</v>
      </c>
      <c r="J50" s="51">
        <f t="shared" si="34"/>
        <v>0</v>
      </c>
      <c r="K50" s="51">
        <f t="shared" si="34"/>
        <v>0</v>
      </c>
      <c r="L50" s="51">
        <f t="shared" si="34"/>
        <v>0</v>
      </c>
      <c r="M50" s="51">
        <f t="shared" si="34"/>
        <v>0</v>
      </c>
      <c r="N50" s="51">
        <f t="shared" si="34"/>
        <v>0</v>
      </c>
      <c r="O50" s="51">
        <f t="shared" si="34"/>
        <v>0</v>
      </c>
      <c r="P50" s="51">
        <f t="shared" si="34"/>
        <v>103500</v>
      </c>
      <c r="Q50" s="51">
        <f t="shared" si="34"/>
        <v>207000</v>
      </c>
      <c r="R50" s="51">
        <f t="shared" si="34"/>
        <v>216000</v>
      </c>
      <c r="S50" s="52">
        <f t="shared" si="34"/>
        <v>225000</v>
      </c>
    </row>
    <row r="51" spans="1:19" ht="15" customHeight="1" x14ac:dyDescent="0.25">
      <c r="A51" s="47">
        <f t="shared" ref="A51" si="35">A16</f>
        <v>11</v>
      </c>
      <c r="B51" s="48" t="str">
        <f t="shared" ref="B51:D51" si="36">IF(B16=0,"",B16)</f>
        <v>DSL-DHK</v>
      </c>
      <c r="C51" s="48" t="str">
        <f t="shared" si="36"/>
        <v>Ashraful Islam</v>
      </c>
      <c r="D51" s="49">
        <f t="shared" si="36"/>
        <v>3003</v>
      </c>
      <c r="E51" s="50" t="s">
        <v>183</v>
      </c>
      <c r="F51" s="56"/>
      <c r="G51" s="51">
        <f t="shared" si="15"/>
        <v>3015000</v>
      </c>
      <c r="H51" s="51">
        <f t="shared" si="11"/>
        <v>225000</v>
      </c>
      <c r="I51" s="51">
        <f t="shared" ref="I51:S51" si="37">$J$38*H16*$L$38+$N$38*I16*$P$38</f>
        <v>225000</v>
      </c>
      <c r="J51" s="51">
        <f t="shared" si="37"/>
        <v>0</v>
      </c>
      <c r="K51" s="51">
        <f t="shared" si="37"/>
        <v>0</v>
      </c>
      <c r="L51" s="51">
        <f t="shared" si="37"/>
        <v>0</v>
      </c>
      <c r="M51" s="51">
        <f t="shared" si="37"/>
        <v>0</v>
      </c>
      <c r="N51" s="51">
        <f t="shared" si="37"/>
        <v>0</v>
      </c>
      <c r="O51" s="51">
        <f t="shared" si="37"/>
        <v>360000</v>
      </c>
      <c r="P51" s="51">
        <f t="shared" si="37"/>
        <v>720000</v>
      </c>
      <c r="Q51" s="51">
        <f t="shared" si="37"/>
        <v>585000</v>
      </c>
      <c r="R51" s="51">
        <f t="shared" si="37"/>
        <v>450000</v>
      </c>
      <c r="S51" s="52">
        <f t="shared" si="37"/>
        <v>450000</v>
      </c>
    </row>
    <row r="52" spans="1:19" ht="15" customHeight="1" x14ac:dyDescent="0.25">
      <c r="A52" s="47">
        <f t="shared" ref="A52" si="38">A17</f>
        <v>12</v>
      </c>
      <c r="B52" s="48" t="str">
        <f t="shared" ref="B52:D52" si="39">IF(B17=0,"",B17)</f>
        <v>DSL-DHK</v>
      </c>
      <c r="C52" s="48" t="str">
        <f t="shared" si="39"/>
        <v>Md. Rakibul Islam</v>
      </c>
      <c r="D52" s="59">
        <f t="shared" si="39"/>
        <v>5690</v>
      </c>
      <c r="E52" s="50" t="s">
        <v>184</v>
      </c>
      <c r="F52" s="60"/>
      <c r="G52" s="51">
        <f t="shared" si="15"/>
        <v>2970000</v>
      </c>
      <c r="H52" s="51">
        <f t="shared" si="11"/>
        <v>270000</v>
      </c>
      <c r="I52" s="51">
        <f t="shared" ref="I52:S52" si="40">$J$38*H17*$L$38+$N$38*I17*$P$38</f>
        <v>270000</v>
      </c>
      <c r="J52" s="51">
        <f t="shared" si="40"/>
        <v>0</v>
      </c>
      <c r="K52" s="51">
        <f t="shared" si="40"/>
        <v>0</v>
      </c>
      <c r="L52" s="51">
        <f t="shared" si="40"/>
        <v>0</v>
      </c>
      <c r="M52" s="51">
        <f t="shared" si="40"/>
        <v>0</v>
      </c>
      <c r="N52" s="51">
        <f t="shared" si="40"/>
        <v>0</v>
      </c>
      <c r="O52" s="51">
        <f t="shared" si="40"/>
        <v>270000</v>
      </c>
      <c r="P52" s="51">
        <f t="shared" si="40"/>
        <v>540000</v>
      </c>
      <c r="Q52" s="51">
        <f t="shared" si="40"/>
        <v>540000</v>
      </c>
      <c r="R52" s="51">
        <f t="shared" si="40"/>
        <v>540000</v>
      </c>
      <c r="S52" s="52">
        <f t="shared" si="40"/>
        <v>540000</v>
      </c>
    </row>
    <row r="53" spans="1:19" ht="15" customHeight="1" x14ac:dyDescent="0.25">
      <c r="A53" s="47">
        <f t="shared" ref="A53" si="41">A18</f>
        <v>13</v>
      </c>
      <c r="B53" s="48" t="str">
        <f t="shared" ref="B53:D53" si="42">IF(B18=0,"",B18)</f>
        <v>DSL-DHK</v>
      </c>
      <c r="C53" s="48" t="str">
        <f t="shared" si="42"/>
        <v>Ohid Hasan Saikat</v>
      </c>
      <c r="D53" s="59">
        <f t="shared" si="42"/>
        <v>5691</v>
      </c>
      <c r="E53" s="50" t="s">
        <v>185</v>
      </c>
      <c r="F53" s="60"/>
      <c r="G53" s="51">
        <f t="shared" si="15"/>
        <v>1575000</v>
      </c>
      <c r="H53" s="51">
        <f t="shared" si="11"/>
        <v>135000</v>
      </c>
      <c r="I53" s="51">
        <f t="shared" ref="I53:S53" si="43">$J$38*H18*$L$38+$N$38*I18*$P$38</f>
        <v>135000</v>
      </c>
      <c r="J53" s="51">
        <f t="shared" si="43"/>
        <v>0</v>
      </c>
      <c r="K53" s="51">
        <f t="shared" si="43"/>
        <v>0</v>
      </c>
      <c r="L53" s="51">
        <f t="shared" si="43"/>
        <v>0</v>
      </c>
      <c r="M53" s="51">
        <f t="shared" si="43"/>
        <v>0</v>
      </c>
      <c r="N53" s="51">
        <f t="shared" si="43"/>
        <v>0</v>
      </c>
      <c r="O53" s="51">
        <f t="shared" si="43"/>
        <v>135000</v>
      </c>
      <c r="P53" s="51">
        <f t="shared" si="43"/>
        <v>315000</v>
      </c>
      <c r="Q53" s="51">
        <f t="shared" si="43"/>
        <v>315000</v>
      </c>
      <c r="R53" s="51">
        <f t="shared" si="43"/>
        <v>270000</v>
      </c>
      <c r="S53" s="52">
        <f t="shared" si="43"/>
        <v>270000</v>
      </c>
    </row>
    <row r="54" spans="1:19" ht="15" customHeight="1" x14ac:dyDescent="0.25">
      <c r="A54" s="47">
        <f t="shared" ref="A54" si="44">A19</f>
        <v>14</v>
      </c>
      <c r="B54" s="48" t="str">
        <f t="shared" ref="B54:D54" si="45">IF(B19=0,"",B19)</f>
        <v>DSL-DHK</v>
      </c>
      <c r="C54" s="48" t="str">
        <f t="shared" si="45"/>
        <v>Abdullah Al Mahmud</v>
      </c>
      <c r="D54" s="59">
        <f t="shared" si="45"/>
        <v>5692</v>
      </c>
      <c r="E54" s="50" t="s">
        <v>186</v>
      </c>
      <c r="F54" s="60"/>
      <c r="G54" s="51">
        <f t="shared" si="15"/>
        <v>2250000</v>
      </c>
      <c r="H54" s="51">
        <f t="shared" si="11"/>
        <v>180000</v>
      </c>
      <c r="I54" s="51">
        <f t="shared" ref="I54:S54" si="46">$J$38*H19*$L$38+$N$38*I19*$P$38</f>
        <v>180000</v>
      </c>
      <c r="J54" s="51">
        <f t="shared" si="46"/>
        <v>0</v>
      </c>
      <c r="K54" s="51">
        <f t="shared" si="46"/>
        <v>0</v>
      </c>
      <c r="L54" s="51">
        <f t="shared" si="46"/>
        <v>0</v>
      </c>
      <c r="M54" s="51">
        <f t="shared" si="46"/>
        <v>0</v>
      </c>
      <c r="N54" s="51">
        <f t="shared" si="46"/>
        <v>0</v>
      </c>
      <c r="O54" s="51">
        <f t="shared" si="46"/>
        <v>315000</v>
      </c>
      <c r="P54" s="51">
        <f t="shared" si="46"/>
        <v>495000</v>
      </c>
      <c r="Q54" s="51">
        <f t="shared" si="46"/>
        <v>360000</v>
      </c>
      <c r="R54" s="51">
        <f t="shared" si="46"/>
        <v>360000</v>
      </c>
      <c r="S54" s="52">
        <f t="shared" si="46"/>
        <v>360000</v>
      </c>
    </row>
    <row r="55" spans="1:19" ht="15" customHeight="1" x14ac:dyDescent="0.25">
      <c r="A55" s="47">
        <f t="shared" ref="A55" si="47">A20</f>
        <v>15</v>
      </c>
      <c r="B55" s="48" t="str">
        <f t="shared" ref="B55:D55" si="48">IF(B20=0,"",B20)</f>
        <v>DSL-DHK</v>
      </c>
      <c r="C55" s="48" t="str">
        <f t="shared" si="48"/>
        <v>Apurba Kumar Gain</v>
      </c>
      <c r="D55" s="59">
        <f t="shared" si="48"/>
        <v>5927</v>
      </c>
      <c r="E55" s="50" t="s">
        <v>187</v>
      </c>
      <c r="F55" s="60"/>
      <c r="G55" s="51">
        <f t="shared" si="15"/>
        <v>931500</v>
      </c>
      <c r="H55" s="51">
        <f t="shared" si="11"/>
        <v>103500</v>
      </c>
      <c r="I55" s="51">
        <f t="shared" ref="I55:S55" si="49">$J$38*H20*$L$38+$N$38*I20*$P$38</f>
        <v>103500</v>
      </c>
      <c r="J55" s="51">
        <f t="shared" si="49"/>
        <v>0</v>
      </c>
      <c r="K55" s="51">
        <f t="shared" si="49"/>
        <v>0</v>
      </c>
      <c r="L55" s="51">
        <f t="shared" si="49"/>
        <v>0</v>
      </c>
      <c r="M55" s="51">
        <f t="shared" si="49"/>
        <v>0</v>
      </c>
      <c r="N55" s="51">
        <f t="shared" si="49"/>
        <v>0</v>
      </c>
      <c r="O55" s="51">
        <f t="shared" si="49"/>
        <v>0</v>
      </c>
      <c r="P55" s="51">
        <f t="shared" si="49"/>
        <v>103500</v>
      </c>
      <c r="Q55" s="51">
        <f t="shared" si="49"/>
        <v>207000</v>
      </c>
      <c r="R55" s="51">
        <f t="shared" si="49"/>
        <v>207000</v>
      </c>
      <c r="S55" s="52">
        <f t="shared" si="49"/>
        <v>207000</v>
      </c>
    </row>
    <row r="56" spans="1:19" ht="15" customHeight="1" x14ac:dyDescent="0.25">
      <c r="A56" s="47">
        <f t="shared" ref="A56" si="50">A21</f>
        <v>16</v>
      </c>
      <c r="B56" s="48" t="str">
        <f t="shared" ref="B56:D56" si="51">IF(B21=0,"",B21)</f>
        <v>DSL-DHK</v>
      </c>
      <c r="C56" s="48" t="str">
        <f t="shared" si="51"/>
        <v>Amirul Islam</v>
      </c>
      <c r="D56" s="59">
        <f t="shared" si="51"/>
        <v>5928</v>
      </c>
      <c r="E56" s="50" t="s">
        <v>188</v>
      </c>
      <c r="F56" s="60"/>
      <c r="G56" s="51">
        <f t="shared" si="15"/>
        <v>1012500</v>
      </c>
      <c r="H56" s="51">
        <f t="shared" si="11"/>
        <v>112500</v>
      </c>
      <c r="I56" s="51">
        <f t="shared" ref="I56:S56" si="52">$J$38*H21*$L$38+$N$38*I21*$P$38</f>
        <v>112500</v>
      </c>
      <c r="J56" s="51">
        <f t="shared" si="52"/>
        <v>0</v>
      </c>
      <c r="K56" s="51">
        <f t="shared" si="52"/>
        <v>0</v>
      </c>
      <c r="L56" s="51">
        <f t="shared" si="52"/>
        <v>0</v>
      </c>
      <c r="M56" s="51">
        <f t="shared" si="52"/>
        <v>0</v>
      </c>
      <c r="N56" s="51">
        <f t="shared" si="52"/>
        <v>0</v>
      </c>
      <c r="O56" s="51">
        <f t="shared" si="52"/>
        <v>0</v>
      </c>
      <c r="P56" s="51">
        <f t="shared" si="52"/>
        <v>112500</v>
      </c>
      <c r="Q56" s="51">
        <f t="shared" si="52"/>
        <v>225000</v>
      </c>
      <c r="R56" s="51">
        <f t="shared" si="52"/>
        <v>225000</v>
      </c>
      <c r="S56" s="52">
        <f t="shared" si="52"/>
        <v>225000</v>
      </c>
    </row>
    <row r="57" spans="1:19" ht="15" customHeight="1" x14ac:dyDescent="0.25">
      <c r="A57" s="47">
        <f t="shared" ref="A57" si="53">A22</f>
        <v>17</v>
      </c>
      <c r="B57" s="48" t="str">
        <f t="shared" ref="B57:D57" si="54">IF(B22=0,"",B22)</f>
        <v>DSL-DHK</v>
      </c>
      <c r="C57" s="48" t="str">
        <f t="shared" si="54"/>
        <v>Md. Jafor Ikbal</v>
      </c>
      <c r="D57" s="59">
        <f t="shared" si="54"/>
        <v>5929</v>
      </c>
      <c r="E57" s="50" t="s">
        <v>189</v>
      </c>
      <c r="F57" s="60"/>
      <c r="G57" s="51">
        <f t="shared" si="15"/>
        <v>0</v>
      </c>
      <c r="H57" s="51">
        <f t="shared" si="11"/>
        <v>0</v>
      </c>
      <c r="I57" s="51">
        <f t="shared" ref="I57:S57" si="55">$J$38*H22*$L$38+$N$38*I22*$P$38</f>
        <v>0</v>
      </c>
      <c r="J57" s="51">
        <f t="shared" si="55"/>
        <v>0</v>
      </c>
      <c r="K57" s="51">
        <f t="shared" si="55"/>
        <v>0</v>
      </c>
      <c r="L57" s="51">
        <f t="shared" si="55"/>
        <v>0</v>
      </c>
      <c r="M57" s="51">
        <f t="shared" si="55"/>
        <v>0</v>
      </c>
      <c r="N57" s="51">
        <f t="shared" si="55"/>
        <v>0</v>
      </c>
      <c r="O57" s="51">
        <f t="shared" si="55"/>
        <v>0</v>
      </c>
      <c r="P57" s="51">
        <f t="shared" si="55"/>
        <v>0</v>
      </c>
      <c r="Q57" s="51">
        <f t="shared" si="55"/>
        <v>0</v>
      </c>
      <c r="R57" s="51">
        <f t="shared" si="55"/>
        <v>0</v>
      </c>
      <c r="S57" s="52">
        <f t="shared" si="55"/>
        <v>0</v>
      </c>
    </row>
    <row r="58" spans="1:19" ht="15" customHeight="1" x14ac:dyDescent="0.25">
      <c r="A58" s="47">
        <f t="shared" ref="A58" si="56">A23</f>
        <v>14</v>
      </c>
      <c r="B58" s="48" t="str">
        <f t="shared" ref="B58:D58" si="57">IF(B23=0,"",B23)</f>
        <v>DSL-DHK</v>
      </c>
      <c r="C58" s="48" t="str">
        <f t="shared" si="57"/>
        <v>Md. Habibur Rahman</v>
      </c>
      <c r="D58" s="59">
        <f t="shared" si="57"/>
        <v>6079</v>
      </c>
      <c r="E58" s="50" t="s">
        <v>190</v>
      </c>
      <c r="F58" s="60"/>
      <c r="G58" s="51">
        <f t="shared" si="15"/>
        <v>337500</v>
      </c>
      <c r="H58" s="51">
        <f t="shared" si="11"/>
        <v>112500</v>
      </c>
      <c r="I58" s="51">
        <f t="shared" ref="I58:S58" si="58">$J$38*H23*$L$38+$N$38*I23*$P$38</f>
        <v>112500</v>
      </c>
      <c r="J58" s="51">
        <f t="shared" si="58"/>
        <v>0</v>
      </c>
      <c r="K58" s="51">
        <f t="shared" si="58"/>
        <v>0</v>
      </c>
      <c r="L58" s="51">
        <f t="shared" si="58"/>
        <v>0</v>
      </c>
      <c r="M58" s="51">
        <f t="shared" si="58"/>
        <v>0</v>
      </c>
      <c r="N58" s="51">
        <f t="shared" si="58"/>
        <v>0</v>
      </c>
      <c r="O58" s="51">
        <f t="shared" si="58"/>
        <v>0</v>
      </c>
      <c r="P58" s="51">
        <f t="shared" si="58"/>
        <v>0</v>
      </c>
      <c r="Q58" s="51">
        <f t="shared" si="58"/>
        <v>0</v>
      </c>
      <c r="R58" s="51">
        <f t="shared" si="58"/>
        <v>0</v>
      </c>
      <c r="S58" s="52">
        <f t="shared" si="58"/>
        <v>112500</v>
      </c>
    </row>
    <row r="59" spans="1:19" x14ac:dyDescent="0.25">
      <c r="A59" s="47">
        <f t="shared" ref="A59" si="59">A24</f>
        <v>15</v>
      </c>
      <c r="B59" s="48" t="str">
        <f t="shared" ref="B59:D59" si="60">IF(B24=0,"",B24)</f>
        <v>DSL-DHK</v>
      </c>
      <c r="C59" s="48" t="str">
        <f t="shared" si="60"/>
        <v>Ashikur Rahman</v>
      </c>
      <c r="D59" s="59">
        <f t="shared" si="60"/>
        <v>6080</v>
      </c>
      <c r="E59" s="50" t="s">
        <v>191</v>
      </c>
      <c r="F59" s="60"/>
      <c r="G59" s="51">
        <f t="shared" si="15"/>
        <v>675000</v>
      </c>
      <c r="H59" s="51">
        <f t="shared" si="11"/>
        <v>225000</v>
      </c>
      <c r="I59" s="51">
        <f t="shared" ref="I59:S59" si="61">$J$38*H24*$L$38+$N$38*I24*$P$38</f>
        <v>225000</v>
      </c>
      <c r="J59" s="51">
        <f t="shared" si="61"/>
        <v>0</v>
      </c>
      <c r="K59" s="51">
        <f t="shared" si="61"/>
        <v>0</v>
      </c>
      <c r="L59" s="51">
        <f t="shared" si="61"/>
        <v>0</v>
      </c>
      <c r="M59" s="51">
        <f t="shared" si="61"/>
        <v>0</v>
      </c>
      <c r="N59" s="51">
        <f t="shared" si="61"/>
        <v>0</v>
      </c>
      <c r="O59" s="51">
        <f t="shared" si="61"/>
        <v>0</v>
      </c>
      <c r="P59" s="51">
        <f t="shared" si="61"/>
        <v>0</v>
      </c>
      <c r="Q59" s="51">
        <f t="shared" si="61"/>
        <v>0</v>
      </c>
      <c r="R59" s="51">
        <f t="shared" si="61"/>
        <v>0</v>
      </c>
      <c r="S59" s="52">
        <f t="shared" si="61"/>
        <v>225000</v>
      </c>
    </row>
    <row r="60" spans="1:19" x14ac:dyDescent="0.25">
      <c r="A60" s="47">
        <f t="shared" ref="A60" si="62">A25</f>
        <v>16</v>
      </c>
      <c r="B60" s="48" t="str">
        <f t="shared" ref="B60:D60" si="63">IF(B25=0,"",B25)</f>
        <v>DSL-DHK</v>
      </c>
      <c r="C60" s="48" t="str">
        <f t="shared" si="63"/>
        <v>Md. Sujon Hossain</v>
      </c>
      <c r="D60" s="59">
        <f t="shared" si="63"/>
        <v>6078</v>
      </c>
      <c r="E60" s="50" t="s">
        <v>192</v>
      </c>
      <c r="F60" s="60"/>
      <c r="G60" s="51">
        <f t="shared" si="15"/>
        <v>810000</v>
      </c>
      <c r="H60" s="51">
        <f t="shared" si="11"/>
        <v>270000</v>
      </c>
      <c r="I60" s="51">
        <f t="shared" ref="I60:S60" si="64">$J$38*H25*$L$38+$N$38*I25*$P$38</f>
        <v>270000</v>
      </c>
      <c r="J60" s="51">
        <f t="shared" si="64"/>
        <v>0</v>
      </c>
      <c r="K60" s="51">
        <f t="shared" si="64"/>
        <v>0</v>
      </c>
      <c r="L60" s="51">
        <f t="shared" si="64"/>
        <v>0</v>
      </c>
      <c r="M60" s="51">
        <f t="shared" si="64"/>
        <v>0</v>
      </c>
      <c r="N60" s="51">
        <f t="shared" si="64"/>
        <v>0</v>
      </c>
      <c r="O60" s="51">
        <f t="shared" si="64"/>
        <v>0</v>
      </c>
      <c r="P60" s="51">
        <f t="shared" si="64"/>
        <v>0</v>
      </c>
      <c r="Q60" s="51">
        <f t="shared" si="64"/>
        <v>0</v>
      </c>
      <c r="R60" s="51">
        <f t="shared" si="64"/>
        <v>0</v>
      </c>
      <c r="S60" s="52">
        <f t="shared" si="64"/>
        <v>270000</v>
      </c>
    </row>
    <row r="61" spans="1:19" x14ac:dyDescent="0.25">
      <c r="A61" s="47">
        <f t="shared" ref="A61" si="65">A26</f>
        <v>15</v>
      </c>
      <c r="B61" s="48" t="str">
        <f t="shared" ref="B61:D61" si="66">IF(B26=0,"",B26)</f>
        <v>DSL-DHK</v>
      </c>
      <c r="C61" s="145" t="str">
        <f t="shared" si="66"/>
        <v xml:space="preserve">Md Jiaur Rahman </v>
      </c>
      <c r="D61" s="59" t="str">
        <f t="shared" si="66"/>
        <v>0522</v>
      </c>
      <c r="E61" s="50" t="s">
        <v>193</v>
      </c>
      <c r="F61" s="60"/>
      <c r="G61" s="51">
        <f t="shared" si="15"/>
        <v>3510000</v>
      </c>
      <c r="H61" s="51">
        <f t="shared" si="11"/>
        <v>405000</v>
      </c>
      <c r="I61" s="51">
        <f t="shared" ref="I61:S61" si="67">$J$38*H26*$L$38+$N$38*I26*$P$38</f>
        <v>405000</v>
      </c>
      <c r="J61" s="51">
        <f t="shared" si="67"/>
        <v>0</v>
      </c>
      <c r="K61" s="51">
        <f t="shared" si="67"/>
        <v>0</v>
      </c>
      <c r="L61" s="51">
        <f t="shared" si="67"/>
        <v>0</v>
      </c>
      <c r="M61" s="51">
        <f t="shared" si="67"/>
        <v>0</v>
      </c>
      <c r="N61" s="51">
        <f t="shared" si="67"/>
        <v>0</v>
      </c>
      <c r="O61" s="51">
        <f t="shared" si="67"/>
        <v>0</v>
      </c>
      <c r="P61" s="51">
        <f t="shared" si="67"/>
        <v>382500</v>
      </c>
      <c r="Q61" s="51">
        <f t="shared" si="67"/>
        <v>765000</v>
      </c>
      <c r="R61" s="51">
        <f t="shared" si="67"/>
        <v>765000</v>
      </c>
      <c r="S61" s="52">
        <f t="shared" si="67"/>
        <v>787500</v>
      </c>
    </row>
    <row r="62" spans="1:19" x14ac:dyDescent="0.25">
      <c r="A62" s="47">
        <f t="shared" ref="A62" si="68">A27</f>
        <v>16</v>
      </c>
      <c r="B62" s="48" t="str">
        <f t="shared" ref="B62:D62" si="69">IF(B27=0,"",B27)</f>
        <v/>
      </c>
      <c r="C62" s="145" t="str">
        <f t="shared" si="69"/>
        <v>New-2</v>
      </c>
      <c r="D62" s="59" t="str">
        <f t="shared" si="69"/>
        <v/>
      </c>
      <c r="E62" s="50" t="s">
        <v>194</v>
      </c>
      <c r="F62" s="60"/>
      <c r="G62" s="51">
        <f t="shared" si="15"/>
        <v>0</v>
      </c>
      <c r="H62" s="51">
        <f t="shared" si="11"/>
        <v>0</v>
      </c>
      <c r="I62" s="51">
        <f t="shared" ref="I62:S62" si="70">$J$38*H27*$L$38+$N$38*I27*$P$38</f>
        <v>0</v>
      </c>
      <c r="J62" s="51">
        <f t="shared" si="70"/>
        <v>0</v>
      </c>
      <c r="K62" s="51">
        <f t="shared" si="70"/>
        <v>0</v>
      </c>
      <c r="L62" s="51">
        <f t="shared" si="70"/>
        <v>0</v>
      </c>
      <c r="M62" s="51">
        <f t="shared" si="70"/>
        <v>0</v>
      </c>
      <c r="N62" s="51">
        <f t="shared" si="70"/>
        <v>0</v>
      </c>
      <c r="O62" s="51">
        <f t="shared" si="70"/>
        <v>0</v>
      </c>
      <c r="P62" s="51">
        <f t="shared" si="70"/>
        <v>0</v>
      </c>
      <c r="Q62" s="51">
        <f t="shared" si="70"/>
        <v>0</v>
      </c>
      <c r="R62" s="51">
        <f t="shared" si="70"/>
        <v>0</v>
      </c>
      <c r="S62" s="52">
        <f t="shared" si="70"/>
        <v>0</v>
      </c>
    </row>
    <row r="63" spans="1:19" x14ac:dyDescent="0.25">
      <c r="A63" s="47">
        <f t="shared" ref="A63" si="71">A28</f>
        <v>17</v>
      </c>
      <c r="B63" s="48" t="str">
        <f t="shared" ref="B63:D63" si="72">IF(B28=0,"",B28)</f>
        <v/>
      </c>
      <c r="C63" s="145" t="str">
        <f t="shared" si="72"/>
        <v>New-3</v>
      </c>
      <c r="D63" s="59" t="str">
        <f t="shared" si="72"/>
        <v/>
      </c>
      <c r="E63" s="50" t="s">
        <v>195</v>
      </c>
      <c r="F63" s="60"/>
      <c r="G63" s="51">
        <f t="shared" si="15"/>
        <v>0</v>
      </c>
      <c r="H63" s="51">
        <f t="shared" si="11"/>
        <v>0</v>
      </c>
      <c r="I63" s="51">
        <f t="shared" ref="I63:S63" si="73">$J$38*H28*$L$38+$N$38*I28*$P$38</f>
        <v>0</v>
      </c>
      <c r="J63" s="51">
        <f t="shared" si="73"/>
        <v>0</v>
      </c>
      <c r="K63" s="51">
        <f t="shared" si="73"/>
        <v>0</v>
      </c>
      <c r="L63" s="51">
        <f t="shared" si="73"/>
        <v>0</v>
      </c>
      <c r="M63" s="51">
        <f t="shared" si="73"/>
        <v>0</v>
      </c>
      <c r="N63" s="51">
        <f t="shared" si="73"/>
        <v>0</v>
      </c>
      <c r="O63" s="51">
        <f t="shared" si="73"/>
        <v>0</v>
      </c>
      <c r="P63" s="51">
        <f t="shared" si="73"/>
        <v>0</v>
      </c>
      <c r="Q63" s="51">
        <f t="shared" si="73"/>
        <v>0</v>
      </c>
      <c r="R63" s="51">
        <f t="shared" si="73"/>
        <v>0</v>
      </c>
      <c r="S63" s="52">
        <f t="shared" si="73"/>
        <v>0</v>
      </c>
    </row>
    <row r="64" spans="1:19" x14ac:dyDescent="0.25">
      <c r="A64" s="47">
        <f t="shared" ref="A64" si="74">A29</f>
        <v>18</v>
      </c>
      <c r="B64" s="48" t="str">
        <f t="shared" ref="B64:D64" si="75">IF(B29=0,"",B29)</f>
        <v/>
      </c>
      <c r="C64" s="145" t="str">
        <f t="shared" si="75"/>
        <v>New-4</v>
      </c>
      <c r="D64" s="59" t="str">
        <f t="shared" si="75"/>
        <v/>
      </c>
      <c r="E64" s="50" t="s">
        <v>196</v>
      </c>
      <c r="F64" s="60"/>
      <c r="G64" s="51">
        <f t="shared" si="15"/>
        <v>0</v>
      </c>
      <c r="H64" s="51">
        <f t="shared" si="11"/>
        <v>0</v>
      </c>
      <c r="I64" s="51">
        <f t="shared" ref="I64:S64" si="76">$J$38*H29*$L$38+$N$38*I29*$P$38</f>
        <v>0</v>
      </c>
      <c r="J64" s="51">
        <f t="shared" si="76"/>
        <v>0</v>
      </c>
      <c r="K64" s="51">
        <f t="shared" si="76"/>
        <v>0</v>
      </c>
      <c r="L64" s="51">
        <f t="shared" si="76"/>
        <v>0</v>
      </c>
      <c r="M64" s="51">
        <f t="shared" si="76"/>
        <v>0</v>
      </c>
      <c r="N64" s="51">
        <f t="shared" si="76"/>
        <v>0</v>
      </c>
      <c r="O64" s="51">
        <f t="shared" si="76"/>
        <v>0</v>
      </c>
      <c r="P64" s="51">
        <f t="shared" si="76"/>
        <v>0</v>
      </c>
      <c r="Q64" s="51">
        <f t="shared" si="76"/>
        <v>0</v>
      </c>
      <c r="R64" s="51">
        <f t="shared" si="76"/>
        <v>0</v>
      </c>
      <c r="S64" s="52">
        <f t="shared" si="76"/>
        <v>0</v>
      </c>
    </row>
    <row r="65" spans="1:19" x14ac:dyDescent="0.25">
      <c r="A65" s="47">
        <f t="shared" ref="A65" si="77">A30</f>
        <v>19</v>
      </c>
      <c r="B65" s="48" t="str">
        <f t="shared" ref="B65:D65" si="78">IF(B30=0,"",B30)</f>
        <v>CTG</v>
      </c>
      <c r="C65" s="48" t="str">
        <f t="shared" si="78"/>
        <v xml:space="preserve">Sumon Sen </v>
      </c>
      <c r="D65" s="49" t="str">
        <f t="shared" si="78"/>
        <v>8041</v>
      </c>
      <c r="E65" s="50" t="s">
        <v>197</v>
      </c>
      <c r="F65" s="54"/>
      <c r="G65" s="51">
        <f t="shared" si="15"/>
        <v>1822500</v>
      </c>
      <c r="H65" s="51">
        <f t="shared" si="11"/>
        <v>0</v>
      </c>
      <c r="I65" s="51">
        <f t="shared" ref="I65:S65" si="79">$J$38*H30*$L$38+$N$38*I30*$P$38</f>
        <v>0</v>
      </c>
      <c r="J65" s="51">
        <f t="shared" si="79"/>
        <v>0</v>
      </c>
      <c r="K65" s="51">
        <f t="shared" si="79"/>
        <v>0</v>
      </c>
      <c r="L65" s="51">
        <f t="shared" si="79"/>
        <v>0</v>
      </c>
      <c r="M65" s="51">
        <f t="shared" si="79"/>
        <v>0</v>
      </c>
      <c r="N65" s="51">
        <f t="shared" si="79"/>
        <v>0</v>
      </c>
      <c r="O65" s="51">
        <f t="shared" si="79"/>
        <v>202500</v>
      </c>
      <c r="P65" s="51">
        <f t="shared" si="79"/>
        <v>405000</v>
      </c>
      <c r="Q65" s="51">
        <f t="shared" si="79"/>
        <v>405000</v>
      </c>
      <c r="R65" s="51">
        <f t="shared" si="79"/>
        <v>405000</v>
      </c>
      <c r="S65" s="52">
        <f t="shared" si="79"/>
        <v>405000</v>
      </c>
    </row>
    <row r="66" spans="1:19" x14ac:dyDescent="0.25">
      <c r="A66" s="47">
        <f t="shared" ref="A66" si="80">A31</f>
        <v>20</v>
      </c>
      <c r="B66" s="48" t="str">
        <f t="shared" ref="B66:D66" si="81">IF(B31=0,"",B31)</f>
        <v>CTG</v>
      </c>
      <c r="C66" s="48" t="str">
        <f t="shared" si="81"/>
        <v>Tapan Barua</v>
      </c>
      <c r="D66" s="49" t="str">
        <f t="shared" si="81"/>
        <v>1475</v>
      </c>
      <c r="E66" s="50" t="s">
        <v>198</v>
      </c>
      <c r="F66" s="54"/>
      <c r="G66" s="51">
        <f t="shared" si="15"/>
        <v>1822500</v>
      </c>
      <c r="H66" s="51">
        <f t="shared" si="11"/>
        <v>0</v>
      </c>
      <c r="I66" s="51">
        <f t="shared" ref="I66:S66" si="82">$J$38*H31*$L$38+$N$38*I31*$P$38</f>
        <v>0</v>
      </c>
      <c r="J66" s="51">
        <f t="shared" si="82"/>
        <v>0</v>
      </c>
      <c r="K66" s="51">
        <f t="shared" si="82"/>
        <v>0</v>
      </c>
      <c r="L66" s="51">
        <f t="shared" si="82"/>
        <v>0</v>
      </c>
      <c r="M66" s="51">
        <f t="shared" si="82"/>
        <v>0</v>
      </c>
      <c r="N66" s="51">
        <f t="shared" si="82"/>
        <v>0</v>
      </c>
      <c r="O66" s="51">
        <f t="shared" si="82"/>
        <v>202500</v>
      </c>
      <c r="P66" s="51">
        <f t="shared" si="82"/>
        <v>405000</v>
      </c>
      <c r="Q66" s="51">
        <f t="shared" si="82"/>
        <v>405000</v>
      </c>
      <c r="R66" s="51">
        <f t="shared" si="82"/>
        <v>405000</v>
      </c>
      <c r="S66" s="52">
        <f t="shared" si="82"/>
        <v>405000</v>
      </c>
    </row>
    <row r="67" spans="1:19" x14ac:dyDescent="0.25">
      <c r="A67" s="47">
        <f t="shared" ref="A67" si="83">A32</f>
        <v>21</v>
      </c>
      <c r="B67" s="48" t="str">
        <f t="shared" ref="B67:D67" si="84">IF(B32=0,"",B32)</f>
        <v>CTG</v>
      </c>
      <c r="C67" s="48" t="str">
        <f t="shared" si="84"/>
        <v>Sozol prince</v>
      </c>
      <c r="D67" s="49" t="str">
        <f t="shared" si="84"/>
        <v>6076</v>
      </c>
      <c r="E67" s="50" t="s">
        <v>199</v>
      </c>
      <c r="F67" s="54"/>
      <c r="G67" s="51">
        <f t="shared" si="15"/>
        <v>1822500</v>
      </c>
      <c r="H67" s="51">
        <f t="shared" si="11"/>
        <v>0</v>
      </c>
      <c r="I67" s="51">
        <f t="shared" ref="I67:S67" si="85">$J$38*H32*$L$38+$N$38*I32*$P$38</f>
        <v>0</v>
      </c>
      <c r="J67" s="51">
        <f t="shared" si="85"/>
        <v>0</v>
      </c>
      <c r="K67" s="51">
        <f t="shared" si="85"/>
        <v>0</v>
      </c>
      <c r="L67" s="51">
        <f t="shared" si="85"/>
        <v>0</v>
      </c>
      <c r="M67" s="51">
        <f t="shared" si="85"/>
        <v>0</v>
      </c>
      <c r="N67" s="51">
        <f t="shared" si="85"/>
        <v>0</v>
      </c>
      <c r="O67" s="51">
        <f t="shared" si="85"/>
        <v>202500</v>
      </c>
      <c r="P67" s="51">
        <f t="shared" si="85"/>
        <v>405000</v>
      </c>
      <c r="Q67" s="51">
        <f t="shared" si="85"/>
        <v>405000</v>
      </c>
      <c r="R67" s="51">
        <f t="shared" si="85"/>
        <v>405000</v>
      </c>
      <c r="S67" s="52">
        <f t="shared" si="85"/>
        <v>405000</v>
      </c>
    </row>
    <row r="68" spans="1:19" x14ac:dyDescent="0.25">
      <c r="A68" s="47">
        <f t="shared" ref="A68" si="86">A33</f>
        <v>16</v>
      </c>
      <c r="B68" s="48" t="str">
        <f t="shared" ref="B68:D68" si="87">IF(B33=0,"",B33)</f>
        <v/>
      </c>
      <c r="C68" s="145" t="str">
        <f t="shared" si="87"/>
        <v>New-5</v>
      </c>
      <c r="D68" s="59" t="str">
        <f t="shared" si="87"/>
        <v/>
      </c>
      <c r="E68" s="50" t="s">
        <v>200</v>
      </c>
      <c r="F68" s="60"/>
      <c r="G68" s="51">
        <f t="shared" si="15"/>
        <v>0</v>
      </c>
      <c r="H68" s="51">
        <f t="shared" si="11"/>
        <v>0</v>
      </c>
      <c r="I68" s="51">
        <f t="shared" ref="I68:S68" si="88">$J$38*H33*$L$38+$N$38*I33*$P$38</f>
        <v>0</v>
      </c>
      <c r="J68" s="51">
        <f t="shared" si="88"/>
        <v>0</v>
      </c>
      <c r="K68" s="51">
        <f t="shared" si="88"/>
        <v>0</v>
      </c>
      <c r="L68" s="51">
        <f t="shared" si="88"/>
        <v>0</v>
      </c>
      <c r="M68" s="51">
        <f t="shared" si="88"/>
        <v>0</v>
      </c>
      <c r="N68" s="51">
        <f t="shared" si="88"/>
        <v>0</v>
      </c>
      <c r="O68" s="51">
        <f t="shared" si="88"/>
        <v>0</v>
      </c>
      <c r="P68" s="51">
        <f t="shared" si="88"/>
        <v>0</v>
      </c>
      <c r="Q68" s="51">
        <f t="shared" si="88"/>
        <v>0</v>
      </c>
      <c r="R68" s="51">
        <f t="shared" si="88"/>
        <v>0</v>
      </c>
      <c r="S68" s="52">
        <f t="shared" si="88"/>
        <v>0</v>
      </c>
    </row>
    <row r="69" spans="1:19" ht="15.75" thickBot="1" x14ac:dyDescent="0.3">
      <c r="A69" s="63">
        <f t="shared" ref="A69" si="89">A34</f>
        <v>17</v>
      </c>
      <c r="B69" s="64" t="str">
        <f t="shared" ref="B69:D69" si="90">IF(B34=0,"",B34)</f>
        <v/>
      </c>
      <c r="C69" s="146" t="str">
        <f t="shared" si="90"/>
        <v>New-6</v>
      </c>
      <c r="D69" s="143" t="str">
        <f t="shared" si="90"/>
        <v/>
      </c>
      <c r="E69" s="65" t="s">
        <v>201</v>
      </c>
      <c r="F69" s="144"/>
      <c r="G69" s="66">
        <f>SUM(H69:S69)</f>
        <v>0</v>
      </c>
      <c r="H69" s="66">
        <f>$J$38*H34*$L$38</f>
        <v>0</v>
      </c>
      <c r="I69" s="66">
        <f t="shared" ref="I69:S69" si="91">$J$38*H34*$L$38+$N$38*I34*$P$38</f>
        <v>0</v>
      </c>
      <c r="J69" s="66">
        <f t="shared" si="91"/>
        <v>0</v>
      </c>
      <c r="K69" s="66">
        <f t="shared" si="91"/>
        <v>0</v>
      </c>
      <c r="L69" s="66">
        <f t="shared" si="91"/>
        <v>0</v>
      </c>
      <c r="M69" s="66">
        <f t="shared" si="91"/>
        <v>0</v>
      </c>
      <c r="N69" s="66">
        <f t="shared" si="91"/>
        <v>0</v>
      </c>
      <c r="O69" s="66">
        <f t="shared" si="91"/>
        <v>0</v>
      </c>
      <c r="P69" s="66">
        <f t="shared" si="91"/>
        <v>0</v>
      </c>
      <c r="Q69" s="66">
        <f t="shared" si="91"/>
        <v>0</v>
      </c>
      <c r="R69" s="66">
        <f t="shared" si="91"/>
        <v>0</v>
      </c>
      <c r="S69" s="81">
        <f t="shared" si="91"/>
        <v>0</v>
      </c>
    </row>
  </sheetData>
  <mergeCells count="7">
    <mergeCell ref="N38:O38"/>
    <mergeCell ref="J38:K38"/>
    <mergeCell ref="E39:F39"/>
    <mergeCell ref="E4:F4"/>
    <mergeCell ref="A4:B4"/>
    <mergeCell ref="C4:D4"/>
    <mergeCell ref="A39:D39"/>
  </mergeCells>
  <pageMargins left="0.7" right="0.7" top="0.75" bottom="0.75" header="0.3" footer="0.3"/>
  <pageSetup orientation="portrait" horizontalDpi="4294967295" verticalDpi="4294967295" r:id="rId1"/>
  <ignoredErrors>
    <ignoredError sqref="D13:D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26"/>
  <sheetViews>
    <sheetView workbookViewId="0">
      <selection activeCell="H1" sqref="H1:H23"/>
    </sheetView>
  </sheetViews>
  <sheetFormatPr defaultRowHeight="15" x14ac:dyDescent="0.25"/>
  <cols>
    <col min="4" max="4" width="10.140625" bestFit="1" customWidth="1"/>
    <col min="7" max="7" width="9.7109375" bestFit="1" customWidth="1"/>
    <col min="11" max="11" width="5.42578125" style="175" bestFit="1" customWidth="1"/>
    <col min="13" max="13" width="22.28515625" bestFit="1" customWidth="1"/>
  </cols>
  <sheetData>
    <row r="1" spans="5:13" x14ac:dyDescent="0.25">
      <c r="E1" s="53">
        <v>2701</v>
      </c>
      <c r="F1">
        <v>250000</v>
      </c>
      <c r="G1">
        <f>VLOOKUP(E1,$K$3:$L$26,2,FALSE)</f>
        <v>178</v>
      </c>
      <c r="H1">
        <v>0</v>
      </c>
    </row>
    <row r="2" spans="5:13" x14ac:dyDescent="0.25">
      <c r="E2" s="49">
        <v>2330</v>
      </c>
      <c r="F2">
        <v>2000000</v>
      </c>
      <c r="G2">
        <f>VLOOKUP(E2,$K$3:$L$26,2,FALSE)</f>
        <v>179</v>
      </c>
      <c r="H2">
        <v>0</v>
      </c>
    </row>
    <row r="3" spans="5:13" x14ac:dyDescent="0.25">
      <c r="E3" s="175">
        <v>2913</v>
      </c>
      <c r="F3">
        <v>1500000</v>
      </c>
      <c r="G3">
        <f>VLOOKUP(E3,$K$3:$L$26,2,FALSE)</f>
        <v>180</v>
      </c>
      <c r="H3">
        <v>250000</v>
      </c>
      <c r="K3" s="175">
        <v>1418</v>
      </c>
      <c r="L3">
        <v>177</v>
      </c>
      <c r="M3" t="s">
        <v>212</v>
      </c>
    </row>
    <row r="4" spans="5:13" x14ac:dyDescent="0.25">
      <c r="E4" s="175">
        <v>2914</v>
      </c>
      <c r="F4">
        <v>5600000</v>
      </c>
      <c r="G4">
        <f t="shared" ref="G4:G23" si="0">VLOOKUP(E4,$K$3:$L$26,2,FALSE)</f>
        <v>181</v>
      </c>
      <c r="H4">
        <v>1000000</v>
      </c>
      <c r="K4" s="175">
        <v>2701</v>
      </c>
      <c r="L4">
        <v>178</v>
      </c>
      <c r="M4" t="s">
        <v>9</v>
      </c>
    </row>
    <row r="5" spans="5:13" x14ac:dyDescent="0.25">
      <c r="E5" s="175">
        <v>2927</v>
      </c>
      <c r="F5">
        <v>1900000</v>
      </c>
      <c r="G5">
        <f t="shared" si="0"/>
        <v>182</v>
      </c>
      <c r="H5">
        <v>300000</v>
      </c>
      <c r="K5" s="175">
        <v>2330</v>
      </c>
      <c r="L5">
        <v>179</v>
      </c>
      <c r="M5" t="s">
        <v>11</v>
      </c>
    </row>
    <row r="6" spans="5:13" x14ac:dyDescent="0.25">
      <c r="E6" s="175">
        <v>2699</v>
      </c>
      <c r="F6">
        <v>2000000</v>
      </c>
      <c r="G6">
        <f t="shared" si="0"/>
        <v>183</v>
      </c>
      <c r="H6">
        <v>400000</v>
      </c>
      <c r="K6" s="175">
        <v>2913</v>
      </c>
      <c r="L6">
        <v>180</v>
      </c>
      <c r="M6" t="s">
        <v>13</v>
      </c>
    </row>
    <row r="7" spans="5:13" x14ac:dyDescent="0.25">
      <c r="E7" s="176">
        <v>3002</v>
      </c>
      <c r="F7">
        <v>3600000</v>
      </c>
      <c r="G7">
        <f t="shared" si="0"/>
        <v>184</v>
      </c>
      <c r="H7">
        <v>600000</v>
      </c>
      <c r="K7" s="175">
        <v>2914</v>
      </c>
      <c r="L7">
        <v>181</v>
      </c>
      <c r="M7" t="s">
        <v>15</v>
      </c>
    </row>
    <row r="8" spans="5:13" x14ac:dyDescent="0.25">
      <c r="E8" s="176">
        <v>3004</v>
      </c>
      <c r="F8">
        <v>3600000</v>
      </c>
      <c r="G8">
        <f t="shared" si="0"/>
        <v>185</v>
      </c>
      <c r="H8">
        <v>600000</v>
      </c>
      <c r="K8" s="175">
        <v>2927</v>
      </c>
      <c r="L8">
        <v>182</v>
      </c>
      <c r="M8" t="s">
        <v>17</v>
      </c>
    </row>
    <row r="9" spans="5:13" x14ac:dyDescent="0.25">
      <c r="E9" s="176">
        <v>3006</v>
      </c>
      <c r="F9">
        <v>1210000</v>
      </c>
      <c r="G9">
        <f t="shared" si="0"/>
        <v>186</v>
      </c>
      <c r="H9">
        <v>250000</v>
      </c>
      <c r="K9" s="175">
        <v>2699</v>
      </c>
      <c r="L9">
        <v>183</v>
      </c>
      <c r="M9" t="s">
        <v>19</v>
      </c>
    </row>
    <row r="10" spans="5:13" x14ac:dyDescent="0.25">
      <c r="E10" s="175">
        <v>3003</v>
      </c>
      <c r="F10">
        <v>3600000</v>
      </c>
      <c r="G10">
        <f t="shared" si="0"/>
        <v>187</v>
      </c>
      <c r="H10">
        <v>500000</v>
      </c>
      <c r="K10" s="175">
        <v>3002</v>
      </c>
      <c r="L10">
        <v>184</v>
      </c>
      <c r="M10" t="s">
        <v>21</v>
      </c>
    </row>
    <row r="11" spans="5:13" x14ac:dyDescent="0.25">
      <c r="E11" s="175">
        <v>5690</v>
      </c>
      <c r="F11">
        <v>3600000</v>
      </c>
      <c r="G11">
        <f t="shared" si="0"/>
        <v>188</v>
      </c>
      <c r="H11">
        <v>600000</v>
      </c>
      <c r="K11" s="175">
        <v>3004</v>
      </c>
      <c r="L11">
        <v>185</v>
      </c>
      <c r="M11" t="s">
        <v>24</v>
      </c>
    </row>
    <row r="12" spans="5:13" x14ac:dyDescent="0.25">
      <c r="E12" s="175">
        <v>5691</v>
      </c>
      <c r="F12">
        <v>1900000</v>
      </c>
      <c r="G12">
        <f t="shared" si="0"/>
        <v>189</v>
      </c>
      <c r="H12">
        <v>300000</v>
      </c>
      <c r="K12" s="175">
        <v>3006</v>
      </c>
      <c r="L12">
        <v>186</v>
      </c>
      <c r="M12" t="s">
        <v>27</v>
      </c>
    </row>
    <row r="13" spans="5:13" x14ac:dyDescent="0.25">
      <c r="E13" s="175">
        <v>5692</v>
      </c>
      <c r="F13">
        <v>2700000</v>
      </c>
      <c r="G13">
        <f t="shared" si="0"/>
        <v>190</v>
      </c>
      <c r="H13">
        <v>400000</v>
      </c>
      <c r="K13" s="175">
        <v>3003</v>
      </c>
      <c r="L13">
        <v>187</v>
      </c>
      <c r="M13" t="s">
        <v>30</v>
      </c>
    </row>
    <row r="14" spans="5:13" x14ac:dyDescent="0.25">
      <c r="E14" s="175">
        <v>5927</v>
      </c>
      <c r="F14">
        <v>1150000</v>
      </c>
      <c r="G14">
        <f t="shared" si="0"/>
        <v>191</v>
      </c>
      <c r="H14">
        <v>230000</v>
      </c>
      <c r="K14" s="175">
        <v>5690</v>
      </c>
      <c r="L14">
        <v>188</v>
      </c>
      <c r="M14" t="s">
        <v>32</v>
      </c>
    </row>
    <row r="15" spans="5:13" x14ac:dyDescent="0.25">
      <c r="E15" s="175">
        <v>5928</v>
      </c>
      <c r="F15">
        <v>1250000</v>
      </c>
      <c r="G15">
        <f t="shared" si="0"/>
        <v>192</v>
      </c>
      <c r="H15">
        <v>250000</v>
      </c>
      <c r="K15" s="175">
        <v>5691</v>
      </c>
      <c r="L15">
        <v>189</v>
      </c>
      <c r="M15" t="s">
        <v>33</v>
      </c>
    </row>
    <row r="16" spans="5:13" x14ac:dyDescent="0.25">
      <c r="E16" s="175">
        <v>5929</v>
      </c>
      <c r="F16">
        <v>0</v>
      </c>
      <c r="G16">
        <f t="shared" si="0"/>
        <v>193</v>
      </c>
      <c r="H16">
        <v>0</v>
      </c>
      <c r="K16" s="175">
        <v>5692</v>
      </c>
      <c r="L16">
        <v>190</v>
      </c>
      <c r="M16" t="s">
        <v>35</v>
      </c>
    </row>
    <row r="17" spans="5:13" x14ac:dyDescent="0.25">
      <c r="E17" s="175">
        <v>6079</v>
      </c>
      <c r="F17">
        <v>500000</v>
      </c>
      <c r="G17">
        <f t="shared" si="0"/>
        <v>199</v>
      </c>
      <c r="H17">
        <v>250000</v>
      </c>
      <c r="K17" s="175">
        <v>5927</v>
      </c>
      <c r="L17">
        <v>191</v>
      </c>
      <c r="M17" t="s">
        <v>37</v>
      </c>
    </row>
    <row r="18" spans="5:13" x14ac:dyDescent="0.25">
      <c r="E18" s="175">
        <v>6080</v>
      </c>
      <c r="F18">
        <v>1000000</v>
      </c>
      <c r="G18">
        <f t="shared" si="0"/>
        <v>197</v>
      </c>
      <c r="H18">
        <v>500000</v>
      </c>
      <c r="K18" s="175">
        <v>5928</v>
      </c>
      <c r="L18">
        <v>192</v>
      </c>
      <c r="M18" t="s">
        <v>39</v>
      </c>
    </row>
    <row r="19" spans="5:13" x14ac:dyDescent="0.25">
      <c r="E19" s="175">
        <v>6078</v>
      </c>
      <c r="F19">
        <v>1200000</v>
      </c>
      <c r="G19">
        <f t="shared" si="0"/>
        <v>198</v>
      </c>
      <c r="H19">
        <v>600000</v>
      </c>
      <c r="K19" s="175">
        <v>5929</v>
      </c>
      <c r="L19">
        <v>193</v>
      </c>
      <c r="M19" t="s">
        <v>40</v>
      </c>
    </row>
    <row r="20" spans="5:13" x14ac:dyDescent="0.25">
      <c r="E20" s="175" t="s">
        <v>210</v>
      </c>
      <c r="F20">
        <v>4350000</v>
      </c>
      <c r="G20">
        <f t="shared" si="0"/>
        <v>203</v>
      </c>
      <c r="H20">
        <v>900000</v>
      </c>
      <c r="K20" s="175">
        <v>8041</v>
      </c>
      <c r="L20">
        <v>194</v>
      </c>
      <c r="M20" t="s">
        <v>213</v>
      </c>
    </row>
    <row r="21" spans="5:13" x14ac:dyDescent="0.25">
      <c r="E21" s="176">
        <v>8041</v>
      </c>
      <c r="F21">
        <v>2250000</v>
      </c>
      <c r="G21">
        <f t="shared" si="0"/>
        <v>194</v>
      </c>
      <c r="H21">
        <v>0</v>
      </c>
      <c r="K21" s="175">
        <v>1475</v>
      </c>
      <c r="L21">
        <v>195</v>
      </c>
      <c r="M21" t="s">
        <v>44</v>
      </c>
    </row>
    <row r="22" spans="5:13" x14ac:dyDescent="0.25">
      <c r="E22" s="176">
        <v>1475</v>
      </c>
      <c r="F22">
        <v>2250000</v>
      </c>
      <c r="G22">
        <f t="shared" si="0"/>
        <v>195</v>
      </c>
      <c r="H22">
        <v>0</v>
      </c>
      <c r="K22" s="175">
        <v>6076</v>
      </c>
      <c r="L22">
        <v>196</v>
      </c>
      <c r="M22" t="s">
        <v>214</v>
      </c>
    </row>
    <row r="23" spans="5:13" x14ac:dyDescent="0.25">
      <c r="E23" s="176">
        <v>6076</v>
      </c>
      <c r="F23">
        <v>2250000</v>
      </c>
      <c r="G23">
        <f t="shared" si="0"/>
        <v>196</v>
      </c>
      <c r="H23">
        <v>0</v>
      </c>
      <c r="K23" s="175">
        <v>6080</v>
      </c>
      <c r="L23">
        <v>197</v>
      </c>
      <c r="M23" t="s">
        <v>174</v>
      </c>
    </row>
    <row r="24" spans="5:13" x14ac:dyDescent="0.25">
      <c r="K24" s="175">
        <v>6078</v>
      </c>
      <c r="L24">
        <v>198</v>
      </c>
      <c r="M24" t="s">
        <v>175</v>
      </c>
    </row>
    <row r="25" spans="5:13" x14ac:dyDescent="0.25">
      <c r="K25" s="175">
        <v>6079</v>
      </c>
      <c r="L25">
        <v>199</v>
      </c>
      <c r="M25" t="s">
        <v>173</v>
      </c>
    </row>
    <row r="26" spans="5:13" x14ac:dyDescent="0.25">
      <c r="K26" s="175" t="s">
        <v>210</v>
      </c>
      <c r="L26">
        <v>203</v>
      </c>
      <c r="M26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opLeftCell="A26" workbookViewId="0">
      <selection activeCell="A27" sqref="A27:O49"/>
    </sheetView>
  </sheetViews>
  <sheetFormatPr defaultRowHeight="15" x14ac:dyDescent="0.25"/>
  <cols>
    <col min="4" max="4" width="16.140625" bestFit="1" customWidth="1"/>
    <col min="5" max="5" width="10.85546875" bestFit="1" customWidth="1"/>
    <col min="6" max="6" width="9.28515625" style="246" bestFit="1" customWidth="1"/>
    <col min="7" max="7" width="9.7109375" style="246" bestFit="1" customWidth="1"/>
    <col min="8" max="8" width="13.85546875" bestFit="1" customWidth="1"/>
    <col min="9" max="9" width="13.28515625" bestFit="1" customWidth="1"/>
    <col min="14" max="14" width="9.140625" style="246"/>
  </cols>
  <sheetData>
    <row r="1" spans="1:15" x14ac:dyDescent="0.25">
      <c r="A1" t="s">
        <v>3</v>
      </c>
      <c r="B1" t="s">
        <v>217</v>
      </c>
      <c r="C1" t="s">
        <v>218</v>
      </c>
      <c r="D1" t="s">
        <v>219</v>
      </c>
      <c r="E1" t="s">
        <v>220</v>
      </c>
      <c r="F1" s="246" t="s">
        <v>221</v>
      </c>
      <c r="G1" s="246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s="246" t="s">
        <v>229</v>
      </c>
      <c r="O1" t="s">
        <v>230</v>
      </c>
    </row>
    <row r="2" spans="1:15" s="247" customFormat="1" x14ac:dyDescent="0.25">
      <c r="A2" s="247">
        <v>1001</v>
      </c>
      <c r="B2" s="247">
        <v>2</v>
      </c>
      <c r="C2" s="247">
        <v>177</v>
      </c>
      <c r="D2" s="247" t="s">
        <v>215</v>
      </c>
      <c r="E2" s="247">
        <v>2</v>
      </c>
      <c r="F2" s="248">
        <v>44743</v>
      </c>
      <c r="G2" s="248">
        <v>45107</v>
      </c>
      <c r="H2" s="247">
        <v>2700000</v>
      </c>
      <c r="I2" s="247">
        <v>0</v>
      </c>
      <c r="J2" s="247">
        <v>25000</v>
      </c>
      <c r="K2" s="247">
        <v>0</v>
      </c>
      <c r="L2" s="247">
        <v>0</v>
      </c>
      <c r="M2" s="247">
        <v>160</v>
      </c>
      <c r="N2" s="248">
        <v>44805.706099340277</v>
      </c>
      <c r="O2" s="247" t="s">
        <v>216</v>
      </c>
    </row>
    <row r="3" spans="1:15" x14ac:dyDescent="0.25">
      <c r="A3">
        <v>1002</v>
      </c>
      <c r="B3">
        <v>2</v>
      </c>
      <c r="C3">
        <v>178</v>
      </c>
      <c r="D3" t="s">
        <v>231</v>
      </c>
      <c r="E3">
        <v>2</v>
      </c>
      <c r="F3" s="246">
        <v>44743</v>
      </c>
      <c r="G3" s="246">
        <v>45107</v>
      </c>
      <c r="H3">
        <v>250000</v>
      </c>
      <c r="I3">
        <v>0</v>
      </c>
      <c r="J3">
        <v>25000</v>
      </c>
      <c r="K3">
        <v>0</v>
      </c>
      <c r="L3">
        <v>0</v>
      </c>
      <c r="M3">
        <v>160</v>
      </c>
      <c r="N3" s="246">
        <v>44805.706099340277</v>
      </c>
      <c r="O3" t="s">
        <v>216</v>
      </c>
    </row>
    <row r="4" spans="1:15" x14ac:dyDescent="0.25">
      <c r="A4">
        <v>1003</v>
      </c>
      <c r="B4">
        <v>2</v>
      </c>
      <c r="C4">
        <v>179</v>
      </c>
      <c r="D4" t="s">
        <v>232</v>
      </c>
      <c r="E4">
        <v>2</v>
      </c>
      <c r="F4" s="246">
        <v>44743</v>
      </c>
      <c r="G4" s="246">
        <v>45107</v>
      </c>
      <c r="H4">
        <v>2000000</v>
      </c>
      <c r="I4">
        <v>0</v>
      </c>
      <c r="J4">
        <v>25000</v>
      </c>
      <c r="K4">
        <v>0</v>
      </c>
      <c r="L4">
        <v>0</v>
      </c>
      <c r="M4">
        <v>160</v>
      </c>
      <c r="N4" s="246">
        <v>44805.706099340277</v>
      </c>
      <c r="O4" t="s">
        <v>216</v>
      </c>
    </row>
    <row r="5" spans="1:15" x14ac:dyDescent="0.25">
      <c r="A5">
        <v>1004</v>
      </c>
      <c r="B5">
        <v>2</v>
      </c>
      <c r="C5">
        <v>180</v>
      </c>
      <c r="D5" t="s">
        <v>233</v>
      </c>
      <c r="E5">
        <v>2</v>
      </c>
      <c r="F5" s="246">
        <v>44743</v>
      </c>
      <c r="G5" s="246">
        <v>45107</v>
      </c>
      <c r="H5">
        <v>1500000</v>
      </c>
      <c r="I5">
        <v>0</v>
      </c>
      <c r="J5">
        <v>25000</v>
      </c>
      <c r="K5">
        <v>0</v>
      </c>
      <c r="L5">
        <v>0</v>
      </c>
      <c r="M5">
        <v>160</v>
      </c>
      <c r="N5" s="246">
        <v>44805.706099340277</v>
      </c>
      <c r="O5" t="s">
        <v>216</v>
      </c>
    </row>
    <row r="6" spans="1:15" x14ac:dyDescent="0.25">
      <c r="A6">
        <v>1005</v>
      </c>
      <c r="B6">
        <v>2</v>
      </c>
      <c r="C6">
        <v>181</v>
      </c>
      <c r="D6" t="s">
        <v>234</v>
      </c>
      <c r="E6">
        <v>2</v>
      </c>
      <c r="F6" s="246">
        <v>44743</v>
      </c>
      <c r="G6" s="246">
        <v>45107</v>
      </c>
      <c r="H6">
        <v>5600000</v>
      </c>
      <c r="I6">
        <v>0</v>
      </c>
      <c r="J6">
        <v>25000</v>
      </c>
      <c r="K6">
        <v>0</v>
      </c>
      <c r="L6">
        <v>0</v>
      </c>
      <c r="M6">
        <v>160</v>
      </c>
      <c r="N6" s="246">
        <v>44805.706099340277</v>
      </c>
      <c r="O6" t="s">
        <v>216</v>
      </c>
    </row>
    <row r="7" spans="1:15" x14ac:dyDescent="0.25">
      <c r="A7">
        <v>1006</v>
      </c>
      <c r="B7">
        <v>2</v>
      </c>
      <c r="C7">
        <v>182</v>
      </c>
      <c r="D7" t="s">
        <v>235</v>
      </c>
      <c r="E7">
        <v>2</v>
      </c>
      <c r="F7" s="246">
        <v>44743</v>
      </c>
      <c r="G7" s="246">
        <v>45107</v>
      </c>
      <c r="H7">
        <v>1900000</v>
      </c>
      <c r="I7">
        <v>0</v>
      </c>
      <c r="J7">
        <v>25000</v>
      </c>
      <c r="K7">
        <v>0</v>
      </c>
      <c r="L7">
        <v>0</v>
      </c>
      <c r="M7">
        <v>160</v>
      </c>
      <c r="N7" s="246">
        <v>44805.706099340277</v>
      </c>
      <c r="O7" t="s">
        <v>216</v>
      </c>
    </row>
    <row r="8" spans="1:15" x14ac:dyDescent="0.25">
      <c r="A8">
        <v>1007</v>
      </c>
      <c r="B8">
        <v>2</v>
      </c>
      <c r="C8">
        <v>183</v>
      </c>
      <c r="D8" t="s">
        <v>236</v>
      </c>
      <c r="E8">
        <v>2</v>
      </c>
      <c r="F8" s="246">
        <v>44743</v>
      </c>
      <c r="G8" s="246">
        <v>45107</v>
      </c>
      <c r="H8">
        <v>2000000</v>
      </c>
      <c r="I8">
        <v>0</v>
      </c>
      <c r="J8">
        <v>25000</v>
      </c>
      <c r="K8">
        <v>0</v>
      </c>
      <c r="L8">
        <v>0</v>
      </c>
      <c r="M8">
        <v>160</v>
      </c>
      <c r="N8" s="246">
        <v>44805.706099340277</v>
      </c>
      <c r="O8" t="s">
        <v>216</v>
      </c>
    </row>
    <row r="9" spans="1:15" x14ac:dyDescent="0.25">
      <c r="A9">
        <v>1008</v>
      </c>
      <c r="B9">
        <v>2</v>
      </c>
      <c r="C9">
        <v>184</v>
      </c>
      <c r="D9" t="s">
        <v>237</v>
      </c>
      <c r="E9">
        <v>2</v>
      </c>
      <c r="F9" s="246">
        <v>44743</v>
      </c>
      <c r="G9" s="246">
        <v>45107</v>
      </c>
      <c r="H9">
        <v>3600000</v>
      </c>
      <c r="I9">
        <v>0</v>
      </c>
      <c r="J9">
        <v>25000</v>
      </c>
      <c r="K9">
        <v>0</v>
      </c>
      <c r="L9">
        <v>0</v>
      </c>
      <c r="M9">
        <v>160</v>
      </c>
      <c r="N9" s="246">
        <v>44805.706099340277</v>
      </c>
      <c r="O9" t="s">
        <v>216</v>
      </c>
    </row>
    <row r="10" spans="1:15" x14ac:dyDescent="0.25">
      <c r="A10">
        <v>1009</v>
      </c>
      <c r="B10">
        <v>2</v>
      </c>
      <c r="C10">
        <v>185</v>
      </c>
      <c r="D10" t="s">
        <v>238</v>
      </c>
      <c r="E10">
        <v>2</v>
      </c>
      <c r="F10" s="246">
        <v>44743</v>
      </c>
      <c r="G10" s="246">
        <v>45107</v>
      </c>
      <c r="H10">
        <v>3600000</v>
      </c>
      <c r="I10">
        <v>0</v>
      </c>
      <c r="J10">
        <v>25000</v>
      </c>
      <c r="K10">
        <v>0</v>
      </c>
      <c r="L10">
        <v>0</v>
      </c>
      <c r="M10">
        <v>160</v>
      </c>
      <c r="N10" s="246">
        <v>44805.706099340277</v>
      </c>
      <c r="O10" t="s">
        <v>216</v>
      </c>
    </row>
    <row r="11" spans="1:15" x14ac:dyDescent="0.25">
      <c r="A11">
        <v>1010</v>
      </c>
      <c r="B11">
        <v>2</v>
      </c>
      <c r="C11">
        <v>186</v>
      </c>
      <c r="D11" t="s">
        <v>239</v>
      </c>
      <c r="E11">
        <v>2</v>
      </c>
      <c r="F11" s="246">
        <v>44743</v>
      </c>
      <c r="G11" s="246">
        <v>45107</v>
      </c>
      <c r="H11">
        <v>1210000</v>
      </c>
      <c r="I11">
        <v>0</v>
      </c>
      <c r="J11">
        <v>25000</v>
      </c>
      <c r="K11">
        <v>0</v>
      </c>
      <c r="L11">
        <v>0</v>
      </c>
      <c r="M11">
        <v>160</v>
      </c>
      <c r="N11" s="246">
        <v>44805.706099340277</v>
      </c>
      <c r="O11" t="s">
        <v>216</v>
      </c>
    </row>
    <row r="12" spans="1:15" x14ac:dyDescent="0.25">
      <c r="A12">
        <v>1011</v>
      </c>
      <c r="B12">
        <v>2</v>
      </c>
      <c r="C12">
        <v>187</v>
      </c>
      <c r="D12" t="s">
        <v>240</v>
      </c>
      <c r="E12">
        <v>2</v>
      </c>
      <c r="F12" s="246">
        <v>44743</v>
      </c>
      <c r="G12" s="246">
        <v>45107</v>
      </c>
      <c r="H12">
        <v>3600000</v>
      </c>
      <c r="I12">
        <v>0</v>
      </c>
      <c r="J12">
        <v>25000</v>
      </c>
      <c r="K12">
        <v>0</v>
      </c>
      <c r="L12">
        <v>0</v>
      </c>
      <c r="M12">
        <v>160</v>
      </c>
      <c r="N12" s="246">
        <v>44805.706099340277</v>
      </c>
      <c r="O12" t="s">
        <v>216</v>
      </c>
    </row>
    <row r="13" spans="1:15" x14ac:dyDescent="0.25">
      <c r="A13">
        <v>1012</v>
      </c>
      <c r="B13">
        <v>2</v>
      </c>
      <c r="C13">
        <v>188</v>
      </c>
      <c r="D13" t="s">
        <v>241</v>
      </c>
      <c r="E13">
        <v>2</v>
      </c>
      <c r="F13" s="246">
        <v>44743</v>
      </c>
      <c r="G13" s="246">
        <v>45107</v>
      </c>
      <c r="H13">
        <v>3600000</v>
      </c>
      <c r="I13">
        <v>0</v>
      </c>
      <c r="J13">
        <v>25000</v>
      </c>
      <c r="K13">
        <v>0</v>
      </c>
      <c r="L13">
        <v>0</v>
      </c>
      <c r="M13">
        <v>160</v>
      </c>
      <c r="N13" s="246">
        <v>44805.706099340277</v>
      </c>
      <c r="O13" t="s">
        <v>216</v>
      </c>
    </row>
    <row r="14" spans="1:15" x14ac:dyDescent="0.25">
      <c r="A14">
        <v>1013</v>
      </c>
      <c r="B14">
        <v>2</v>
      </c>
      <c r="C14">
        <v>189</v>
      </c>
      <c r="D14" t="s">
        <v>242</v>
      </c>
      <c r="E14">
        <v>2</v>
      </c>
      <c r="F14" s="246">
        <v>44743</v>
      </c>
      <c r="G14" s="246">
        <v>45107</v>
      </c>
      <c r="H14">
        <v>1900000</v>
      </c>
      <c r="I14">
        <v>0</v>
      </c>
      <c r="J14">
        <v>25000</v>
      </c>
      <c r="K14">
        <v>0</v>
      </c>
      <c r="L14">
        <v>0</v>
      </c>
      <c r="M14">
        <v>160</v>
      </c>
      <c r="N14" s="246">
        <v>44805.706099340277</v>
      </c>
      <c r="O14" t="s">
        <v>216</v>
      </c>
    </row>
    <row r="15" spans="1:15" x14ac:dyDescent="0.25">
      <c r="A15">
        <v>1014</v>
      </c>
      <c r="B15">
        <v>2</v>
      </c>
      <c r="C15">
        <v>190</v>
      </c>
      <c r="D15" t="s">
        <v>243</v>
      </c>
      <c r="E15">
        <v>2</v>
      </c>
      <c r="F15" s="246">
        <v>44743</v>
      </c>
      <c r="G15" s="246">
        <v>45107</v>
      </c>
      <c r="H15">
        <v>2700000</v>
      </c>
      <c r="I15">
        <v>0</v>
      </c>
      <c r="J15">
        <v>25000</v>
      </c>
      <c r="K15">
        <v>0</v>
      </c>
      <c r="L15">
        <v>0</v>
      </c>
      <c r="M15">
        <v>160</v>
      </c>
      <c r="N15" s="246">
        <v>44805.706099340277</v>
      </c>
      <c r="O15" t="s">
        <v>216</v>
      </c>
    </row>
    <row r="16" spans="1:15" x14ac:dyDescent="0.25">
      <c r="A16">
        <v>1015</v>
      </c>
      <c r="B16">
        <v>2</v>
      </c>
      <c r="C16">
        <v>191</v>
      </c>
      <c r="D16" t="s">
        <v>244</v>
      </c>
      <c r="E16">
        <v>2</v>
      </c>
      <c r="F16" s="246">
        <v>44743</v>
      </c>
      <c r="G16" s="246">
        <v>45107</v>
      </c>
      <c r="H16">
        <v>1150000</v>
      </c>
      <c r="I16">
        <v>0</v>
      </c>
      <c r="J16">
        <v>25000</v>
      </c>
      <c r="K16">
        <v>0</v>
      </c>
      <c r="L16">
        <v>0</v>
      </c>
      <c r="M16">
        <v>160</v>
      </c>
      <c r="N16" s="246">
        <v>44805.706099340277</v>
      </c>
      <c r="O16" t="s">
        <v>216</v>
      </c>
    </row>
    <row r="17" spans="1:15" x14ac:dyDescent="0.25">
      <c r="A17">
        <v>1016</v>
      </c>
      <c r="B17">
        <v>2</v>
      </c>
      <c r="C17">
        <v>192</v>
      </c>
      <c r="D17" t="s">
        <v>245</v>
      </c>
      <c r="E17">
        <v>2</v>
      </c>
      <c r="F17" s="246">
        <v>44743</v>
      </c>
      <c r="G17" s="246">
        <v>45107</v>
      </c>
      <c r="H17">
        <v>1250000</v>
      </c>
      <c r="I17">
        <v>0</v>
      </c>
      <c r="J17">
        <v>25000</v>
      </c>
      <c r="K17">
        <v>0</v>
      </c>
      <c r="L17">
        <v>0</v>
      </c>
      <c r="M17">
        <v>160</v>
      </c>
      <c r="N17" s="246">
        <v>44805.706099340277</v>
      </c>
      <c r="O17" t="s">
        <v>216</v>
      </c>
    </row>
    <row r="18" spans="1:15" x14ac:dyDescent="0.25">
      <c r="A18">
        <v>1017</v>
      </c>
      <c r="B18">
        <v>2</v>
      </c>
      <c r="C18">
        <v>193</v>
      </c>
      <c r="D18" t="s">
        <v>246</v>
      </c>
      <c r="E18">
        <v>2</v>
      </c>
      <c r="F18" s="246">
        <v>44743</v>
      </c>
      <c r="G18" s="246">
        <v>45107</v>
      </c>
      <c r="H18">
        <v>0</v>
      </c>
      <c r="I18">
        <v>0</v>
      </c>
      <c r="J18">
        <v>25000</v>
      </c>
      <c r="K18">
        <v>0</v>
      </c>
      <c r="L18">
        <v>0</v>
      </c>
      <c r="M18">
        <v>160</v>
      </c>
      <c r="N18" s="246">
        <v>44805.706099340277</v>
      </c>
      <c r="O18" t="s">
        <v>216</v>
      </c>
    </row>
    <row r="19" spans="1:15" x14ac:dyDescent="0.25">
      <c r="A19">
        <v>1018</v>
      </c>
      <c r="B19">
        <v>2</v>
      </c>
      <c r="C19">
        <v>199</v>
      </c>
      <c r="D19" t="s">
        <v>247</v>
      </c>
      <c r="E19">
        <v>2</v>
      </c>
      <c r="F19" s="246">
        <v>44743</v>
      </c>
      <c r="G19" s="246">
        <v>45107</v>
      </c>
      <c r="H19">
        <v>500000</v>
      </c>
      <c r="I19">
        <v>0</v>
      </c>
      <c r="J19">
        <v>25000</v>
      </c>
      <c r="K19">
        <v>0</v>
      </c>
      <c r="L19">
        <v>0</v>
      </c>
      <c r="M19">
        <v>160</v>
      </c>
      <c r="N19" s="246">
        <v>44805.706099340277</v>
      </c>
      <c r="O19" t="s">
        <v>216</v>
      </c>
    </row>
    <row r="20" spans="1:15" x14ac:dyDescent="0.25">
      <c r="A20">
        <v>1019</v>
      </c>
      <c r="B20">
        <v>2</v>
      </c>
      <c r="C20">
        <v>197</v>
      </c>
      <c r="D20" t="s">
        <v>248</v>
      </c>
      <c r="E20">
        <v>2</v>
      </c>
      <c r="F20" s="246">
        <v>44743</v>
      </c>
      <c r="G20" s="246">
        <v>45107</v>
      </c>
      <c r="H20">
        <v>1000000</v>
      </c>
      <c r="I20">
        <v>0</v>
      </c>
      <c r="J20">
        <v>25000</v>
      </c>
      <c r="K20">
        <v>0</v>
      </c>
      <c r="L20">
        <v>0</v>
      </c>
      <c r="M20">
        <v>160</v>
      </c>
      <c r="N20" s="246">
        <v>44805.706099340277</v>
      </c>
      <c r="O20" t="s">
        <v>216</v>
      </c>
    </row>
    <row r="21" spans="1:15" x14ac:dyDescent="0.25">
      <c r="A21">
        <v>1020</v>
      </c>
      <c r="B21">
        <v>2</v>
      </c>
      <c r="C21">
        <v>198</v>
      </c>
      <c r="D21" t="s">
        <v>249</v>
      </c>
      <c r="E21">
        <v>2</v>
      </c>
      <c r="F21" s="246">
        <v>44743</v>
      </c>
      <c r="G21" s="246">
        <v>45107</v>
      </c>
      <c r="H21">
        <v>1200000</v>
      </c>
      <c r="I21">
        <v>0</v>
      </c>
      <c r="J21">
        <v>25000</v>
      </c>
      <c r="K21">
        <v>0</v>
      </c>
      <c r="L21">
        <v>0</v>
      </c>
      <c r="M21">
        <v>160</v>
      </c>
      <c r="N21" s="246">
        <v>44805.706099340277</v>
      </c>
      <c r="O21" t="s">
        <v>216</v>
      </c>
    </row>
    <row r="22" spans="1:15" x14ac:dyDescent="0.25">
      <c r="A22">
        <v>1021</v>
      </c>
      <c r="B22">
        <v>2</v>
      </c>
      <c r="C22">
        <v>203</v>
      </c>
      <c r="D22" t="s">
        <v>250</v>
      </c>
      <c r="E22">
        <v>2</v>
      </c>
      <c r="F22" s="246">
        <v>44743</v>
      </c>
      <c r="G22" s="246">
        <v>45107</v>
      </c>
      <c r="H22">
        <v>4350000</v>
      </c>
      <c r="I22">
        <v>0</v>
      </c>
      <c r="J22">
        <v>25000</v>
      </c>
      <c r="K22">
        <v>0</v>
      </c>
      <c r="L22">
        <v>0</v>
      </c>
      <c r="M22">
        <v>160</v>
      </c>
      <c r="N22" s="246">
        <v>44805.706099340277</v>
      </c>
      <c r="O22" t="s">
        <v>216</v>
      </c>
    </row>
    <row r="23" spans="1:15" x14ac:dyDescent="0.25">
      <c r="A23">
        <v>1022</v>
      </c>
      <c r="B23">
        <v>2</v>
      </c>
      <c r="C23">
        <v>194</v>
      </c>
      <c r="D23" t="s">
        <v>251</v>
      </c>
      <c r="E23">
        <v>2</v>
      </c>
      <c r="F23" s="246">
        <v>44743</v>
      </c>
      <c r="G23" s="246">
        <v>45107</v>
      </c>
      <c r="H23">
        <v>2250000</v>
      </c>
      <c r="I23">
        <v>0</v>
      </c>
      <c r="J23">
        <v>25000</v>
      </c>
      <c r="K23">
        <v>0</v>
      </c>
      <c r="L23">
        <v>0</v>
      </c>
      <c r="M23">
        <v>160</v>
      </c>
      <c r="N23" s="246">
        <v>44805.706099340277</v>
      </c>
      <c r="O23" t="s">
        <v>216</v>
      </c>
    </row>
    <row r="24" spans="1:15" x14ac:dyDescent="0.25">
      <c r="A24">
        <v>1023</v>
      </c>
      <c r="B24">
        <v>2</v>
      </c>
      <c r="C24">
        <v>195</v>
      </c>
      <c r="D24" t="s">
        <v>252</v>
      </c>
      <c r="E24">
        <v>2</v>
      </c>
      <c r="F24" s="246">
        <v>44743</v>
      </c>
      <c r="G24" s="246">
        <v>45107</v>
      </c>
      <c r="H24">
        <v>2250000</v>
      </c>
      <c r="I24">
        <v>0</v>
      </c>
      <c r="J24">
        <v>25000</v>
      </c>
      <c r="K24">
        <v>0</v>
      </c>
      <c r="L24">
        <v>0</v>
      </c>
      <c r="M24">
        <v>160</v>
      </c>
      <c r="N24" s="246">
        <v>44805.706099340277</v>
      </c>
      <c r="O24" t="s">
        <v>216</v>
      </c>
    </row>
    <row r="25" spans="1:15" x14ac:dyDescent="0.25">
      <c r="A25">
        <v>1024</v>
      </c>
      <c r="B25">
        <v>2</v>
      </c>
      <c r="C25">
        <v>196</v>
      </c>
      <c r="D25" t="s">
        <v>253</v>
      </c>
      <c r="E25">
        <v>2</v>
      </c>
      <c r="F25" s="246">
        <v>44743</v>
      </c>
      <c r="G25" s="246">
        <v>45107</v>
      </c>
      <c r="H25">
        <v>2250000</v>
      </c>
      <c r="I25">
        <v>0</v>
      </c>
      <c r="J25">
        <v>25000</v>
      </c>
      <c r="K25">
        <v>0</v>
      </c>
      <c r="L25">
        <v>0</v>
      </c>
      <c r="M25">
        <v>160</v>
      </c>
      <c r="N25" s="246">
        <v>44805.706099340277</v>
      </c>
      <c r="O25" t="s">
        <v>216</v>
      </c>
    </row>
    <row r="26" spans="1:15" s="247" customFormat="1" x14ac:dyDescent="0.25">
      <c r="A26" s="247">
        <v>1025</v>
      </c>
      <c r="B26" s="247">
        <v>2</v>
      </c>
      <c r="C26" s="247">
        <v>177</v>
      </c>
      <c r="D26" s="247" t="s">
        <v>254</v>
      </c>
      <c r="E26" s="247">
        <v>1</v>
      </c>
      <c r="F26" s="248">
        <v>44743</v>
      </c>
      <c r="G26" s="248">
        <v>44773</v>
      </c>
      <c r="H26" s="247">
        <v>500000</v>
      </c>
      <c r="I26" s="247">
        <v>1</v>
      </c>
      <c r="J26" s="247">
        <v>0</v>
      </c>
      <c r="K26" s="247">
        <v>0</v>
      </c>
      <c r="L26" s="247">
        <v>0</v>
      </c>
      <c r="M26" s="247">
        <v>160</v>
      </c>
      <c r="N26" s="248">
        <v>44807.046550381943</v>
      </c>
      <c r="O26" s="247" t="s">
        <v>216</v>
      </c>
    </row>
    <row r="27" spans="1:15" s="249" customFormat="1" x14ac:dyDescent="0.25">
      <c r="A27" s="249">
        <v>1026</v>
      </c>
      <c r="B27" s="249">
        <v>2</v>
      </c>
      <c r="C27" s="249">
        <v>178</v>
      </c>
      <c r="D27" s="249" t="s">
        <v>254</v>
      </c>
      <c r="E27" s="249">
        <v>1</v>
      </c>
      <c r="F27" s="250">
        <v>44743</v>
      </c>
      <c r="G27" s="250">
        <v>44773</v>
      </c>
      <c r="H27" s="249">
        <v>0</v>
      </c>
      <c r="I27" s="249">
        <v>1</v>
      </c>
      <c r="J27" s="249">
        <v>0</v>
      </c>
      <c r="K27" s="249">
        <v>0</v>
      </c>
      <c r="L27" s="249">
        <v>0</v>
      </c>
      <c r="M27" s="249">
        <v>160</v>
      </c>
      <c r="N27" s="250">
        <v>44807.046550381943</v>
      </c>
      <c r="O27" s="249" t="s">
        <v>216</v>
      </c>
    </row>
    <row r="28" spans="1:15" s="249" customFormat="1" x14ac:dyDescent="0.25">
      <c r="A28" s="249">
        <v>1027</v>
      </c>
      <c r="B28" s="249">
        <v>2</v>
      </c>
      <c r="C28" s="249">
        <v>179</v>
      </c>
      <c r="D28" s="249" t="s">
        <v>254</v>
      </c>
      <c r="E28" s="249">
        <v>1</v>
      </c>
      <c r="F28" s="250">
        <v>44743</v>
      </c>
      <c r="G28" s="250">
        <v>44773</v>
      </c>
      <c r="H28" s="249">
        <v>0</v>
      </c>
      <c r="I28" s="249">
        <v>1</v>
      </c>
      <c r="J28" s="249">
        <v>0</v>
      </c>
      <c r="K28" s="249">
        <v>0</v>
      </c>
      <c r="L28" s="249">
        <v>0</v>
      </c>
      <c r="M28" s="249">
        <v>160</v>
      </c>
      <c r="N28" s="250">
        <v>44807.046550381943</v>
      </c>
      <c r="O28" s="249" t="s">
        <v>216</v>
      </c>
    </row>
    <row r="29" spans="1:15" s="249" customFormat="1" x14ac:dyDescent="0.25">
      <c r="A29" s="249">
        <v>1028</v>
      </c>
      <c r="B29" s="249">
        <v>2</v>
      </c>
      <c r="C29" s="249">
        <v>180</v>
      </c>
      <c r="D29" s="249" t="s">
        <v>254</v>
      </c>
      <c r="E29" s="249">
        <v>1</v>
      </c>
      <c r="F29" s="250">
        <v>44743</v>
      </c>
      <c r="G29" s="250">
        <v>44773</v>
      </c>
      <c r="H29" s="249">
        <v>250000</v>
      </c>
      <c r="I29" s="249">
        <v>1</v>
      </c>
      <c r="J29" s="249">
        <v>0</v>
      </c>
      <c r="K29" s="249">
        <v>0</v>
      </c>
      <c r="L29" s="249">
        <v>0</v>
      </c>
      <c r="M29" s="249">
        <v>160</v>
      </c>
      <c r="N29" s="250">
        <v>44807.046550381943</v>
      </c>
      <c r="O29" s="249" t="s">
        <v>216</v>
      </c>
    </row>
    <row r="30" spans="1:15" s="249" customFormat="1" x14ac:dyDescent="0.25">
      <c r="A30" s="249">
        <v>1029</v>
      </c>
      <c r="B30" s="249">
        <v>2</v>
      </c>
      <c r="C30" s="249">
        <v>181</v>
      </c>
      <c r="D30" s="249" t="s">
        <v>254</v>
      </c>
      <c r="E30" s="249">
        <v>1</v>
      </c>
      <c r="F30" s="250">
        <v>44743</v>
      </c>
      <c r="G30" s="250">
        <v>44773</v>
      </c>
      <c r="H30" s="249">
        <v>1000000</v>
      </c>
      <c r="I30" s="249">
        <v>1</v>
      </c>
      <c r="J30" s="249">
        <v>0</v>
      </c>
      <c r="K30" s="249">
        <v>0</v>
      </c>
      <c r="L30" s="249">
        <v>0</v>
      </c>
      <c r="M30" s="249">
        <v>160</v>
      </c>
      <c r="N30" s="250">
        <v>44807.046550381943</v>
      </c>
      <c r="O30" s="249" t="s">
        <v>216</v>
      </c>
    </row>
    <row r="31" spans="1:15" s="249" customFormat="1" x14ac:dyDescent="0.25">
      <c r="A31" s="249">
        <v>1030</v>
      </c>
      <c r="B31" s="249">
        <v>2</v>
      </c>
      <c r="C31" s="249">
        <v>182</v>
      </c>
      <c r="D31" s="249" t="s">
        <v>254</v>
      </c>
      <c r="E31" s="249">
        <v>1</v>
      </c>
      <c r="F31" s="250">
        <v>44743</v>
      </c>
      <c r="G31" s="250">
        <v>44773</v>
      </c>
      <c r="H31" s="249">
        <v>300000</v>
      </c>
      <c r="I31" s="249">
        <v>1</v>
      </c>
      <c r="J31" s="249">
        <v>0</v>
      </c>
      <c r="K31" s="249">
        <v>0</v>
      </c>
      <c r="L31" s="249">
        <v>0</v>
      </c>
      <c r="M31" s="249">
        <v>160</v>
      </c>
      <c r="N31" s="250">
        <v>44807.046550381943</v>
      </c>
      <c r="O31" s="249" t="s">
        <v>216</v>
      </c>
    </row>
    <row r="32" spans="1:15" s="249" customFormat="1" x14ac:dyDescent="0.25">
      <c r="A32" s="249">
        <v>1031</v>
      </c>
      <c r="B32" s="249">
        <v>2</v>
      </c>
      <c r="C32" s="249">
        <v>183</v>
      </c>
      <c r="D32" s="249" t="s">
        <v>254</v>
      </c>
      <c r="E32" s="249">
        <v>1</v>
      </c>
      <c r="F32" s="250">
        <v>44743</v>
      </c>
      <c r="G32" s="250">
        <v>44773</v>
      </c>
      <c r="H32" s="249">
        <v>400000</v>
      </c>
      <c r="I32" s="249">
        <v>1</v>
      </c>
      <c r="J32" s="249">
        <v>0</v>
      </c>
      <c r="K32" s="249">
        <v>0</v>
      </c>
      <c r="L32" s="249">
        <v>0</v>
      </c>
      <c r="M32" s="249">
        <v>160</v>
      </c>
      <c r="N32" s="250">
        <v>44807.046550381943</v>
      </c>
      <c r="O32" s="249" t="s">
        <v>216</v>
      </c>
    </row>
    <row r="33" spans="1:15" s="249" customFormat="1" x14ac:dyDescent="0.25">
      <c r="A33" s="249">
        <v>1032</v>
      </c>
      <c r="B33" s="249">
        <v>2</v>
      </c>
      <c r="C33" s="249">
        <v>184</v>
      </c>
      <c r="D33" s="249" t="s">
        <v>254</v>
      </c>
      <c r="E33" s="249">
        <v>1</v>
      </c>
      <c r="F33" s="250">
        <v>44743</v>
      </c>
      <c r="G33" s="250">
        <v>44773</v>
      </c>
      <c r="H33" s="249">
        <v>600000</v>
      </c>
      <c r="I33" s="249">
        <v>1</v>
      </c>
      <c r="J33" s="249">
        <v>0</v>
      </c>
      <c r="K33" s="249">
        <v>0</v>
      </c>
      <c r="L33" s="249">
        <v>0</v>
      </c>
      <c r="M33" s="249">
        <v>160</v>
      </c>
      <c r="N33" s="250">
        <v>44807.046550381943</v>
      </c>
      <c r="O33" s="249" t="s">
        <v>216</v>
      </c>
    </row>
    <row r="34" spans="1:15" s="249" customFormat="1" x14ac:dyDescent="0.25">
      <c r="A34" s="249">
        <v>1033</v>
      </c>
      <c r="B34" s="249">
        <v>2</v>
      </c>
      <c r="C34" s="249">
        <v>185</v>
      </c>
      <c r="D34" s="249" t="s">
        <v>254</v>
      </c>
      <c r="E34" s="249">
        <v>1</v>
      </c>
      <c r="F34" s="250">
        <v>44743</v>
      </c>
      <c r="G34" s="250">
        <v>44773</v>
      </c>
      <c r="H34" s="249">
        <v>600000</v>
      </c>
      <c r="I34" s="249">
        <v>1</v>
      </c>
      <c r="J34" s="249">
        <v>0</v>
      </c>
      <c r="K34" s="249">
        <v>0</v>
      </c>
      <c r="L34" s="249">
        <v>0</v>
      </c>
      <c r="M34" s="249">
        <v>160</v>
      </c>
      <c r="N34" s="250">
        <v>44807.046550381943</v>
      </c>
      <c r="O34" s="249" t="s">
        <v>216</v>
      </c>
    </row>
    <row r="35" spans="1:15" s="249" customFormat="1" x14ac:dyDescent="0.25">
      <c r="A35" s="249">
        <v>1034</v>
      </c>
      <c r="B35" s="249">
        <v>2</v>
      </c>
      <c r="C35" s="249">
        <v>186</v>
      </c>
      <c r="D35" s="249" t="s">
        <v>254</v>
      </c>
      <c r="E35" s="249">
        <v>1</v>
      </c>
      <c r="F35" s="250">
        <v>44743</v>
      </c>
      <c r="G35" s="250">
        <v>44773</v>
      </c>
      <c r="H35" s="249">
        <v>250000</v>
      </c>
      <c r="I35" s="249">
        <v>1</v>
      </c>
      <c r="J35" s="249">
        <v>0</v>
      </c>
      <c r="K35" s="249">
        <v>0</v>
      </c>
      <c r="L35" s="249">
        <v>0</v>
      </c>
      <c r="M35" s="249">
        <v>160</v>
      </c>
      <c r="N35" s="250">
        <v>44807.046550381943</v>
      </c>
      <c r="O35" s="249" t="s">
        <v>216</v>
      </c>
    </row>
    <row r="36" spans="1:15" s="249" customFormat="1" x14ac:dyDescent="0.25">
      <c r="A36" s="249">
        <v>1035</v>
      </c>
      <c r="B36" s="249">
        <v>2</v>
      </c>
      <c r="C36" s="249">
        <v>187</v>
      </c>
      <c r="D36" s="249" t="s">
        <v>254</v>
      </c>
      <c r="E36" s="249">
        <v>1</v>
      </c>
      <c r="F36" s="250">
        <v>44743</v>
      </c>
      <c r="G36" s="250">
        <v>44773</v>
      </c>
      <c r="H36" s="249">
        <v>500000</v>
      </c>
      <c r="I36" s="249">
        <v>1</v>
      </c>
      <c r="J36" s="249">
        <v>0</v>
      </c>
      <c r="K36" s="249">
        <v>0</v>
      </c>
      <c r="L36" s="249">
        <v>0</v>
      </c>
      <c r="M36" s="249">
        <v>160</v>
      </c>
      <c r="N36" s="250">
        <v>44807.046550381943</v>
      </c>
      <c r="O36" s="249" t="s">
        <v>216</v>
      </c>
    </row>
    <row r="37" spans="1:15" s="249" customFormat="1" x14ac:dyDescent="0.25">
      <c r="A37" s="249">
        <v>1036</v>
      </c>
      <c r="B37" s="249">
        <v>2</v>
      </c>
      <c r="C37" s="249">
        <v>188</v>
      </c>
      <c r="D37" s="249" t="s">
        <v>254</v>
      </c>
      <c r="E37" s="249">
        <v>1</v>
      </c>
      <c r="F37" s="250">
        <v>44743</v>
      </c>
      <c r="G37" s="250">
        <v>44773</v>
      </c>
      <c r="H37" s="249">
        <v>600000</v>
      </c>
      <c r="I37" s="249">
        <v>1</v>
      </c>
      <c r="J37" s="249">
        <v>0</v>
      </c>
      <c r="K37" s="249">
        <v>0</v>
      </c>
      <c r="L37" s="249">
        <v>0</v>
      </c>
      <c r="M37" s="249">
        <v>160</v>
      </c>
      <c r="N37" s="250">
        <v>44807.046550381943</v>
      </c>
      <c r="O37" s="249" t="s">
        <v>216</v>
      </c>
    </row>
    <row r="38" spans="1:15" s="249" customFormat="1" x14ac:dyDescent="0.25">
      <c r="A38" s="249">
        <v>1037</v>
      </c>
      <c r="B38" s="249">
        <v>2</v>
      </c>
      <c r="C38" s="249">
        <v>189</v>
      </c>
      <c r="D38" s="249" t="s">
        <v>254</v>
      </c>
      <c r="E38" s="249">
        <v>1</v>
      </c>
      <c r="F38" s="250">
        <v>44743</v>
      </c>
      <c r="G38" s="250">
        <v>44773</v>
      </c>
      <c r="H38" s="249">
        <v>300000</v>
      </c>
      <c r="I38" s="249">
        <v>1</v>
      </c>
      <c r="J38" s="249">
        <v>0</v>
      </c>
      <c r="K38" s="249">
        <v>0</v>
      </c>
      <c r="L38" s="249">
        <v>0</v>
      </c>
      <c r="M38" s="249">
        <v>160</v>
      </c>
      <c r="N38" s="250">
        <v>44807.046550381943</v>
      </c>
      <c r="O38" s="249" t="s">
        <v>216</v>
      </c>
    </row>
    <row r="39" spans="1:15" s="249" customFormat="1" x14ac:dyDescent="0.25">
      <c r="A39" s="249">
        <v>1038</v>
      </c>
      <c r="B39" s="249">
        <v>2</v>
      </c>
      <c r="C39" s="249">
        <v>190</v>
      </c>
      <c r="D39" s="249" t="s">
        <v>254</v>
      </c>
      <c r="E39" s="249">
        <v>1</v>
      </c>
      <c r="F39" s="250">
        <v>44743</v>
      </c>
      <c r="G39" s="250">
        <v>44773</v>
      </c>
      <c r="H39" s="249">
        <v>400000</v>
      </c>
      <c r="I39" s="249">
        <v>1</v>
      </c>
      <c r="J39" s="249">
        <v>0</v>
      </c>
      <c r="K39" s="249">
        <v>0</v>
      </c>
      <c r="L39" s="249">
        <v>0</v>
      </c>
      <c r="M39" s="249">
        <v>160</v>
      </c>
      <c r="N39" s="250">
        <v>44807.046550381943</v>
      </c>
      <c r="O39" s="249" t="s">
        <v>216</v>
      </c>
    </row>
    <row r="40" spans="1:15" s="249" customFormat="1" x14ac:dyDescent="0.25">
      <c r="A40" s="249">
        <v>1039</v>
      </c>
      <c r="B40" s="249">
        <v>2</v>
      </c>
      <c r="C40" s="249">
        <v>191</v>
      </c>
      <c r="D40" s="249" t="s">
        <v>254</v>
      </c>
      <c r="E40" s="249">
        <v>1</v>
      </c>
      <c r="F40" s="250">
        <v>44743</v>
      </c>
      <c r="G40" s="250">
        <v>44773</v>
      </c>
      <c r="H40" s="249">
        <v>230000</v>
      </c>
      <c r="I40" s="249">
        <v>1</v>
      </c>
      <c r="J40" s="249">
        <v>0</v>
      </c>
      <c r="K40" s="249">
        <v>0</v>
      </c>
      <c r="L40" s="249">
        <v>0</v>
      </c>
      <c r="M40" s="249">
        <v>160</v>
      </c>
      <c r="N40" s="250">
        <v>44807.046550381943</v>
      </c>
      <c r="O40" s="249" t="s">
        <v>216</v>
      </c>
    </row>
    <row r="41" spans="1:15" s="249" customFormat="1" x14ac:dyDescent="0.25">
      <c r="A41" s="249">
        <v>1040</v>
      </c>
      <c r="B41" s="249">
        <v>2</v>
      </c>
      <c r="C41" s="249">
        <v>192</v>
      </c>
      <c r="D41" s="249" t="s">
        <v>254</v>
      </c>
      <c r="E41" s="249">
        <v>1</v>
      </c>
      <c r="F41" s="250">
        <v>44743</v>
      </c>
      <c r="G41" s="250">
        <v>44773</v>
      </c>
      <c r="H41" s="249">
        <v>250000</v>
      </c>
      <c r="I41" s="249">
        <v>1</v>
      </c>
      <c r="J41" s="249">
        <v>0</v>
      </c>
      <c r="K41" s="249">
        <v>0</v>
      </c>
      <c r="L41" s="249">
        <v>0</v>
      </c>
      <c r="M41" s="249">
        <v>160</v>
      </c>
      <c r="N41" s="250">
        <v>44807.046550381943</v>
      </c>
      <c r="O41" s="249" t="s">
        <v>216</v>
      </c>
    </row>
    <row r="42" spans="1:15" s="249" customFormat="1" x14ac:dyDescent="0.25">
      <c r="A42" s="249">
        <v>1041</v>
      </c>
      <c r="B42" s="249">
        <v>2</v>
      </c>
      <c r="C42" s="249">
        <v>193</v>
      </c>
      <c r="D42" s="249" t="s">
        <v>254</v>
      </c>
      <c r="E42" s="249">
        <v>1</v>
      </c>
      <c r="F42" s="250">
        <v>44743</v>
      </c>
      <c r="G42" s="250">
        <v>44773</v>
      </c>
      <c r="H42" s="249">
        <v>0</v>
      </c>
      <c r="I42" s="249">
        <v>1</v>
      </c>
      <c r="J42" s="249">
        <v>0</v>
      </c>
      <c r="K42" s="249">
        <v>0</v>
      </c>
      <c r="L42" s="249">
        <v>0</v>
      </c>
      <c r="M42" s="249">
        <v>160</v>
      </c>
      <c r="N42" s="250">
        <v>44807.046550381943</v>
      </c>
      <c r="O42" s="249" t="s">
        <v>216</v>
      </c>
    </row>
    <row r="43" spans="1:15" s="249" customFormat="1" x14ac:dyDescent="0.25">
      <c r="A43" s="249">
        <v>1042</v>
      </c>
      <c r="B43" s="249">
        <v>2</v>
      </c>
      <c r="C43" s="249">
        <v>199</v>
      </c>
      <c r="D43" s="249" t="s">
        <v>254</v>
      </c>
      <c r="E43" s="249">
        <v>1</v>
      </c>
      <c r="F43" s="250">
        <v>44743</v>
      </c>
      <c r="G43" s="250">
        <v>44773</v>
      </c>
      <c r="H43" s="249">
        <v>250000</v>
      </c>
      <c r="I43" s="249">
        <v>1</v>
      </c>
      <c r="J43" s="249">
        <v>0</v>
      </c>
      <c r="K43" s="249">
        <v>0</v>
      </c>
      <c r="L43" s="249">
        <v>0</v>
      </c>
      <c r="M43" s="249">
        <v>160</v>
      </c>
      <c r="N43" s="250">
        <v>44807.046550381943</v>
      </c>
      <c r="O43" s="249" t="s">
        <v>216</v>
      </c>
    </row>
    <row r="44" spans="1:15" s="249" customFormat="1" x14ac:dyDescent="0.25">
      <c r="A44" s="249">
        <v>1043</v>
      </c>
      <c r="B44" s="249">
        <v>2</v>
      </c>
      <c r="C44" s="249">
        <v>197</v>
      </c>
      <c r="D44" s="249" t="s">
        <v>254</v>
      </c>
      <c r="E44" s="249">
        <v>1</v>
      </c>
      <c r="F44" s="250">
        <v>44743</v>
      </c>
      <c r="G44" s="250">
        <v>44773</v>
      </c>
      <c r="H44" s="249">
        <v>500000</v>
      </c>
      <c r="I44" s="249">
        <v>1</v>
      </c>
      <c r="J44" s="249">
        <v>0</v>
      </c>
      <c r="K44" s="249">
        <v>0</v>
      </c>
      <c r="L44" s="249">
        <v>0</v>
      </c>
      <c r="M44" s="249">
        <v>160</v>
      </c>
      <c r="N44" s="250">
        <v>44807.046550381943</v>
      </c>
      <c r="O44" s="249" t="s">
        <v>216</v>
      </c>
    </row>
    <row r="45" spans="1:15" s="249" customFormat="1" x14ac:dyDescent="0.25">
      <c r="A45" s="249">
        <v>1044</v>
      </c>
      <c r="B45" s="249">
        <v>2</v>
      </c>
      <c r="C45" s="249">
        <v>198</v>
      </c>
      <c r="D45" s="249" t="s">
        <v>254</v>
      </c>
      <c r="E45" s="249">
        <v>1</v>
      </c>
      <c r="F45" s="250">
        <v>44743</v>
      </c>
      <c r="G45" s="250">
        <v>44773</v>
      </c>
      <c r="H45" s="249">
        <v>600000</v>
      </c>
      <c r="I45" s="249">
        <v>1</v>
      </c>
      <c r="J45" s="249">
        <v>0</v>
      </c>
      <c r="K45" s="249">
        <v>0</v>
      </c>
      <c r="L45" s="249">
        <v>0</v>
      </c>
      <c r="M45" s="249">
        <v>160</v>
      </c>
      <c r="N45" s="250">
        <v>44807.046550381943</v>
      </c>
      <c r="O45" s="249" t="s">
        <v>216</v>
      </c>
    </row>
    <row r="46" spans="1:15" s="249" customFormat="1" x14ac:dyDescent="0.25">
      <c r="A46" s="249">
        <v>1045</v>
      </c>
      <c r="B46" s="249">
        <v>2</v>
      </c>
      <c r="C46" s="249">
        <v>203</v>
      </c>
      <c r="D46" s="249" t="s">
        <v>254</v>
      </c>
      <c r="E46" s="249">
        <v>1</v>
      </c>
      <c r="F46" s="250">
        <v>44743</v>
      </c>
      <c r="G46" s="250">
        <v>44773</v>
      </c>
      <c r="H46" s="249">
        <v>900000</v>
      </c>
      <c r="I46" s="249">
        <v>1</v>
      </c>
      <c r="J46" s="249">
        <v>0</v>
      </c>
      <c r="K46" s="249">
        <v>0</v>
      </c>
      <c r="L46" s="249">
        <v>0</v>
      </c>
      <c r="M46" s="249">
        <v>160</v>
      </c>
      <c r="N46" s="250">
        <v>44807.046550381943</v>
      </c>
      <c r="O46" s="249" t="s">
        <v>216</v>
      </c>
    </row>
    <row r="47" spans="1:15" s="249" customFormat="1" x14ac:dyDescent="0.25">
      <c r="A47" s="249">
        <v>1046</v>
      </c>
      <c r="B47" s="249">
        <v>2</v>
      </c>
      <c r="C47" s="249">
        <v>194</v>
      </c>
      <c r="D47" s="249" t="s">
        <v>254</v>
      </c>
      <c r="E47" s="249">
        <v>1</v>
      </c>
      <c r="F47" s="250">
        <v>44743</v>
      </c>
      <c r="G47" s="250">
        <v>44773</v>
      </c>
      <c r="H47" s="249">
        <v>0</v>
      </c>
      <c r="I47" s="249">
        <v>1</v>
      </c>
      <c r="J47" s="249">
        <v>0</v>
      </c>
      <c r="K47" s="249">
        <v>0</v>
      </c>
      <c r="L47" s="249">
        <v>0</v>
      </c>
      <c r="M47" s="249">
        <v>160</v>
      </c>
      <c r="N47" s="250">
        <v>44807.046550381943</v>
      </c>
      <c r="O47" s="249" t="s">
        <v>216</v>
      </c>
    </row>
    <row r="48" spans="1:15" s="249" customFormat="1" x14ac:dyDescent="0.25">
      <c r="A48" s="249">
        <v>1047</v>
      </c>
      <c r="B48" s="249">
        <v>2</v>
      </c>
      <c r="C48" s="249">
        <v>195</v>
      </c>
      <c r="D48" s="249" t="s">
        <v>254</v>
      </c>
      <c r="E48" s="249">
        <v>1</v>
      </c>
      <c r="F48" s="250">
        <v>44743</v>
      </c>
      <c r="G48" s="250">
        <v>44773</v>
      </c>
      <c r="H48" s="249">
        <v>0</v>
      </c>
      <c r="I48" s="249">
        <v>1</v>
      </c>
      <c r="J48" s="249">
        <v>0</v>
      </c>
      <c r="K48" s="249">
        <v>0</v>
      </c>
      <c r="L48" s="249">
        <v>0</v>
      </c>
      <c r="M48" s="249">
        <v>160</v>
      </c>
      <c r="N48" s="250">
        <v>44807.046550381943</v>
      </c>
      <c r="O48" s="249" t="s">
        <v>216</v>
      </c>
    </row>
    <row r="49" spans="1:15" s="249" customFormat="1" x14ac:dyDescent="0.25">
      <c r="A49" s="249">
        <v>1048</v>
      </c>
      <c r="B49" s="249">
        <v>2</v>
      </c>
      <c r="C49" s="249">
        <v>196</v>
      </c>
      <c r="D49" s="249" t="s">
        <v>254</v>
      </c>
      <c r="E49" s="249">
        <v>1</v>
      </c>
      <c r="F49" s="250">
        <v>44743</v>
      </c>
      <c r="G49" s="250">
        <v>44773</v>
      </c>
      <c r="H49" s="249">
        <v>0</v>
      </c>
      <c r="I49" s="249">
        <v>1</v>
      </c>
      <c r="J49" s="249">
        <v>0</v>
      </c>
      <c r="K49" s="249">
        <v>0</v>
      </c>
      <c r="L49" s="249">
        <v>0</v>
      </c>
      <c r="M49" s="249">
        <v>160</v>
      </c>
      <c r="N49" s="250">
        <v>44807.046550381943</v>
      </c>
      <c r="O49" s="249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AR73"/>
  <sheetViews>
    <sheetView showGridLines="0" topLeftCell="C2" zoomScale="80" zoomScaleNormal="80" workbookViewId="0">
      <pane xSplit="3" topLeftCell="F1" activePane="topRight" state="frozen"/>
      <selection activeCell="C1" sqref="C1"/>
      <selection pane="topRight" activeCell="I14" sqref="I14:L26"/>
    </sheetView>
  </sheetViews>
  <sheetFormatPr defaultRowHeight="15" x14ac:dyDescent="0.25"/>
  <cols>
    <col min="1" max="1" width="1.5703125" style="2" customWidth="1"/>
    <col min="2" max="2" width="6.85546875" style="1" customWidth="1"/>
    <col min="3" max="3" width="10.7109375" style="2" bestFit="1" customWidth="1"/>
    <col min="4" max="4" width="24.5703125" style="4" customWidth="1"/>
    <col min="5" max="5" width="12.140625" style="1" customWidth="1"/>
    <col min="6" max="6" width="17.28515625" style="1" customWidth="1"/>
    <col min="7" max="7" width="12.7109375" style="1" customWidth="1"/>
    <col min="8" max="8" width="12.7109375" style="70" customWidth="1"/>
    <col min="9" max="10" width="12.7109375" style="1" customWidth="1"/>
    <col min="11" max="11" width="12.7109375" style="70" customWidth="1"/>
    <col min="12" max="13" width="12.7109375" style="1" customWidth="1"/>
    <col min="14" max="14" width="12.7109375" style="70" customWidth="1"/>
    <col min="15" max="16" width="12.7109375" style="1" customWidth="1"/>
    <col min="17" max="17" width="12.7109375" style="70" customWidth="1"/>
    <col min="18" max="19" width="12.7109375" style="1" customWidth="1"/>
    <col min="20" max="20" width="12.7109375" style="70" customWidth="1"/>
    <col min="21" max="22" width="12.7109375" style="1" customWidth="1"/>
    <col min="23" max="23" width="12.7109375" style="70" customWidth="1"/>
    <col min="24" max="25" width="12.7109375" style="1" customWidth="1"/>
    <col min="26" max="26" width="12.7109375" style="70" customWidth="1"/>
    <col min="27" max="28" width="12.7109375" style="1" customWidth="1"/>
    <col min="29" max="29" width="12.7109375" style="70" customWidth="1"/>
    <col min="30" max="34" width="12.7109375" style="1" customWidth="1"/>
    <col min="35" max="35" width="12.7109375" style="70" customWidth="1"/>
    <col min="36" max="37" width="12.7109375" style="1" customWidth="1"/>
    <col min="38" max="38" width="12.7109375" style="70" customWidth="1"/>
    <col min="39" max="40" width="12.7109375" style="1" customWidth="1"/>
    <col min="41" max="41" width="12.7109375" style="70" customWidth="1"/>
    <col min="42" max="42" width="13.140625" style="1" bestFit="1" customWidth="1"/>
    <col min="43" max="43" width="12.7109375" style="1" customWidth="1"/>
    <col min="44" max="44" width="12.7109375" style="70" customWidth="1"/>
    <col min="45" max="16384" width="9.140625" style="2"/>
  </cols>
  <sheetData>
    <row r="2" spans="2:44" ht="15.75" x14ac:dyDescent="0.25">
      <c r="C2" s="23" t="str">
        <f>'ASE Ach(Lube Oil Sales)'!B2</f>
        <v>Month</v>
      </c>
      <c r="D2" s="24" t="str">
        <f>'ASE Ach(Lube Oil Sales)'!C2</f>
        <v>Jul</v>
      </c>
      <c r="E2" s="11" t="str">
        <f>'ASE Ach(Lube Oil Sales)'!D2</f>
        <v>&lt;&lt;&lt; No input</v>
      </c>
    </row>
    <row r="3" spans="2:44" x14ac:dyDescent="0.25">
      <c r="F3" s="33"/>
      <c r="I3" s="33"/>
      <c r="L3" s="33"/>
      <c r="O3" s="33"/>
      <c r="R3" s="33"/>
      <c r="U3" s="33"/>
      <c r="X3" s="33"/>
      <c r="AA3" s="33"/>
      <c r="AD3" s="33"/>
      <c r="AG3" s="33"/>
      <c r="AJ3" s="33"/>
      <c r="AM3" s="33"/>
    </row>
    <row r="4" spans="2:44" s="123" customFormat="1" ht="18.75" x14ac:dyDescent="0.25">
      <c r="B4" s="200" t="s">
        <v>99</v>
      </c>
      <c r="C4" s="201"/>
      <c r="D4" s="201"/>
      <c r="E4" s="202"/>
      <c r="F4" s="121"/>
      <c r="G4" s="118" t="s">
        <v>147</v>
      </c>
      <c r="H4" s="122"/>
      <c r="I4" s="121"/>
      <c r="J4" s="118" t="s">
        <v>147</v>
      </c>
      <c r="K4" s="122"/>
      <c r="L4" s="121"/>
      <c r="M4" s="118" t="s">
        <v>147</v>
      </c>
      <c r="N4" s="122"/>
      <c r="O4" s="121"/>
      <c r="P4" s="118" t="s">
        <v>147</v>
      </c>
      <c r="Q4" s="122"/>
      <c r="R4" s="121"/>
      <c r="S4" s="118" t="s">
        <v>147</v>
      </c>
      <c r="T4" s="122"/>
      <c r="U4" s="121"/>
      <c r="V4" s="118" t="s">
        <v>147</v>
      </c>
      <c r="W4" s="122"/>
      <c r="X4" s="121"/>
      <c r="Y4" s="118" t="s">
        <v>147</v>
      </c>
      <c r="Z4" s="122"/>
      <c r="AA4" s="121"/>
      <c r="AB4" s="118" t="s">
        <v>147</v>
      </c>
      <c r="AC4" s="122"/>
      <c r="AD4" s="121"/>
      <c r="AE4" s="118" t="s">
        <v>147</v>
      </c>
      <c r="AF4" s="121"/>
      <c r="AG4" s="121"/>
      <c r="AH4" s="118" t="s">
        <v>147</v>
      </c>
      <c r="AI4" s="122"/>
      <c r="AJ4" s="121"/>
      <c r="AK4" s="118" t="s">
        <v>147</v>
      </c>
      <c r="AL4" s="122"/>
      <c r="AM4" s="121"/>
      <c r="AN4" s="118" t="s">
        <v>147</v>
      </c>
      <c r="AO4" s="122"/>
      <c r="AP4" s="121"/>
      <c r="AQ4" s="118"/>
      <c r="AR4" s="122"/>
    </row>
    <row r="5" spans="2:44" s="12" customFormat="1" x14ac:dyDescent="0.25">
      <c r="B5" s="196" t="str">
        <f>'ASE Target (Spares), FY 21-22'!A5</f>
        <v>Sl.</v>
      </c>
      <c r="C5" s="198" t="str">
        <f>'ASE Target (Spares), FY 21-22'!B5</f>
        <v>Wing</v>
      </c>
      <c r="D5" s="198" t="str">
        <f>'ASE Target (Spares), FY 21-22'!C5</f>
        <v>Name</v>
      </c>
      <c r="E5" s="196" t="str">
        <f>'ASE Target (Spares), FY 21-22'!D5</f>
        <v>ID</v>
      </c>
      <c r="F5" s="193" t="s">
        <v>47</v>
      </c>
      <c r="G5" s="194"/>
      <c r="H5" s="195"/>
      <c r="I5" s="190" t="s">
        <v>48</v>
      </c>
      <c r="J5" s="191"/>
      <c r="K5" s="192"/>
      <c r="L5" s="193" t="s">
        <v>49</v>
      </c>
      <c r="M5" s="194"/>
      <c r="N5" s="195"/>
      <c r="O5" s="190" t="s">
        <v>50</v>
      </c>
      <c r="P5" s="191"/>
      <c r="Q5" s="192"/>
      <c r="R5" s="193" t="s">
        <v>51</v>
      </c>
      <c r="S5" s="194"/>
      <c r="T5" s="195"/>
      <c r="U5" s="190" t="s">
        <v>52</v>
      </c>
      <c r="V5" s="191"/>
      <c r="W5" s="192"/>
      <c r="X5" s="193" t="s">
        <v>53</v>
      </c>
      <c r="Y5" s="194"/>
      <c r="Z5" s="195"/>
      <c r="AA5" s="190" t="s">
        <v>54</v>
      </c>
      <c r="AB5" s="191"/>
      <c r="AC5" s="192"/>
      <c r="AD5" s="193" t="s">
        <v>55</v>
      </c>
      <c r="AE5" s="194"/>
      <c r="AF5" s="195"/>
      <c r="AG5" s="190" t="s">
        <v>56</v>
      </c>
      <c r="AH5" s="191"/>
      <c r="AI5" s="192"/>
      <c r="AJ5" s="193" t="s">
        <v>57</v>
      </c>
      <c r="AK5" s="194"/>
      <c r="AL5" s="195"/>
      <c r="AM5" s="190" t="s">
        <v>58</v>
      </c>
      <c r="AN5" s="191"/>
      <c r="AO5" s="192"/>
      <c r="AP5" s="187" t="s">
        <v>91</v>
      </c>
      <c r="AQ5" s="188"/>
      <c r="AR5" s="189"/>
    </row>
    <row r="6" spans="2:44" s="13" customFormat="1" x14ac:dyDescent="0.25">
      <c r="B6" s="197"/>
      <c r="C6" s="199"/>
      <c r="D6" s="199"/>
      <c r="E6" s="197"/>
      <c r="F6" s="27" t="s">
        <v>79</v>
      </c>
      <c r="G6" s="27" t="s">
        <v>80</v>
      </c>
      <c r="H6" s="92" t="s">
        <v>81</v>
      </c>
      <c r="I6" s="29" t="s">
        <v>79</v>
      </c>
      <c r="J6" s="29" t="s">
        <v>80</v>
      </c>
      <c r="K6" s="71" t="s">
        <v>81</v>
      </c>
      <c r="L6" s="27" t="s">
        <v>79</v>
      </c>
      <c r="M6" s="27" t="s">
        <v>80</v>
      </c>
      <c r="N6" s="92" t="s">
        <v>81</v>
      </c>
      <c r="O6" s="29" t="s">
        <v>79</v>
      </c>
      <c r="P6" s="29" t="s">
        <v>80</v>
      </c>
      <c r="Q6" s="71" t="s">
        <v>81</v>
      </c>
      <c r="R6" s="27" t="s">
        <v>79</v>
      </c>
      <c r="S6" s="27" t="s">
        <v>80</v>
      </c>
      <c r="T6" s="92" t="s">
        <v>81</v>
      </c>
      <c r="U6" s="29" t="s">
        <v>79</v>
      </c>
      <c r="V6" s="29" t="s">
        <v>80</v>
      </c>
      <c r="W6" s="71" t="s">
        <v>81</v>
      </c>
      <c r="X6" s="27" t="s">
        <v>79</v>
      </c>
      <c r="Y6" s="27" t="s">
        <v>80</v>
      </c>
      <c r="Z6" s="92" t="s">
        <v>81</v>
      </c>
      <c r="AA6" s="29" t="s">
        <v>79</v>
      </c>
      <c r="AB6" s="29" t="s">
        <v>80</v>
      </c>
      <c r="AC6" s="71" t="s">
        <v>81</v>
      </c>
      <c r="AD6" s="27" t="s">
        <v>79</v>
      </c>
      <c r="AE6" s="27" t="s">
        <v>80</v>
      </c>
      <c r="AF6" s="27" t="s">
        <v>81</v>
      </c>
      <c r="AG6" s="29" t="s">
        <v>79</v>
      </c>
      <c r="AH6" s="29" t="s">
        <v>80</v>
      </c>
      <c r="AI6" s="71" t="s">
        <v>81</v>
      </c>
      <c r="AJ6" s="27" t="s">
        <v>79</v>
      </c>
      <c r="AK6" s="27" t="s">
        <v>80</v>
      </c>
      <c r="AL6" s="92" t="s">
        <v>81</v>
      </c>
      <c r="AM6" s="29" t="s">
        <v>79</v>
      </c>
      <c r="AN6" s="29" t="s">
        <v>80</v>
      </c>
      <c r="AO6" s="71" t="s">
        <v>81</v>
      </c>
      <c r="AP6" s="31" t="s">
        <v>79</v>
      </c>
      <c r="AQ6" s="31" t="s">
        <v>80</v>
      </c>
      <c r="AR6" s="93" t="s">
        <v>81</v>
      </c>
    </row>
    <row r="7" spans="2:44" x14ac:dyDescent="0.25">
      <c r="B7" s="15">
        <f>'ASE Target (Spares), FY 21-22'!A6</f>
        <v>1</v>
      </c>
      <c r="C7" s="25" t="str">
        <f>IF('ASE Target (Spares), FY 21-22'!B6=0,"",'ASE Target (Spares), FY 21-22'!B6)</f>
        <v>DSL-DHK</v>
      </c>
      <c r="D7" s="16" t="str">
        <f>IF('ASE Target (Spares), FY 21-22'!C6=0,"",'ASE Target (Spares), FY 21-22'!C6)</f>
        <v xml:space="preserve">Md. Shohidul </v>
      </c>
      <c r="E7" s="26">
        <f>IF('ASE Target (Spares), FY 21-22'!D6=0,"",'ASE Target (Spares), FY 21-22'!D6)</f>
        <v>1418</v>
      </c>
      <c r="F7" s="28">
        <f>IFERROR(VLOOKUP(D7,'ASE Target (Spares), FY 21-22'!$C$5:$H$39,6,0),"")</f>
        <v>500000</v>
      </c>
      <c r="G7" s="28">
        <v>1547635</v>
      </c>
      <c r="H7" s="91">
        <f t="shared" ref="H7" si="0">IFERROR(G7/F7,"")</f>
        <v>3.0952700000000002</v>
      </c>
      <c r="I7" s="30">
        <f>IFERROR(VLOOKUP(D7,'ASE Target (Spares), FY 21-22'!$C$5:$I$39,7,0),"")</f>
        <v>0</v>
      </c>
      <c r="J7" s="30"/>
      <c r="K7" s="72" t="str">
        <f t="shared" ref="K7" si="1">IFERROR(J7/I7,"")</f>
        <v/>
      </c>
      <c r="L7" s="28">
        <f>IFERROR(VLOOKUP(D7,'ASE Target (Spares), FY 21-22'!$C$5:$J$39,8,0),"")</f>
        <v>0</v>
      </c>
      <c r="M7" s="28"/>
      <c r="N7" s="91" t="str">
        <f t="shared" ref="N7" si="2">IFERROR(M7/L7,"")</f>
        <v/>
      </c>
      <c r="O7" s="30">
        <f>IFERROR(VLOOKUP(D7,'ASE Target (Spares), FY 21-22'!$C$5:$K$39,9,0),"")</f>
        <v>0</v>
      </c>
      <c r="P7" s="30"/>
      <c r="Q7" s="72" t="str">
        <f t="shared" ref="Q7" si="3">IFERROR(P7/O7,"")</f>
        <v/>
      </c>
      <c r="R7" s="28">
        <f>IFERROR(VLOOKUP(D7,'ASE Target (Spares), FY 21-22'!$C$5:$L$39,10,0),"")</f>
        <v>0</v>
      </c>
      <c r="S7" s="28"/>
      <c r="T7" s="91" t="str">
        <f t="shared" ref="T7" si="4">IFERROR(S7/R7,"")</f>
        <v/>
      </c>
      <c r="U7" s="30">
        <f>IFERROR(VLOOKUP(D7,'ASE Target (Spares), FY 21-22'!$C$5:$M$39,11,0),"")</f>
        <v>0</v>
      </c>
      <c r="V7" s="30"/>
      <c r="W7" s="72" t="str">
        <f t="shared" ref="W7" si="5">IFERROR(V7/U7,"")</f>
        <v/>
      </c>
      <c r="X7" s="28">
        <f>IFERROR(VLOOKUP(D7,'ASE Target (Spares), FY 21-22'!$C$5:$N$39,12,0),"")</f>
        <v>0</v>
      </c>
      <c r="Y7" s="28"/>
      <c r="Z7" s="91" t="str">
        <f t="shared" ref="Z7" si="6">IFERROR(Y7/X7,"")</f>
        <v/>
      </c>
      <c r="AA7" s="30">
        <f>IFERROR(VLOOKUP(D7,'ASE Target (Spares), FY 21-22'!$C$5:$O$39,13,0),"")</f>
        <v>600000</v>
      </c>
      <c r="AB7" s="30"/>
      <c r="AC7" s="72">
        <f t="shared" ref="AC7" si="7">IFERROR(AB7/AA7,"")</f>
        <v>0</v>
      </c>
      <c r="AD7" s="28">
        <f>IFERROR(VLOOKUP(D7,'ASE Target (Spares), FY 21-22'!$C$5:$P$39,14,0),"")</f>
        <v>300000</v>
      </c>
      <c r="AE7" s="28"/>
      <c r="AF7" s="28">
        <f t="shared" ref="AF7" si="8">IFERROR(AE7/AD7,"")</f>
        <v>0</v>
      </c>
      <c r="AG7" s="30">
        <f>IFERROR(VLOOKUP(D7,'ASE Target (Spares), FY 21-22'!$C$5:$Q$39,15,0),"")</f>
        <v>400000</v>
      </c>
      <c r="AH7" s="30"/>
      <c r="AI7" s="72">
        <f t="shared" ref="AI7" si="9">IFERROR(AH7/AG7,"")</f>
        <v>0</v>
      </c>
      <c r="AJ7" s="28">
        <f>IFERROR(VLOOKUP(D7,'ASE Target (Spares), FY 21-22'!$C$5:$R$39,16,0),"")</f>
        <v>400000</v>
      </c>
      <c r="AK7" s="28"/>
      <c r="AL7" s="91">
        <f t="shared" ref="AL7" si="10">IFERROR(AK7/AJ7,"")</f>
        <v>0</v>
      </c>
      <c r="AM7" s="30">
        <f>IFERROR(VLOOKUP(D7,'ASE Target (Spares), FY 21-22'!$C$5:$S$39,17,0),"")</f>
        <v>500000</v>
      </c>
      <c r="AN7" s="30"/>
      <c r="AO7" s="72">
        <f t="shared" ref="AO7" si="11">IFERROR(AN7/AM7,"")</f>
        <v>0</v>
      </c>
      <c r="AP7" s="32">
        <f t="shared" ref="AP7" si="12">IFERROR(F7+I7+L7+O7+R7+U7+X7+AA7+AD7+AG7+AJ7+AM7,"")</f>
        <v>2700000</v>
      </c>
      <c r="AQ7" s="32">
        <f t="shared" ref="AQ7" si="13">IFERROR(G7+J7+M7+P7+S7+V7+Y7+AB7+AE7+AH7+AK7+AN7,"")</f>
        <v>1547635</v>
      </c>
      <c r="AR7" s="94">
        <f t="shared" ref="AR7" si="14">IFERROR(AQ7/AP7,"")</f>
        <v>0.57319814814814818</v>
      </c>
    </row>
    <row r="8" spans="2:44" x14ac:dyDescent="0.25">
      <c r="B8" s="15">
        <f>'ASE Target (Spares), FY 21-22'!A7</f>
        <v>2</v>
      </c>
      <c r="C8" s="25" t="str">
        <f>IF('ASE Target (Spares), FY 21-22'!B7=0,"",'ASE Target (Spares), FY 21-22'!B7)</f>
        <v>DSL-DHK</v>
      </c>
      <c r="D8" s="16" t="str">
        <f>IF('ASE Target (Spares), FY 21-22'!C7=0,"",'ASE Target (Spares), FY 21-22'!C7)</f>
        <v>Sagar Chakrobarti</v>
      </c>
      <c r="E8" s="26">
        <f>IF('ASE Target (Spares), FY 21-22'!D7=0,"",'ASE Target (Spares), FY 21-22'!D7)</f>
        <v>2701</v>
      </c>
      <c r="F8" s="28">
        <f>IFERROR(VLOOKUP(D8,'ASE Target (Spares), FY 21-22'!$C$5:$H$39,6,0),"")</f>
        <v>0</v>
      </c>
      <c r="G8" s="28"/>
      <c r="H8" s="91" t="str">
        <f t="shared" ref="H8:H35" si="15">IFERROR(G8/F8,"")</f>
        <v/>
      </c>
      <c r="I8" s="30">
        <f>IFERROR(VLOOKUP(D8,'ASE Target (Spares), FY 21-22'!$C$5:$I$39,7,0),"")</f>
        <v>0</v>
      </c>
      <c r="J8" s="30"/>
      <c r="K8" s="72" t="str">
        <f t="shared" ref="K8:K35" si="16">IFERROR(J8/I8,"")</f>
        <v/>
      </c>
      <c r="L8" s="28">
        <f>IFERROR(VLOOKUP(D8,'ASE Target (Spares), FY 21-22'!$C$5:$J$39,8,0),"")</f>
        <v>0</v>
      </c>
      <c r="M8" s="28"/>
      <c r="N8" s="91" t="str">
        <f t="shared" ref="N8:N35" si="17">IFERROR(M8/L8,"")</f>
        <v/>
      </c>
      <c r="O8" s="30">
        <f>IFERROR(VLOOKUP(D8,'ASE Target (Spares), FY 21-22'!$C$5:$K$39,9,0),"")</f>
        <v>0</v>
      </c>
      <c r="P8" s="30"/>
      <c r="Q8" s="72" t="str">
        <f t="shared" ref="Q8:Q35" si="18">IFERROR(P8/O8,"")</f>
        <v/>
      </c>
      <c r="R8" s="28">
        <f>IFERROR(VLOOKUP(D8,'ASE Target (Spares), FY 21-22'!$C$5:$L$39,10,0),"")</f>
        <v>0</v>
      </c>
      <c r="S8" s="28"/>
      <c r="T8" s="91" t="str">
        <f t="shared" ref="T8:T35" si="19">IFERROR(S8/R8,"")</f>
        <v/>
      </c>
      <c r="U8" s="30">
        <f>IFERROR(VLOOKUP(D8,'ASE Target (Spares), FY 21-22'!$C$5:$M$39,11,0),"")</f>
        <v>0</v>
      </c>
      <c r="V8" s="30"/>
      <c r="W8" s="72" t="str">
        <f t="shared" ref="W8:W35" si="20">IFERROR(V8/U8,"")</f>
        <v/>
      </c>
      <c r="X8" s="28">
        <f>IFERROR(VLOOKUP(D8,'ASE Target (Spares), FY 21-22'!$C$5:$N$39,12,0),"")</f>
        <v>0</v>
      </c>
      <c r="Y8" s="28"/>
      <c r="Z8" s="91" t="str">
        <f t="shared" ref="Z8:Z35" si="21">IFERROR(Y8/X8,"")</f>
        <v/>
      </c>
      <c r="AA8" s="30">
        <f>IFERROR(VLOOKUP(D8,'ASE Target (Spares), FY 21-22'!$C$5:$O$39,13,0),"")</f>
        <v>250000</v>
      </c>
      <c r="AB8" s="30"/>
      <c r="AC8" s="72">
        <f t="shared" ref="AC8:AC35" si="22">IFERROR(AB8/AA8,"")</f>
        <v>0</v>
      </c>
      <c r="AD8" s="28">
        <f>IFERROR(VLOOKUP(D8,'ASE Target (Spares), FY 21-22'!$C$5:$P$39,14,0),"")</f>
        <v>0</v>
      </c>
      <c r="AE8" s="28"/>
      <c r="AF8" s="28" t="str">
        <f t="shared" ref="AF8:AF35" si="23">IFERROR(AE8/AD8,"")</f>
        <v/>
      </c>
      <c r="AG8" s="30">
        <f>IFERROR(VLOOKUP(D8,'ASE Target (Spares), FY 21-22'!$C$5:$Q$39,15,0),"")</f>
        <v>0</v>
      </c>
      <c r="AH8" s="30"/>
      <c r="AI8" s="72" t="str">
        <f t="shared" ref="AI8:AI35" si="24">IFERROR(AH8/AG8,"")</f>
        <v/>
      </c>
      <c r="AJ8" s="28">
        <f>IFERROR(VLOOKUP(D8,'ASE Target (Spares), FY 21-22'!$C$5:$R$39,16,0),"")</f>
        <v>0</v>
      </c>
      <c r="AK8" s="28"/>
      <c r="AL8" s="91" t="str">
        <f t="shared" ref="AL8:AL35" si="25">IFERROR(AK8/AJ8,"")</f>
        <v/>
      </c>
      <c r="AM8" s="30">
        <f>IFERROR(VLOOKUP(D8,'ASE Target (Spares), FY 21-22'!$C$5:$S$39,17,0),"")</f>
        <v>0</v>
      </c>
      <c r="AN8" s="30"/>
      <c r="AO8" s="72" t="str">
        <f t="shared" ref="AO8:AO35" si="26">IFERROR(AN8/AM8,"")</f>
        <v/>
      </c>
      <c r="AP8" s="32">
        <f t="shared" ref="AP8:AP35" si="27">IFERROR(F8+I8+L8+O8+R8+U8+X8+AA8+AD8+AG8+AJ8+AM8,"")</f>
        <v>250000</v>
      </c>
      <c r="AQ8" s="32">
        <f t="shared" ref="AQ8:AQ35" si="28">IFERROR(G8+J8+M8+P8+S8+V8+Y8+AB8+AE8+AH8+AK8+AN8,"")</f>
        <v>0</v>
      </c>
      <c r="AR8" s="94">
        <f t="shared" ref="AR8:AR35" si="29">IFERROR(AQ8/AP8,"")</f>
        <v>0</v>
      </c>
    </row>
    <row r="9" spans="2:44" x14ac:dyDescent="0.25">
      <c r="B9" s="15">
        <f>'ASE Target (Spares), FY 21-22'!A8</f>
        <v>3</v>
      </c>
      <c r="C9" s="25" t="str">
        <f>IF('ASE Target (Spares), FY 21-22'!B8=0,"",'ASE Target (Spares), FY 21-22'!B8)</f>
        <v>DSL-DHK</v>
      </c>
      <c r="D9" s="16" t="str">
        <f>IF('ASE Target (Spares), FY 21-22'!C8=0,"",'ASE Target (Spares), FY 21-22'!C8)</f>
        <v>Md. Minhazul Islam</v>
      </c>
      <c r="E9" s="26">
        <f>IF('ASE Target (Spares), FY 21-22'!D8=0,"",'ASE Target (Spares), FY 21-22'!D8)</f>
        <v>2330</v>
      </c>
      <c r="F9" s="28">
        <f>IFERROR(VLOOKUP(D9,'ASE Target (Spares), FY 21-22'!$C$5:$H$39,6,0),"")</f>
        <v>0</v>
      </c>
      <c r="G9" s="28"/>
      <c r="H9" s="91" t="str">
        <f t="shared" si="15"/>
        <v/>
      </c>
      <c r="I9" s="30">
        <f>IFERROR(VLOOKUP(D9,'ASE Target (Spares), FY 21-22'!$C$5:$I$39,7,0),"")</f>
        <v>0</v>
      </c>
      <c r="J9" s="30"/>
      <c r="K9" s="72" t="str">
        <f t="shared" si="16"/>
        <v/>
      </c>
      <c r="L9" s="28">
        <f>IFERROR(VLOOKUP(D9,'ASE Target (Spares), FY 21-22'!$C$5:$J$39,8,0),"")</f>
        <v>0</v>
      </c>
      <c r="M9" s="28"/>
      <c r="N9" s="91" t="str">
        <f t="shared" si="17"/>
        <v/>
      </c>
      <c r="O9" s="30">
        <f>IFERROR(VLOOKUP(D9,'ASE Target (Spares), FY 21-22'!$C$5:$K$39,9,0),"")</f>
        <v>0</v>
      </c>
      <c r="P9" s="30"/>
      <c r="Q9" s="72" t="str">
        <f t="shared" si="18"/>
        <v/>
      </c>
      <c r="R9" s="28">
        <f>IFERROR(VLOOKUP(D9,'ASE Target (Spares), FY 21-22'!$C$5:$L$39,10,0),"")</f>
        <v>0</v>
      </c>
      <c r="S9" s="28"/>
      <c r="T9" s="91" t="str">
        <f t="shared" si="19"/>
        <v/>
      </c>
      <c r="U9" s="30">
        <f>IFERROR(VLOOKUP(D9,'ASE Target (Spares), FY 21-22'!$C$5:$M$39,11,0),"")</f>
        <v>0</v>
      </c>
      <c r="V9" s="30"/>
      <c r="W9" s="72" t="str">
        <f t="shared" si="20"/>
        <v/>
      </c>
      <c r="X9" s="28">
        <f>IFERROR(VLOOKUP(D9,'ASE Target (Spares), FY 21-22'!$C$5:$N$39,12,0),"")</f>
        <v>0</v>
      </c>
      <c r="Y9" s="28"/>
      <c r="Z9" s="91" t="str">
        <f t="shared" si="21"/>
        <v/>
      </c>
      <c r="AA9" s="30">
        <f>IFERROR(VLOOKUP(D9,'ASE Target (Spares), FY 21-22'!$C$5:$O$39,13,0),"")</f>
        <v>1000000</v>
      </c>
      <c r="AB9" s="30"/>
      <c r="AC9" s="72">
        <f t="shared" si="22"/>
        <v>0</v>
      </c>
      <c r="AD9" s="28">
        <f>IFERROR(VLOOKUP(D9,'ASE Target (Spares), FY 21-22'!$C$5:$P$39,14,0),"")</f>
        <v>1000000</v>
      </c>
      <c r="AE9" s="28"/>
      <c r="AF9" s="28">
        <f t="shared" si="23"/>
        <v>0</v>
      </c>
      <c r="AG9" s="30">
        <f>IFERROR(VLOOKUP(D9,'ASE Target (Spares), FY 21-22'!$C$5:$Q$39,15,0),"")</f>
        <v>0</v>
      </c>
      <c r="AH9" s="30"/>
      <c r="AI9" s="72" t="str">
        <f t="shared" si="24"/>
        <v/>
      </c>
      <c r="AJ9" s="28">
        <f>IFERROR(VLOOKUP(D9,'ASE Target (Spares), FY 21-22'!$C$5:$R$39,16,0),"")</f>
        <v>0</v>
      </c>
      <c r="AK9" s="28"/>
      <c r="AL9" s="91" t="str">
        <f t="shared" si="25"/>
        <v/>
      </c>
      <c r="AM9" s="30">
        <f>IFERROR(VLOOKUP(D9,'ASE Target (Spares), FY 21-22'!$C$5:$S$39,17,0),"")</f>
        <v>0</v>
      </c>
      <c r="AN9" s="30"/>
      <c r="AO9" s="72" t="str">
        <f t="shared" si="26"/>
        <v/>
      </c>
      <c r="AP9" s="32">
        <f t="shared" si="27"/>
        <v>2000000</v>
      </c>
      <c r="AQ9" s="32">
        <f t="shared" si="28"/>
        <v>0</v>
      </c>
      <c r="AR9" s="94">
        <f t="shared" si="29"/>
        <v>0</v>
      </c>
    </row>
    <row r="10" spans="2:44" x14ac:dyDescent="0.25">
      <c r="B10" s="15">
        <f>'ASE Target (Spares), FY 21-22'!A9</f>
        <v>4</v>
      </c>
      <c r="C10" s="25" t="str">
        <f>IF('ASE Target (Spares), FY 21-22'!B9=0,"",'ASE Target (Spares), FY 21-22'!B9)</f>
        <v>DSL-DHK</v>
      </c>
      <c r="D10" s="16" t="str">
        <f>IF('ASE Target (Spares), FY 21-22'!C9=0,"",'ASE Target (Spares), FY 21-22'!C9)</f>
        <v>Md. Nazmul Hasan Titu</v>
      </c>
      <c r="E10" s="26">
        <f>IF('ASE Target (Spares), FY 21-22'!D9=0,"",'ASE Target (Spares), FY 21-22'!D9)</f>
        <v>2913</v>
      </c>
      <c r="F10" s="28">
        <f>IFERROR(VLOOKUP(D10,'ASE Target (Spares), FY 21-22'!$C$5:$H$39,6,0),"")</f>
        <v>250000</v>
      </c>
      <c r="G10" s="28">
        <v>709063</v>
      </c>
      <c r="H10" s="91">
        <f t="shared" si="15"/>
        <v>2.836252</v>
      </c>
      <c r="I10" s="30">
        <f>IFERROR(VLOOKUP(D10,'ASE Target (Spares), FY 21-22'!$C$5:$I$39,7,0),"")</f>
        <v>0</v>
      </c>
      <c r="J10" s="30"/>
      <c r="K10" s="72" t="str">
        <f t="shared" si="16"/>
        <v/>
      </c>
      <c r="L10" s="28">
        <f>IFERROR(VLOOKUP(D10,'ASE Target (Spares), FY 21-22'!$C$5:$J$39,8,0),"")</f>
        <v>0</v>
      </c>
      <c r="M10" s="28"/>
      <c r="N10" s="91" t="str">
        <f t="shared" si="17"/>
        <v/>
      </c>
      <c r="O10" s="30">
        <f>IFERROR(VLOOKUP(D10,'ASE Target (Spares), FY 21-22'!$C$5:$K$39,9,0),"")</f>
        <v>0</v>
      </c>
      <c r="P10" s="30"/>
      <c r="Q10" s="72" t="str">
        <f t="shared" si="18"/>
        <v/>
      </c>
      <c r="R10" s="28">
        <f>IFERROR(VLOOKUP(D10,'ASE Target (Spares), FY 21-22'!$C$5:$L$39,10,0),"")</f>
        <v>0</v>
      </c>
      <c r="S10" s="28"/>
      <c r="T10" s="91" t="str">
        <f t="shared" si="19"/>
        <v/>
      </c>
      <c r="U10" s="30">
        <f>IFERROR(VLOOKUP(D10,'ASE Target (Spares), FY 21-22'!$C$5:$M$39,11,0),"")</f>
        <v>0</v>
      </c>
      <c r="V10" s="30"/>
      <c r="W10" s="72" t="str">
        <f t="shared" si="20"/>
        <v/>
      </c>
      <c r="X10" s="28">
        <f>IFERROR(VLOOKUP(D10,'ASE Target (Spares), FY 21-22'!$C$5:$N$39,12,0),"")</f>
        <v>0</v>
      </c>
      <c r="Y10" s="28"/>
      <c r="Z10" s="91" t="str">
        <f t="shared" si="21"/>
        <v/>
      </c>
      <c r="AA10" s="30">
        <f>IFERROR(VLOOKUP(D10,'ASE Target (Spares), FY 21-22'!$C$5:$O$39,13,0),"")</f>
        <v>250000</v>
      </c>
      <c r="AB10" s="30"/>
      <c r="AC10" s="72">
        <f t="shared" si="22"/>
        <v>0</v>
      </c>
      <c r="AD10" s="28">
        <f>IFERROR(VLOOKUP(D10,'ASE Target (Spares), FY 21-22'!$C$5:$P$39,14,0),"")</f>
        <v>250000</v>
      </c>
      <c r="AE10" s="28"/>
      <c r="AF10" s="28">
        <f t="shared" si="23"/>
        <v>0</v>
      </c>
      <c r="AG10" s="30">
        <f>IFERROR(VLOOKUP(D10,'ASE Target (Spares), FY 21-22'!$C$5:$Q$39,15,0),"")</f>
        <v>250000</v>
      </c>
      <c r="AH10" s="30"/>
      <c r="AI10" s="72">
        <f t="shared" si="24"/>
        <v>0</v>
      </c>
      <c r="AJ10" s="28">
        <f>IFERROR(VLOOKUP(D10,'ASE Target (Spares), FY 21-22'!$C$5:$R$39,16,0),"")</f>
        <v>250000</v>
      </c>
      <c r="AK10" s="28"/>
      <c r="AL10" s="91">
        <f t="shared" si="25"/>
        <v>0</v>
      </c>
      <c r="AM10" s="30">
        <f>IFERROR(VLOOKUP(D10,'ASE Target (Spares), FY 21-22'!$C$5:$S$39,17,0),"")</f>
        <v>250000</v>
      </c>
      <c r="AN10" s="30"/>
      <c r="AO10" s="72">
        <f t="shared" si="26"/>
        <v>0</v>
      </c>
      <c r="AP10" s="32">
        <f t="shared" si="27"/>
        <v>1500000</v>
      </c>
      <c r="AQ10" s="32">
        <f t="shared" si="28"/>
        <v>709063</v>
      </c>
      <c r="AR10" s="94">
        <f t="shared" si="29"/>
        <v>0.47270866666666667</v>
      </c>
    </row>
    <row r="11" spans="2:44" x14ac:dyDescent="0.25">
      <c r="B11" s="15">
        <f>'ASE Target (Spares), FY 21-22'!A10</f>
        <v>5</v>
      </c>
      <c r="C11" s="25" t="str">
        <f>IF('ASE Target (Spares), FY 21-22'!B10=0,"",'ASE Target (Spares), FY 21-22'!B10)</f>
        <v>DSL-DHK</v>
      </c>
      <c r="D11" s="16" t="str">
        <f>IF('ASE Target (Spares), FY 21-22'!C10=0,"",'ASE Target (Spares), FY 21-22'!C10)</f>
        <v>Md. Zahirul Islam</v>
      </c>
      <c r="E11" s="26">
        <f>IF('ASE Target (Spares), FY 21-22'!D10=0,"",'ASE Target (Spares), FY 21-22'!D10)</f>
        <v>2914</v>
      </c>
      <c r="F11" s="28">
        <f>IFERROR(VLOOKUP(D11,'ASE Target (Spares), FY 21-22'!$C$5:$H$39,6,0),"")</f>
        <v>1000000</v>
      </c>
      <c r="G11" s="28">
        <v>764379</v>
      </c>
      <c r="H11" s="91">
        <f t="shared" si="15"/>
        <v>0.76437900000000003</v>
      </c>
      <c r="I11" s="30">
        <f>IFERROR(VLOOKUP(D11,'ASE Target (Spares), FY 21-22'!$C$5:$I$39,7,0),"")</f>
        <v>0</v>
      </c>
      <c r="J11" s="30"/>
      <c r="K11" s="72" t="str">
        <f t="shared" si="16"/>
        <v/>
      </c>
      <c r="L11" s="28">
        <f>IFERROR(VLOOKUP(D11,'ASE Target (Spares), FY 21-22'!$C$5:$J$39,8,0),"")</f>
        <v>0</v>
      </c>
      <c r="M11" s="28"/>
      <c r="N11" s="91" t="str">
        <f t="shared" si="17"/>
        <v/>
      </c>
      <c r="O11" s="30">
        <f>IFERROR(VLOOKUP(D11,'ASE Target (Spares), FY 21-22'!$C$5:$K$39,9,0),"")</f>
        <v>0</v>
      </c>
      <c r="P11" s="30"/>
      <c r="Q11" s="72" t="str">
        <f t="shared" si="18"/>
        <v/>
      </c>
      <c r="R11" s="28">
        <f>IFERROR(VLOOKUP(D11,'ASE Target (Spares), FY 21-22'!$C$5:$L$39,10,0),"")</f>
        <v>0</v>
      </c>
      <c r="S11" s="28"/>
      <c r="T11" s="91" t="str">
        <f t="shared" si="19"/>
        <v/>
      </c>
      <c r="U11" s="30">
        <f>IFERROR(VLOOKUP(D11,'ASE Target (Spares), FY 21-22'!$C$5:$M$39,11,0),"")</f>
        <v>0</v>
      </c>
      <c r="V11" s="30"/>
      <c r="W11" s="72" t="str">
        <f t="shared" si="20"/>
        <v/>
      </c>
      <c r="X11" s="28">
        <f>IFERROR(VLOOKUP(D11,'ASE Target (Spares), FY 21-22'!$C$5:$N$39,12,0),"")</f>
        <v>0</v>
      </c>
      <c r="Y11" s="28"/>
      <c r="Z11" s="91" t="str">
        <f t="shared" si="21"/>
        <v/>
      </c>
      <c r="AA11" s="30">
        <f>IFERROR(VLOOKUP(D11,'ASE Target (Spares), FY 21-22'!$C$5:$O$39,13,0),"")</f>
        <v>800000</v>
      </c>
      <c r="AB11" s="30"/>
      <c r="AC11" s="72">
        <f t="shared" si="22"/>
        <v>0</v>
      </c>
      <c r="AD11" s="28">
        <f>IFERROR(VLOOKUP(D11,'ASE Target (Spares), FY 21-22'!$C$5:$P$39,14,0),"")</f>
        <v>800000</v>
      </c>
      <c r="AE11" s="28"/>
      <c r="AF11" s="28">
        <f t="shared" si="23"/>
        <v>0</v>
      </c>
      <c r="AG11" s="30">
        <f>IFERROR(VLOOKUP(D11,'ASE Target (Spares), FY 21-22'!$C$5:$Q$39,15,0),"")</f>
        <v>1000000</v>
      </c>
      <c r="AH11" s="30"/>
      <c r="AI11" s="72">
        <f t="shared" si="24"/>
        <v>0</v>
      </c>
      <c r="AJ11" s="28">
        <f>IFERROR(VLOOKUP(D11,'ASE Target (Spares), FY 21-22'!$C$5:$R$39,16,0),"")</f>
        <v>1000000</v>
      </c>
      <c r="AK11" s="28"/>
      <c r="AL11" s="91">
        <f t="shared" si="25"/>
        <v>0</v>
      </c>
      <c r="AM11" s="30">
        <f>IFERROR(VLOOKUP(D11,'ASE Target (Spares), FY 21-22'!$C$5:$S$39,17,0),"")</f>
        <v>1000000</v>
      </c>
      <c r="AN11" s="30"/>
      <c r="AO11" s="72">
        <f t="shared" si="26"/>
        <v>0</v>
      </c>
      <c r="AP11" s="32">
        <f t="shared" si="27"/>
        <v>5600000</v>
      </c>
      <c r="AQ11" s="32">
        <f t="shared" si="28"/>
        <v>764379</v>
      </c>
      <c r="AR11" s="94">
        <f t="shared" si="29"/>
        <v>0.13649625000000001</v>
      </c>
    </row>
    <row r="12" spans="2:44" x14ac:dyDescent="0.25">
      <c r="B12" s="15">
        <f>'ASE Target (Spares), FY 21-22'!A11</f>
        <v>6</v>
      </c>
      <c r="C12" s="25" t="str">
        <f>IF('ASE Target (Spares), FY 21-22'!B11=0,"",'ASE Target (Spares), FY 21-22'!B11)</f>
        <v>DSL-DHK</v>
      </c>
      <c r="D12" s="16" t="str">
        <f>IF('ASE Target (Spares), FY 21-22'!C11=0,"",'ASE Target (Spares), FY 21-22'!C11)</f>
        <v>Md. Rakibul Hasan</v>
      </c>
      <c r="E12" s="26">
        <f>IF('ASE Target (Spares), FY 21-22'!D11=0,"",'ASE Target (Spares), FY 21-22'!D11)</f>
        <v>2927</v>
      </c>
      <c r="F12" s="28">
        <f>IFERROR(VLOOKUP(D12,'ASE Target (Spares), FY 21-22'!$C$5:$H$39,6,0),"")</f>
        <v>300000</v>
      </c>
      <c r="G12" s="28">
        <v>1061650</v>
      </c>
      <c r="H12" s="91">
        <f t="shared" si="15"/>
        <v>3.5388333333333333</v>
      </c>
      <c r="I12" s="30">
        <f>IFERROR(VLOOKUP(D12,'ASE Target (Spares), FY 21-22'!$C$5:$I$39,7,0),"")</f>
        <v>0</v>
      </c>
      <c r="J12" s="30"/>
      <c r="K12" s="72" t="str">
        <f t="shared" si="16"/>
        <v/>
      </c>
      <c r="L12" s="28">
        <f>IFERROR(VLOOKUP(D12,'ASE Target (Spares), FY 21-22'!$C$5:$J$39,8,0),"")</f>
        <v>0</v>
      </c>
      <c r="M12" s="28"/>
      <c r="N12" s="91" t="str">
        <f t="shared" si="17"/>
        <v/>
      </c>
      <c r="O12" s="30">
        <f>IFERROR(VLOOKUP(D12,'ASE Target (Spares), FY 21-22'!$C$5:$K$39,9,0),"")</f>
        <v>0</v>
      </c>
      <c r="P12" s="30"/>
      <c r="Q12" s="72" t="str">
        <f t="shared" si="18"/>
        <v/>
      </c>
      <c r="R12" s="28">
        <f>IFERROR(VLOOKUP(D12,'ASE Target (Spares), FY 21-22'!$C$5:$L$39,10,0),"")</f>
        <v>0</v>
      </c>
      <c r="S12" s="28"/>
      <c r="T12" s="91" t="str">
        <f t="shared" si="19"/>
        <v/>
      </c>
      <c r="U12" s="30">
        <f>IFERROR(VLOOKUP(D12,'ASE Target (Spares), FY 21-22'!$C$5:$M$39,11,0),"")</f>
        <v>0</v>
      </c>
      <c r="V12" s="30"/>
      <c r="W12" s="72" t="str">
        <f t="shared" si="20"/>
        <v/>
      </c>
      <c r="X12" s="28">
        <f>IFERROR(VLOOKUP(D12,'ASE Target (Spares), FY 21-22'!$C$5:$N$39,12,0),"")</f>
        <v>0</v>
      </c>
      <c r="Y12" s="28"/>
      <c r="Z12" s="91" t="str">
        <f t="shared" si="21"/>
        <v/>
      </c>
      <c r="AA12" s="30">
        <f>IFERROR(VLOOKUP(D12,'ASE Target (Spares), FY 21-22'!$C$5:$O$39,13,0),"")</f>
        <v>400000</v>
      </c>
      <c r="AB12" s="30"/>
      <c r="AC12" s="72">
        <f t="shared" si="22"/>
        <v>0</v>
      </c>
      <c r="AD12" s="28">
        <f>IFERROR(VLOOKUP(D12,'ASE Target (Spares), FY 21-22'!$C$5:$P$39,14,0),"")</f>
        <v>300000</v>
      </c>
      <c r="AE12" s="28"/>
      <c r="AF12" s="28">
        <f t="shared" si="23"/>
        <v>0</v>
      </c>
      <c r="AG12" s="30">
        <f>IFERROR(VLOOKUP(D12,'ASE Target (Spares), FY 21-22'!$C$5:$Q$39,15,0),"")</f>
        <v>300000</v>
      </c>
      <c r="AH12" s="30"/>
      <c r="AI12" s="72">
        <f t="shared" si="24"/>
        <v>0</v>
      </c>
      <c r="AJ12" s="28">
        <f>IFERROR(VLOOKUP(D12,'ASE Target (Spares), FY 21-22'!$C$5:$R$39,16,0),"")</f>
        <v>300000</v>
      </c>
      <c r="AK12" s="28"/>
      <c r="AL12" s="91">
        <f t="shared" si="25"/>
        <v>0</v>
      </c>
      <c r="AM12" s="30">
        <f>IFERROR(VLOOKUP(D12,'ASE Target (Spares), FY 21-22'!$C$5:$S$39,17,0),"")</f>
        <v>300000</v>
      </c>
      <c r="AN12" s="30"/>
      <c r="AO12" s="72">
        <f t="shared" si="26"/>
        <v>0</v>
      </c>
      <c r="AP12" s="32">
        <f t="shared" si="27"/>
        <v>1900000</v>
      </c>
      <c r="AQ12" s="32">
        <f t="shared" si="28"/>
        <v>1061650</v>
      </c>
      <c r="AR12" s="94">
        <f t="shared" si="29"/>
        <v>0.55876315789473685</v>
      </c>
    </row>
    <row r="13" spans="2:44" x14ac:dyDescent="0.25">
      <c r="B13" s="15">
        <f>'ASE Target (Spares), FY 21-22'!A12</f>
        <v>7</v>
      </c>
      <c r="C13" s="25" t="str">
        <f>IF('ASE Target (Spares), FY 21-22'!B12=0,"",'ASE Target (Spares), FY 21-22'!B12)</f>
        <v>DSL-DHK</v>
      </c>
      <c r="D13" s="16" t="str">
        <f>IF('ASE Target (Spares), FY 21-22'!C12=0,"",'ASE Target (Spares), FY 21-22'!C12)</f>
        <v>Md Ariful Islam</v>
      </c>
      <c r="E13" s="26">
        <f>IF('ASE Target (Spares), FY 21-22'!D12=0,"",'ASE Target (Spares), FY 21-22'!D12)</f>
        <v>2699</v>
      </c>
      <c r="F13" s="28">
        <f>IFERROR(VLOOKUP(D13,'ASE Target (Spares), FY 21-22'!$C$5:$H$39,6,0),"")</f>
        <v>400000</v>
      </c>
      <c r="G13" s="28"/>
      <c r="H13" s="91">
        <f t="shared" si="15"/>
        <v>0</v>
      </c>
      <c r="I13" s="30">
        <f>IFERROR(VLOOKUP(D13,'ASE Target (Spares), FY 21-22'!$C$5:$I$39,7,0),"")</f>
        <v>0</v>
      </c>
      <c r="J13" s="30"/>
      <c r="K13" s="72" t="str">
        <f t="shared" si="16"/>
        <v/>
      </c>
      <c r="L13" s="28">
        <f>IFERROR(VLOOKUP(D13,'ASE Target (Spares), FY 21-22'!$C$5:$J$39,8,0),"")</f>
        <v>0</v>
      </c>
      <c r="M13" s="28"/>
      <c r="N13" s="91" t="str">
        <f t="shared" si="17"/>
        <v/>
      </c>
      <c r="O13" s="30">
        <f>IFERROR(VLOOKUP(D13,'ASE Target (Spares), FY 21-22'!$C$5:$K$39,9,0),"")</f>
        <v>0</v>
      </c>
      <c r="P13" s="30"/>
      <c r="Q13" s="72" t="str">
        <f t="shared" si="18"/>
        <v/>
      </c>
      <c r="R13" s="28">
        <f>IFERROR(VLOOKUP(D13,'ASE Target (Spares), FY 21-22'!$C$5:$L$39,10,0),"")</f>
        <v>0</v>
      </c>
      <c r="S13" s="28"/>
      <c r="T13" s="91" t="str">
        <f t="shared" si="19"/>
        <v/>
      </c>
      <c r="U13" s="30">
        <f>IFERROR(VLOOKUP(D13,'ASE Target (Spares), FY 21-22'!$C$5:$M$39,11,0),"")</f>
        <v>0</v>
      </c>
      <c r="V13" s="30"/>
      <c r="W13" s="72" t="str">
        <f t="shared" si="20"/>
        <v/>
      </c>
      <c r="X13" s="28">
        <f>IFERROR(VLOOKUP(D13,'ASE Target (Spares), FY 21-22'!$C$5:$N$39,12,0),"")</f>
        <v>0</v>
      </c>
      <c r="Y13" s="28"/>
      <c r="Z13" s="91" t="str">
        <f t="shared" si="21"/>
        <v/>
      </c>
      <c r="AA13" s="30">
        <f>IFERROR(VLOOKUP(D13,'ASE Target (Spares), FY 21-22'!$C$5:$O$39,13,0),"")</f>
        <v>0</v>
      </c>
      <c r="AB13" s="30"/>
      <c r="AC13" s="72" t="str">
        <f t="shared" si="22"/>
        <v/>
      </c>
      <c r="AD13" s="28">
        <f>IFERROR(VLOOKUP(D13,'ASE Target (Spares), FY 21-22'!$C$5:$P$39,14,0),"")</f>
        <v>400000</v>
      </c>
      <c r="AE13" s="28"/>
      <c r="AF13" s="28">
        <f t="shared" si="23"/>
        <v>0</v>
      </c>
      <c r="AG13" s="30">
        <f>IFERROR(VLOOKUP(D13,'ASE Target (Spares), FY 21-22'!$C$5:$Q$39,15,0),"")</f>
        <v>400000</v>
      </c>
      <c r="AH13" s="30"/>
      <c r="AI13" s="72">
        <f t="shared" si="24"/>
        <v>0</v>
      </c>
      <c r="AJ13" s="28">
        <f>IFERROR(VLOOKUP(D13,'ASE Target (Spares), FY 21-22'!$C$5:$R$39,16,0),"")</f>
        <v>400000</v>
      </c>
      <c r="AK13" s="28"/>
      <c r="AL13" s="91">
        <f t="shared" si="25"/>
        <v>0</v>
      </c>
      <c r="AM13" s="30">
        <f>IFERROR(VLOOKUP(D13,'ASE Target (Spares), FY 21-22'!$C$5:$S$39,17,0),"")</f>
        <v>400000</v>
      </c>
      <c r="AN13" s="30"/>
      <c r="AO13" s="72">
        <f t="shared" si="26"/>
        <v>0</v>
      </c>
      <c r="AP13" s="32">
        <f t="shared" si="27"/>
        <v>2000000</v>
      </c>
      <c r="AQ13" s="32">
        <f t="shared" si="28"/>
        <v>0</v>
      </c>
      <c r="AR13" s="94">
        <f t="shared" si="29"/>
        <v>0</v>
      </c>
    </row>
    <row r="14" spans="2:44" x14ac:dyDescent="0.25">
      <c r="B14" s="15">
        <f>'ASE Target (Spares), FY 21-22'!A13</f>
        <v>8</v>
      </c>
      <c r="C14" s="25" t="str">
        <f>IF('ASE Target (Spares), FY 21-22'!B13=0,"",'ASE Target (Spares), FY 21-22'!B13)</f>
        <v>DSL-DHK</v>
      </c>
      <c r="D14" s="16" t="str">
        <f>IF('ASE Target (Spares), FY 21-22'!C13=0,"",'ASE Target (Spares), FY 21-22'!C13)</f>
        <v>Mohammad Jewel Rana</v>
      </c>
      <c r="E14" s="26" t="str">
        <f>IF('ASE Target (Spares), FY 21-22'!D13=0,"",'ASE Target (Spares), FY 21-22'!D13)</f>
        <v>3002</v>
      </c>
      <c r="F14" s="28">
        <f>IFERROR(VLOOKUP(D14,'ASE Target (Spares), FY 21-22'!$C$5:$H$39,6,0),"")</f>
        <v>600000</v>
      </c>
      <c r="G14" s="28">
        <v>437175</v>
      </c>
      <c r="H14" s="91">
        <f t="shared" si="15"/>
        <v>0.72862499999999997</v>
      </c>
      <c r="I14" s="30">
        <f>IFERROR(VLOOKUP(D14,'ASE Target (Spares), FY 21-22'!$C$5:$I$39,7,0),"")</f>
        <v>0</v>
      </c>
      <c r="J14" s="30"/>
      <c r="K14" s="72" t="str">
        <f t="shared" si="16"/>
        <v/>
      </c>
      <c r="L14" s="28">
        <f>IFERROR(VLOOKUP(D14,'ASE Target (Spares), FY 21-22'!$C$5:$J$39,8,0),"")</f>
        <v>0</v>
      </c>
      <c r="M14" s="28"/>
      <c r="N14" s="91" t="str">
        <f t="shared" si="17"/>
        <v/>
      </c>
      <c r="O14" s="30">
        <f>IFERROR(VLOOKUP(D14,'ASE Target (Spares), FY 21-22'!$C$5:$K$39,9,0),"")</f>
        <v>0</v>
      </c>
      <c r="P14" s="30"/>
      <c r="Q14" s="72" t="str">
        <f t="shared" si="18"/>
        <v/>
      </c>
      <c r="R14" s="28">
        <f>IFERROR(VLOOKUP(D14,'ASE Target (Spares), FY 21-22'!$C$5:$L$39,10,0),"")</f>
        <v>0</v>
      </c>
      <c r="S14" s="28"/>
      <c r="T14" s="91" t="str">
        <f t="shared" si="19"/>
        <v/>
      </c>
      <c r="U14" s="30">
        <f>IFERROR(VLOOKUP(D14,'ASE Target (Spares), FY 21-22'!$C$5:$M$39,11,0),"")</f>
        <v>0</v>
      </c>
      <c r="V14" s="30"/>
      <c r="W14" s="72" t="str">
        <f t="shared" si="20"/>
        <v/>
      </c>
      <c r="X14" s="28">
        <f>IFERROR(VLOOKUP(D14,'ASE Target (Spares), FY 21-22'!$C$5:$N$39,12,0),"")</f>
        <v>0</v>
      </c>
      <c r="Y14" s="28"/>
      <c r="Z14" s="91" t="str">
        <f t="shared" si="21"/>
        <v/>
      </c>
      <c r="AA14" s="30">
        <f>IFERROR(VLOOKUP(D14,'ASE Target (Spares), FY 21-22'!$C$5:$O$39,13,0),"")</f>
        <v>600000</v>
      </c>
      <c r="AB14" s="30"/>
      <c r="AC14" s="72">
        <f t="shared" si="22"/>
        <v>0</v>
      </c>
      <c r="AD14" s="28">
        <f>IFERROR(VLOOKUP(D14,'ASE Target (Spares), FY 21-22'!$C$5:$P$39,14,0),"")</f>
        <v>600000</v>
      </c>
      <c r="AE14" s="28"/>
      <c r="AF14" s="28">
        <f t="shared" si="23"/>
        <v>0</v>
      </c>
      <c r="AG14" s="30">
        <f>IFERROR(VLOOKUP(D14,'ASE Target (Spares), FY 21-22'!$C$5:$Q$39,15,0),"")</f>
        <v>600000</v>
      </c>
      <c r="AH14" s="30"/>
      <c r="AI14" s="72">
        <f t="shared" si="24"/>
        <v>0</v>
      </c>
      <c r="AJ14" s="28">
        <f>IFERROR(VLOOKUP(D14,'ASE Target (Spares), FY 21-22'!$C$5:$R$39,16,0),"")</f>
        <v>600000</v>
      </c>
      <c r="AK14" s="28"/>
      <c r="AL14" s="91">
        <f t="shared" si="25"/>
        <v>0</v>
      </c>
      <c r="AM14" s="30">
        <f>IFERROR(VLOOKUP(D14,'ASE Target (Spares), FY 21-22'!$C$5:$S$39,17,0),"")</f>
        <v>600000</v>
      </c>
      <c r="AN14" s="30"/>
      <c r="AO14" s="72">
        <f t="shared" si="26"/>
        <v>0</v>
      </c>
      <c r="AP14" s="32">
        <f t="shared" si="27"/>
        <v>3600000</v>
      </c>
      <c r="AQ14" s="32">
        <f t="shared" si="28"/>
        <v>437175</v>
      </c>
      <c r="AR14" s="94">
        <f t="shared" si="29"/>
        <v>0.1214375</v>
      </c>
    </row>
    <row r="15" spans="2:44" x14ac:dyDescent="0.25">
      <c r="B15" s="15">
        <f>'ASE Target (Spares), FY 21-22'!A14</f>
        <v>9</v>
      </c>
      <c r="C15" s="25" t="str">
        <f>IF('ASE Target (Spares), FY 21-22'!B14=0,"",'ASE Target (Spares), FY 21-22'!B14)</f>
        <v>DSL-DHK</v>
      </c>
      <c r="D15" s="16" t="str">
        <f>IF('ASE Target (Spares), FY 21-22'!C14=0,"",'ASE Target (Spares), FY 21-22'!C14)</f>
        <v>Faysal Ahmed</v>
      </c>
      <c r="E15" s="26" t="str">
        <f>IF('ASE Target (Spares), FY 21-22'!D14=0,"",'ASE Target (Spares), FY 21-22'!D14)</f>
        <v>3004</v>
      </c>
      <c r="F15" s="28">
        <f>IFERROR(VLOOKUP(D15,'ASE Target (Spares), FY 21-22'!$C$5:$H$39,6,0),"")</f>
        <v>600000</v>
      </c>
      <c r="G15" s="28">
        <v>505895</v>
      </c>
      <c r="H15" s="91">
        <f t="shared" si="15"/>
        <v>0.84315833333333334</v>
      </c>
      <c r="I15" s="30">
        <f>IFERROR(VLOOKUP(D15,'ASE Target (Spares), FY 21-22'!$C$5:$I$39,7,0),"")</f>
        <v>0</v>
      </c>
      <c r="J15" s="30"/>
      <c r="K15" s="72" t="str">
        <f t="shared" si="16"/>
        <v/>
      </c>
      <c r="L15" s="28">
        <f>IFERROR(VLOOKUP(D15,'ASE Target (Spares), FY 21-22'!$C$5:$J$39,8,0),"")</f>
        <v>0</v>
      </c>
      <c r="M15" s="28"/>
      <c r="N15" s="91" t="str">
        <f t="shared" si="17"/>
        <v/>
      </c>
      <c r="O15" s="30">
        <f>IFERROR(VLOOKUP(D15,'ASE Target (Spares), FY 21-22'!$C$5:$K$39,9,0),"")</f>
        <v>0</v>
      </c>
      <c r="P15" s="30"/>
      <c r="Q15" s="72" t="str">
        <f t="shared" si="18"/>
        <v/>
      </c>
      <c r="R15" s="28">
        <f>IFERROR(VLOOKUP(D15,'ASE Target (Spares), FY 21-22'!$C$5:$L$39,10,0),"")</f>
        <v>0</v>
      </c>
      <c r="S15" s="28"/>
      <c r="T15" s="91" t="str">
        <f t="shared" si="19"/>
        <v/>
      </c>
      <c r="U15" s="30">
        <f>IFERROR(VLOOKUP(D15,'ASE Target (Spares), FY 21-22'!$C$5:$M$39,11,0),"")</f>
        <v>0</v>
      </c>
      <c r="V15" s="30"/>
      <c r="W15" s="72" t="str">
        <f t="shared" si="20"/>
        <v/>
      </c>
      <c r="X15" s="28">
        <f>IFERROR(VLOOKUP(D15,'ASE Target (Spares), FY 21-22'!$C$5:$N$39,12,0),"")</f>
        <v>0</v>
      </c>
      <c r="Y15" s="28"/>
      <c r="Z15" s="91" t="str">
        <f t="shared" si="21"/>
        <v/>
      </c>
      <c r="AA15" s="30">
        <f>IFERROR(VLOOKUP(D15,'ASE Target (Spares), FY 21-22'!$C$5:$O$39,13,0),"")</f>
        <v>600000</v>
      </c>
      <c r="AB15" s="30"/>
      <c r="AC15" s="72">
        <f t="shared" si="22"/>
        <v>0</v>
      </c>
      <c r="AD15" s="28">
        <f>IFERROR(VLOOKUP(D15,'ASE Target (Spares), FY 21-22'!$C$5:$P$39,14,0),"")</f>
        <v>600000</v>
      </c>
      <c r="AE15" s="28"/>
      <c r="AF15" s="28">
        <f t="shared" si="23"/>
        <v>0</v>
      </c>
      <c r="AG15" s="30">
        <f>IFERROR(VLOOKUP(D15,'ASE Target (Spares), FY 21-22'!$C$5:$Q$39,15,0),"")</f>
        <v>600000</v>
      </c>
      <c r="AH15" s="30"/>
      <c r="AI15" s="72">
        <f t="shared" si="24"/>
        <v>0</v>
      </c>
      <c r="AJ15" s="28">
        <f>IFERROR(VLOOKUP(D15,'ASE Target (Spares), FY 21-22'!$C$5:$R$39,16,0),"")</f>
        <v>600000</v>
      </c>
      <c r="AK15" s="28"/>
      <c r="AL15" s="91">
        <f t="shared" si="25"/>
        <v>0</v>
      </c>
      <c r="AM15" s="30">
        <f>IFERROR(VLOOKUP(D15,'ASE Target (Spares), FY 21-22'!$C$5:$S$39,17,0),"")</f>
        <v>600000</v>
      </c>
      <c r="AN15" s="30"/>
      <c r="AO15" s="72">
        <f t="shared" si="26"/>
        <v>0</v>
      </c>
      <c r="AP15" s="32">
        <f t="shared" si="27"/>
        <v>3600000</v>
      </c>
      <c r="AQ15" s="32">
        <f t="shared" si="28"/>
        <v>505895</v>
      </c>
      <c r="AR15" s="94">
        <f t="shared" si="29"/>
        <v>0.14052638888888888</v>
      </c>
    </row>
    <row r="16" spans="2:44" x14ac:dyDescent="0.25">
      <c r="B16" s="15">
        <f>'ASE Target (Spares), FY 21-22'!A15</f>
        <v>10</v>
      </c>
      <c r="C16" s="25" t="str">
        <f>IF('ASE Target (Spares), FY 21-22'!B15=0,"",'ASE Target (Spares), FY 21-22'!B15)</f>
        <v>DSL-DHK</v>
      </c>
      <c r="D16" s="16" t="str">
        <f>IF('ASE Target (Spares), FY 21-22'!C15=0,"",'ASE Target (Spares), FY 21-22'!C15)</f>
        <v>Rakibul Islam Razib</v>
      </c>
      <c r="E16" s="26" t="str">
        <f>IF('ASE Target (Spares), FY 21-22'!D15=0,"",'ASE Target (Spares), FY 21-22'!D15)</f>
        <v>3006</v>
      </c>
      <c r="F16" s="28">
        <f>IFERROR(VLOOKUP(D16,'ASE Target (Spares), FY 21-22'!$C$5:$H$39,6,0),"")</f>
        <v>250000</v>
      </c>
      <c r="G16" s="28">
        <v>129195</v>
      </c>
      <c r="H16" s="91">
        <f t="shared" si="15"/>
        <v>0.51678000000000002</v>
      </c>
      <c r="I16" s="30">
        <f>IFERROR(VLOOKUP(D16,'ASE Target (Spares), FY 21-22'!$C$5:$I$39,7,0),"")</f>
        <v>0</v>
      </c>
      <c r="J16" s="30"/>
      <c r="K16" s="72" t="str">
        <f t="shared" si="16"/>
        <v/>
      </c>
      <c r="L16" s="28">
        <f>IFERROR(VLOOKUP(D16,'ASE Target (Spares), FY 21-22'!$C$5:$J$39,8,0),"")</f>
        <v>0</v>
      </c>
      <c r="M16" s="28"/>
      <c r="N16" s="91" t="str">
        <f t="shared" si="17"/>
        <v/>
      </c>
      <c r="O16" s="30">
        <f>IFERROR(VLOOKUP(D16,'ASE Target (Spares), FY 21-22'!$C$5:$K$39,9,0),"")</f>
        <v>0</v>
      </c>
      <c r="P16" s="30"/>
      <c r="Q16" s="72" t="str">
        <f t="shared" si="18"/>
        <v/>
      </c>
      <c r="R16" s="28">
        <f>IFERROR(VLOOKUP(D16,'ASE Target (Spares), FY 21-22'!$C$5:$L$39,10,0),"")</f>
        <v>0</v>
      </c>
      <c r="S16" s="28"/>
      <c r="T16" s="91" t="str">
        <f t="shared" si="19"/>
        <v/>
      </c>
      <c r="U16" s="30">
        <f>IFERROR(VLOOKUP(D16,'ASE Target (Spares), FY 21-22'!$C$5:$M$39,11,0),"")</f>
        <v>0</v>
      </c>
      <c r="V16" s="30"/>
      <c r="W16" s="72" t="str">
        <f t="shared" si="20"/>
        <v/>
      </c>
      <c r="X16" s="28">
        <f>IFERROR(VLOOKUP(D16,'ASE Target (Spares), FY 21-22'!$C$5:$N$39,12,0),"")</f>
        <v>0</v>
      </c>
      <c r="Y16" s="28"/>
      <c r="Z16" s="91" t="str">
        <f t="shared" si="21"/>
        <v/>
      </c>
      <c r="AA16" s="30">
        <f>IFERROR(VLOOKUP(D16,'ASE Target (Spares), FY 21-22'!$C$5:$O$39,13,0),"")</f>
        <v>0</v>
      </c>
      <c r="AB16" s="30"/>
      <c r="AC16" s="72" t="str">
        <f t="shared" si="22"/>
        <v/>
      </c>
      <c r="AD16" s="28">
        <f>IFERROR(VLOOKUP(D16,'ASE Target (Spares), FY 21-22'!$C$5:$P$39,14,0),"")</f>
        <v>230000</v>
      </c>
      <c r="AE16" s="28"/>
      <c r="AF16" s="28">
        <f t="shared" si="23"/>
        <v>0</v>
      </c>
      <c r="AG16" s="30">
        <f>IFERROR(VLOOKUP(D16,'ASE Target (Spares), FY 21-22'!$C$5:$Q$39,15,0),"")</f>
        <v>230000</v>
      </c>
      <c r="AH16" s="30"/>
      <c r="AI16" s="72">
        <f t="shared" si="24"/>
        <v>0</v>
      </c>
      <c r="AJ16" s="28">
        <f>IFERROR(VLOOKUP(D16,'ASE Target (Spares), FY 21-22'!$C$5:$R$39,16,0),"")</f>
        <v>250000</v>
      </c>
      <c r="AK16" s="28"/>
      <c r="AL16" s="91">
        <f t="shared" si="25"/>
        <v>0</v>
      </c>
      <c r="AM16" s="30">
        <f>IFERROR(VLOOKUP(D16,'ASE Target (Spares), FY 21-22'!$C$5:$S$39,17,0),"")</f>
        <v>250000</v>
      </c>
      <c r="AN16" s="30"/>
      <c r="AO16" s="72">
        <f t="shared" si="26"/>
        <v>0</v>
      </c>
      <c r="AP16" s="32">
        <f t="shared" si="27"/>
        <v>1210000</v>
      </c>
      <c r="AQ16" s="32">
        <f t="shared" si="28"/>
        <v>129195</v>
      </c>
      <c r="AR16" s="94">
        <f t="shared" si="29"/>
        <v>0.10677272727272727</v>
      </c>
    </row>
    <row r="17" spans="2:44" x14ac:dyDescent="0.25">
      <c r="B17" s="15">
        <f>'ASE Target (Spares), FY 21-22'!A16</f>
        <v>11</v>
      </c>
      <c r="C17" s="25" t="str">
        <f>IF('ASE Target (Spares), FY 21-22'!B16=0,"",'ASE Target (Spares), FY 21-22'!B16)</f>
        <v>DSL-DHK</v>
      </c>
      <c r="D17" s="16" t="str">
        <f>IF('ASE Target (Spares), FY 21-22'!C16=0,"",'ASE Target (Spares), FY 21-22'!C16)</f>
        <v>Ashraful Islam</v>
      </c>
      <c r="E17" s="26">
        <f>IF('ASE Target (Spares), FY 21-22'!D16=0,"",'ASE Target (Spares), FY 21-22'!D16)</f>
        <v>3003</v>
      </c>
      <c r="F17" s="28">
        <f>IFERROR(VLOOKUP(D17,'ASE Target (Spares), FY 21-22'!$C$5:$H$39,6,0),"")</f>
        <v>500000</v>
      </c>
      <c r="G17" s="28">
        <v>747948</v>
      </c>
      <c r="H17" s="91">
        <f t="shared" si="15"/>
        <v>1.4958959999999999</v>
      </c>
      <c r="I17" s="30">
        <f>IFERROR(VLOOKUP(D17,'ASE Target (Spares), FY 21-22'!$C$5:$I$39,7,0),"")</f>
        <v>0</v>
      </c>
      <c r="J17" s="30"/>
      <c r="K17" s="72" t="str">
        <f t="shared" si="16"/>
        <v/>
      </c>
      <c r="L17" s="28">
        <f>IFERROR(VLOOKUP(D17,'ASE Target (Spares), FY 21-22'!$C$5:$J$39,8,0),"")</f>
        <v>0</v>
      </c>
      <c r="M17" s="28"/>
      <c r="N17" s="91" t="str">
        <f t="shared" si="17"/>
        <v/>
      </c>
      <c r="O17" s="30">
        <f>IFERROR(VLOOKUP(D17,'ASE Target (Spares), FY 21-22'!$C$5:$K$39,9,0),"")</f>
        <v>0</v>
      </c>
      <c r="P17" s="30"/>
      <c r="Q17" s="72" t="str">
        <f t="shared" si="18"/>
        <v/>
      </c>
      <c r="R17" s="28">
        <f>IFERROR(VLOOKUP(D17,'ASE Target (Spares), FY 21-22'!$C$5:$L$39,10,0),"")</f>
        <v>0</v>
      </c>
      <c r="S17" s="28"/>
      <c r="T17" s="91" t="str">
        <f t="shared" si="19"/>
        <v/>
      </c>
      <c r="U17" s="30">
        <f>IFERROR(VLOOKUP(D17,'ASE Target (Spares), FY 21-22'!$C$5:$M$39,11,0),"")</f>
        <v>0</v>
      </c>
      <c r="V17" s="30"/>
      <c r="W17" s="72" t="str">
        <f t="shared" si="20"/>
        <v/>
      </c>
      <c r="X17" s="28">
        <f>IFERROR(VLOOKUP(D17,'ASE Target (Spares), FY 21-22'!$C$5:$N$39,12,0),"")</f>
        <v>0</v>
      </c>
      <c r="Y17" s="28"/>
      <c r="Z17" s="91" t="str">
        <f t="shared" si="21"/>
        <v/>
      </c>
      <c r="AA17" s="30">
        <f>IFERROR(VLOOKUP(D17,'ASE Target (Spares), FY 21-22'!$C$5:$O$39,13,0),"")</f>
        <v>800000</v>
      </c>
      <c r="AB17" s="30"/>
      <c r="AC17" s="72">
        <f t="shared" si="22"/>
        <v>0</v>
      </c>
      <c r="AD17" s="28">
        <f>IFERROR(VLOOKUP(D17,'ASE Target (Spares), FY 21-22'!$C$5:$P$39,14,0),"")</f>
        <v>800000</v>
      </c>
      <c r="AE17" s="28"/>
      <c r="AF17" s="28">
        <f t="shared" si="23"/>
        <v>0</v>
      </c>
      <c r="AG17" s="30">
        <f>IFERROR(VLOOKUP(D17,'ASE Target (Spares), FY 21-22'!$C$5:$Q$39,15,0),"")</f>
        <v>500000</v>
      </c>
      <c r="AH17" s="30"/>
      <c r="AI17" s="72">
        <f t="shared" si="24"/>
        <v>0</v>
      </c>
      <c r="AJ17" s="28">
        <f>IFERROR(VLOOKUP(D17,'ASE Target (Spares), FY 21-22'!$C$5:$R$39,16,0),"")</f>
        <v>500000</v>
      </c>
      <c r="AK17" s="28"/>
      <c r="AL17" s="91">
        <f t="shared" si="25"/>
        <v>0</v>
      </c>
      <c r="AM17" s="30">
        <f>IFERROR(VLOOKUP(D17,'ASE Target (Spares), FY 21-22'!$C$5:$S$39,17,0),"")</f>
        <v>500000</v>
      </c>
      <c r="AN17" s="30"/>
      <c r="AO17" s="72">
        <f t="shared" si="26"/>
        <v>0</v>
      </c>
      <c r="AP17" s="32">
        <f t="shared" si="27"/>
        <v>3600000</v>
      </c>
      <c r="AQ17" s="32">
        <f t="shared" si="28"/>
        <v>747948</v>
      </c>
      <c r="AR17" s="94">
        <f t="shared" si="29"/>
        <v>0.20776333333333333</v>
      </c>
    </row>
    <row r="18" spans="2:44" x14ac:dyDescent="0.25">
      <c r="B18" s="15">
        <f>'ASE Target (Spares), FY 21-22'!A17</f>
        <v>12</v>
      </c>
      <c r="C18" s="25" t="str">
        <f>IF('ASE Target (Spares), FY 21-22'!B17=0,"",'ASE Target (Spares), FY 21-22'!B17)</f>
        <v>DSL-DHK</v>
      </c>
      <c r="D18" s="16" t="str">
        <f>IF('ASE Target (Spares), FY 21-22'!C17=0,"",'ASE Target (Spares), FY 21-22'!C17)</f>
        <v>Md. Rakibul Islam</v>
      </c>
      <c r="E18" s="26">
        <f>IF('ASE Target (Spares), FY 21-22'!D17=0,"",'ASE Target (Spares), FY 21-22'!D17)</f>
        <v>5690</v>
      </c>
      <c r="F18" s="28">
        <f>IFERROR(VLOOKUP(D18,'ASE Target (Spares), FY 21-22'!$C$5:$H$39,6,0),"")</f>
        <v>600000</v>
      </c>
      <c r="G18" s="28">
        <v>542743</v>
      </c>
      <c r="H18" s="91">
        <f t="shared" si="15"/>
        <v>0.90457166666666666</v>
      </c>
      <c r="I18" s="30">
        <f>IFERROR(VLOOKUP(D18,'ASE Target (Spares), FY 21-22'!$C$5:$I$39,7,0),"")</f>
        <v>0</v>
      </c>
      <c r="J18" s="30"/>
      <c r="K18" s="72" t="str">
        <f t="shared" si="16"/>
        <v/>
      </c>
      <c r="L18" s="28">
        <f>IFERROR(VLOOKUP(D18,'ASE Target (Spares), FY 21-22'!$C$5:$J$39,8,0),"")</f>
        <v>0</v>
      </c>
      <c r="M18" s="28"/>
      <c r="N18" s="91" t="str">
        <f t="shared" si="17"/>
        <v/>
      </c>
      <c r="O18" s="30">
        <f>IFERROR(VLOOKUP(D18,'ASE Target (Spares), FY 21-22'!$C$5:$K$39,9,0),"")</f>
        <v>0</v>
      </c>
      <c r="P18" s="30"/>
      <c r="Q18" s="72" t="str">
        <f t="shared" si="18"/>
        <v/>
      </c>
      <c r="R18" s="28">
        <f>IFERROR(VLOOKUP(D18,'ASE Target (Spares), FY 21-22'!$C$5:$L$39,10,0),"")</f>
        <v>0</v>
      </c>
      <c r="S18" s="28"/>
      <c r="T18" s="91" t="str">
        <f t="shared" si="19"/>
        <v/>
      </c>
      <c r="U18" s="30">
        <f>IFERROR(VLOOKUP(D18,'ASE Target (Spares), FY 21-22'!$C$5:$M$39,11,0),"")</f>
        <v>0</v>
      </c>
      <c r="V18" s="30"/>
      <c r="W18" s="72" t="str">
        <f t="shared" si="20"/>
        <v/>
      </c>
      <c r="X18" s="28">
        <f>IFERROR(VLOOKUP(D18,'ASE Target (Spares), FY 21-22'!$C$5:$N$39,12,0),"")</f>
        <v>0</v>
      </c>
      <c r="Y18" s="28"/>
      <c r="Z18" s="91" t="str">
        <f t="shared" si="21"/>
        <v/>
      </c>
      <c r="AA18" s="30">
        <f>IFERROR(VLOOKUP(D18,'ASE Target (Spares), FY 21-22'!$C$5:$O$39,13,0),"")</f>
        <v>600000</v>
      </c>
      <c r="AB18" s="30"/>
      <c r="AC18" s="72">
        <f t="shared" si="22"/>
        <v>0</v>
      </c>
      <c r="AD18" s="28">
        <f>IFERROR(VLOOKUP(D18,'ASE Target (Spares), FY 21-22'!$C$5:$P$39,14,0),"")</f>
        <v>600000</v>
      </c>
      <c r="AE18" s="28"/>
      <c r="AF18" s="28">
        <f t="shared" si="23"/>
        <v>0</v>
      </c>
      <c r="AG18" s="30">
        <f>IFERROR(VLOOKUP(D18,'ASE Target (Spares), FY 21-22'!$C$5:$Q$39,15,0),"")</f>
        <v>600000</v>
      </c>
      <c r="AH18" s="30"/>
      <c r="AI18" s="72">
        <f t="shared" si="24"/>
        <v>0</v>
      </c>
      <c r="AJ18" s="28">
        <f>IFERROR(VLOOKUP(D18,'ASE Target (Spares), FY 21-22'!$C$5:$R$39,16,0),"")</f>
        <v>600000</v>
      </c>
      <c r="AK18" s="28"/>
      <c r="AL18" s="91">
        <f t="shared" si="25"/>
        <v>0</v>
      </c>
      <c r="AM18" s="30">
        <f>IFERROR(VLOOKUP(D18,'ASE Target (Spares), FY 21-22'!$C$5:$S$39,17,0),"")</f>
        <v>600000</v>
      </c>
      <c r="AN18" s="30"/>
      <c r="AO18" s="72">
        <f t="shared" si="26"/>
        <v>0</v>
      </c>
      <c r="AP18" s="32">
        <f t="shared" si="27"/>
        <v>3600000</v>
      </c>
      <c r="AQ18" s="32">
        <f t="shared" si="28"/>
        <v>542743</v>
      </c>
      <c r="AR18" s="94">
        <f t="shared" si="29"/>
        <v>0.15076194444444443</v>
      </c>
    </row>
    <row r="19" spans="2:44" x14ac:dyDescent="0.25">
      <c r="B19" s="15">
        <f>'ASE Target (Spares), FY 21-22'!A18</f>
        <v>13</v>
      </c>
      <c r="C19" s="25" t="str">
        <f>IF('ASE Target (Spares), FY 21-22'!B18=0,"",'ASE Target (Spares), FY 21-22'!B18)</f>
        <v>DSL-DHK</v>
      </c>
      <c r="D19" s="16" t="str">
        <f>IF('ASE Target (Spares), FY 21-22'!C18=0,"",'ASE Target (Spares), FY 21-22'!C18)</f>
        <v>Ohid Hasan Saikat</v>
      </c>
      <c r="E19" s="26">
        <f>IF('ASE Target (Spares), FY 21-22'!D18=0,"",'ASE Target (Spares), FY 21-22'!D18)</f>
        <v>5691</v>
      </c>
      <c r="F19" s="28">
        <f>IFERROR(VLOOKUP(D19,'ASE Target (Spares), FY 21-22'!$C$5:$H$39,6,0),"")</f>
        <v>300000</v>
      </c>
      <c r="G19" s="28"/>
      <c r="H19" s="91">
        <f t="shared" si="15"/>
        <v>0</v>
      </c>
      <c r="I19" s="30">
        <f>IFERROR(VLOOKUP(D19,'ASE Target (Spares), FY 21-22'!$C$5:$I$39,7,0),"")</f>
        <v>0</v>
      </c>
      <c r="J19" s="30"/>
      <c r="K19" s="72" t="str">
        <f t="shared" si="16"/>
        <v/>
      </c>
      <c r="L19" s="28">
        <f>IFERROR(VLOOKUP(D19,'ASE Target (Spares), FY 21-22'!$C$5:$J$39,8,0),"")</f>
        <v>0</v>
      </c>
      <c r="M19" s="28"/>
      <c r="N19" s="91" t="str">
        <f t="shared" si="17"/>
        <v/>
      </c>
      <c r="O19" s="30">
        <f>IFERROR(VLOOKUP(D19,'ASE Target (Spares), FY 21-22'!$C$5:$K$39,9,0),"")</f>
        <v>0</v>
      </c>
      <c r="P19" s="30"/>
      <c r="Q19" s="72" t="str">
        <f t="shared" si="18"/>
        <v/>
      </c>
      <c r="R19" s="28">
        <f>IFERROR(VLOOKUP(D19,'ASE Target (Spares), FY 21-22'!$C$5:$L$39,10,0),"")</f>
        <v>0</v>
      </c>
      <c r="S19" s="28"/>
      <c r="T19" s="91" t="str">
        <f t="shared" si="19"/>
        <v/>
      </c>
      <c r="U19" s="30">
        <f>IFERROR(VLOOKUP(D19,'ASE Target (Spares), FY 21-22'!$C$5:$M$39,11,0),"")</f>
        <v>0</v>
      </c>
      <c r="V19" s="30"/>
      <c r="W19" s="72" t="str">
        <f t="shared" si="20"/>
        <v/>
      </c>
      <c r="X19" s="28">
        <f>IFERROR(VLOOKUP(D19,'ASE Target (Spares), FY 21-22'!$C$5:$N$39,12,0),"")</f>
        <v>0</v>
      </c>
      <c r="Y19" s="28"/>
      <c r="Z19" s="91" t="str">
        <f t="shared" si="21"/>
        <v/>
      </c>
      <c r="AA19" s="30">
        <f>IFERROR(VLOOKUP(D19,'ASE Target (Spares), FY 21-22'!$C$5:$O$39,13,0),"")</f>
        <v>300000</v>
      </c>
      <c r="AB19" s="30"/>
      <c r="AC19" s="72">
        <f t="shared" si="22"/>
        <v>0</v>
      </c>
      <c r="AD19" s="28">
        <f>IFERROR(VLOOKUP(D19,'ASE Target (Spares), FY 21-22'!$C$5:$P$39,14,0),"")</f>
        <v>400000</v>
      </c>
      <c r="AE19" s="28"/>
      <c r="AF19" s="28">
        <f t="shared" si="23"/>
        <v>0</v>
      </c>
      <c r="AG19" s="30">
        <f>IFERROR(VLOOKUP(D19,'ASE Target (Spares), FY 21-22'!$C$5:$Q$39,15,0),"")</f>
        <v>300000</v>
      </c>
      <c r="AH19" s="30"/>
      <c r="AI19" s="72">
        <f t="shared" si="24"/>
        <v>0</v>
      </c>
      <c r="AJ19" s="28">
        <f>IFERROR(VLOOKUP(D19,'ASE Target (Spares), FY 21-22'!$C$5:$R$39,16,0),"")</f>
        <v>300000</v>
      </c>
      <c r="AK19" s="28"/>
      <c r="AL19" s="91">
        <f t="shared" si="25"/>
        <v>0</v>
      </c>
      <c r="AM19" s="30">
        <f>IFERROR(VLOOKUP(D19,'ASE Target (Spares), FY 21-22'!$C$5:$S$39,17,0),"")</f>
        <v>300000</v>
      </c>
      <c r="AN19" s="30"/>
      <c r="AO19" s="72">
        <f t="shared" si="26"/>
        <v>0</v>
      </c>
      <c r="AP19" s="32">
        <f t="shared" si="27"/>
        <v>1900000</v>
      </c>
      <c r="AQ19" s="32">
        <f t="shared" si="28"/>
        <v>0</v>
      </c>
      <c r="AR19" s="94">
        <f t="shared" si="29"/>
        <v>0</v>
      </c>
    </row>
    <row r="20" spans="2:44" x14ac:dyDescent="0.25">
      <c r="B20" s="15">
        <f>'ASE Target (Spares), FY 21-22'!A19</f>
        <v>14</v>
      </c>
      <c r="C20" s="25" t="str">
        <f>IF('ASE Target (Spares), FY 21-22'!B19=0,"",'ASE Target (Spares), FY 21-22'!B19)</f>
        <v>DSL-DHK</v>
      </c>
      <c r="D20" s="16" t="str">
        <f>IF('ASE Target (Spares), FY 21-22'!C19=0,"",'ASE Target (Spares), FY 21-22'!C19)</f>
        <v>Abdullah Al Mahmud</v>
      </c>
      <c r="E20" s="26">
        <f>IF('ASE Target (Spares), FY 21-22'!D19=0,"",'ASE Target (Spares), FY 21-22'!D19)</f>
        <v>5692</v>
      </c>
      <c r="F20" s="28">
        <f>IFERROR(VLOOKUP(D20,'ASE Target (Spares), FY 21-22'!$C$5:$H$39,6,0),"")</f>
        <v>400000</v>
      </c>
      <c r="G20" s="28"/>
      <c r="H20" s="91">
        <f t="shared" si="15"/>
        <v>0</v>
      </c>
      <c r="I20" s="30">
        <f>IFERROR(VLOOKUP(D20,'ASE Target (Spares), FY 21-22'!$C$5:$I$39,7,0),"")</f>
        <v>0</v>
      </c>
      <c r="J20" s="30"/>
      <c r="K20" s="72" t="str">
        <f t="shared" si="16"/>
        <v/>
      </c>
      <c r="L20" s="28">
        <f>IFERROR(VLOOKUP(D20,'ASE Target (Spares), FY 21-22'!$C$5:$J$39,8,0),"")</f>
        <v>0</v>
      </c>
      <c r="M20" s="28"/>
      <c r="N20" s="91" t="str">
        <f t="shared" si="17"/>
        <v/>
      </c>
      <c r="O20" s="30">
        <f>IFERROR(VLOOKUP(D20,'ASE Target (Spares), FY 21-22'!$C$5:$K$39,9,0),"")</f>
        <v>0</v>
      </c>
      <c r="P20" s="30"/>
      <c r="Q20" s="72" t="str">
        <f t="shared" si="18"/>
        <v/>
      </c>
      <c r="R20" s="28">
        <f>IFERROR(VLOOKUP(D20,'ASE Target (Spares), FY 21-22'!$C$5:$L$39,10,0),"")</f>
        <v>0</v>
      </c>
      <c r="S20" s="28"/>
      <c r="T20" s="91" t="str">
        <f t="shared" si="19"/>
        <v/>
      </c>
      <c r="U20" s="30">
        <f>IFERROR(VLOOKUP(D20,'ASE Target (Spares), FY 21-22'!$C$5:$M$39,11,0),"")</f>
        <v>0</v>
      </c>
      <c r="V20" s="30"/>
      <c r="W20" s="72" t="str">
        <f t="shared" si="20"/>
        <v/>
      </c>
      <c r="X20" s="28">
        <f>IFERROR(VLOOKUP(D20,'ASE Target (Spares), FY 21-22'!$C$5:$N$39,12,0),"")</f>
        <v>0</v>
      </c>
      <c r="Y20" s="28"/>
      <c r="Z20" s="91" t="str">
        <f t="shared" si="21"/>
        <v/>
      </c>
      <c r="AA20" s="30">
        <f>IFERROR(VLOOKUP(D20,'ASE Target (Spares), FY 21-22'!$C$5:$O$39,13,0),"")</f>
        <v>700000</v>
      </c>
      <c r="AB20" s="30"/>
      <c r="AC20" s="72">
        <f t="shared" si="22"/>
        <v>0</v>
      </c>
      <c r="AD20" s="28">
        <f>IFERROR(VLOOKUP(D20,'ASE Target (Spares), FY 21-22'!$C$5:$P$39,14,0),"")</f>
        <v>400000</v>
      </c>
      <c r="AE20" s="28"/>
      <c r="AF20" s="28">
        <f t="shared" si="23"/>
        <v>0</v>
      </c>
      <c r="AG20" s="30">
        <f>IFERROR(VLOOKUP(D20,'ASE Target (Spares), FY 21-22'!$C$5:$Q$39,15,0),"")</f>
        <v>400000</v>
      </c>
      <c r="AH20" s="30"/>
      <c r="AI20" s="72">
        <f t="shared" si="24"/>
        <v>0</v>
      </c>
      <c r="AJ20" s="28">
        <f>IFERROR(VLOOKUP(D20,'ASE Target (Spares), FY 21-22'!$C$5:$R$39,16,0),"")</f>
        <v>400000</v>
      </c>
      <c r="AK20" s="28"/>
      <c r="AL20" s="91">
        <f t="shared" si="25"/>
        <v>0</v>
      </c>
      <c r="AM20" s="30">
        <f>IFERROR(VLOOKUP(D20,'ASE Target (Spares), FY 21-22'!$C$5:$S$39,17,0),"")</f>
        <v>400000</v>
      </c>
      <c r="AN20" s="30"/>
      <c r="AO20" s="72">
        <f t="shared" si="26"/>
        <v>0</v>
      </c>
      <c r="AP20" s="32">
        <f t="shared" si="27"/>
        <v>2700000</v>
      </c>
      <c r="AQ20" s="32">
        <f t="shared" si="28"/>
        <v>0</v>
      </c>
      <c r="AR20" s="94">
        <f t="shared" si="29"/>
        <v>0</v>
      </c>
    </row>
    <row r="21" spans="2:44" x14ac:dyDescent="0.25">
      <c r="B21" s="15">
        <f>'ASE Target (Spares), FY 21-22'!A20</f>
        <v>15</v>
      </c>
      <c r="C21" s="25" t="str">
        <f>IF('ASE Target (Spares), FY 21-22'!B20=0,"",'ASE Target (Spares), FY 21-22'!B20)</f>
        <v>DSL-DHK</v>
      </c>
      <c r="D21" s="16" t="str">
        <f>IF('ASE Target (Spares), FY 21-22'!C20=0,"",'ASE Target (Spares), FY 21-22'!C20)</f>
        <v>Apurba Kumar Gain</v>
      </c>
      <c r="E21" s="26">
        <f>IF('ASE Target (Spares), FY 21-22'!D20=0,"",'ASE Target (Spares), FY 21-22'!D20)</f>
        <v>5927</v>
      </c>
      <c r="F21" s="28">
        <f>IFERROR(VLOOKUP(D21,'ASE Target (Spares), FY 21-22'!$C$5:$H$39,6,0),"")</f>
        <v>230000</v>
      </c>
      <c r="G21" s="28">
        <v>80890</v>
      </c>
      <c r="H21" s="91">
        <f t="shared" si="15"/>
        <v>0.35169565217391302</v>
      </c>
      <c r="I21" s="30">
        <f>IFERROR(VLOOKUP(D21,'ASE Target (Spares), FY 21-22'!$C$5:$I$39,7,0),"")</f>
        <v>0</v>
      </c>
      <c r="J21" s="30"/>
      <c r="K21" s="72" t="str">
        <f t="shared" si="16"/>
        <v/>
      </c>
      <c r="L21" s="28">
        <f>IFERROR(VLOOKUP(D21,'ASE Target (Spares), FY 21-22'!$C$5:$J$39,8,0),"")</f>
        <v>0</v>
      </c>
      <c r="M21" s="28"/>
      <c r="N21" s="91" t="str">
        <f t="shared" si="17"/>
        <v/>
      </c>
      <c r="O21" s="30">
        <f>IFERROR(VLOOKUP(D21,'ASE Target (Spares), FY 21-22'!$C$5:$K$39,9,0),"")</f>
        <v>0</v>
      </c>
      <c r="P21" s="30"/>
      <c r="Q21" s="72" t="str">
        <f t="shared" si="18"/>
        <v/>
      </c>
      <c r="R21" s="28">
        <f>IFERROR(VLOOKUP(D21,'ASE Target (Spares), FY 21-22'!$C$5:$L$39,10,0),"")</f>
        <v>0</v>
      </c>
      <c r="S21" s="28"/>
      <c r="T21" s="91" t="str">
        <f t="shared" si="19"/>
        <v/>
      </c>
      <c r="U21" s="30">
        <f>IFERROR(VLOOKUP(D21,'ASE Target (Spares), FY 21-22'!$C$5:$M$39,11,0),"")</f>
        <v>0</v>
      </c>
      <c r="V21" s="30"/>
      <c r="W21" s="72" t="str">
        <f t="shared" si="20"/>
        <v/>
      </c>
      <c r="X21" s="28">
        <f>IFERROR(VLOOKUP(D21,'ASE Target (Spares), FY 21-22'!$C$5:$N$39,12,0),"")</f>
        <v>0</v>
      </c>
      <c r="Y21" s="28"/>
      <c r="Z21" s="91" t="str">
        <f t="shared" si="21"/>
        <v/>
      </c>
      <c r="AA21" s="30">
        <f>IFERROR(VLOOKUP(D21,'ASE Target (Spares), FY 21-22'!$C$5:$O$39,13,0),"")</f>
        <v>0</v>
      </c>
      <c r="AB21" s="30"/>
      <c r="AC21" s="72" t="str">
        <f t="shared" si="22"/>
        <v/>
      </c>
      <c r="AD21" s="28">
        <f>IFERROR(VLOOKUP(D21,'ASE Target (Spares), FY 21-22'!$C$5:$P$39,14,0),"")</f>
        <v>230000</v>
      </c>
      <c r="AE21" s="28"/>
      <c r="AF21" s="28">
        <f t="shared" si="23"/>
        <v>0</v>
      </c>
      <c r="AG21" s="30">
        <f>IFERROR(VLOOKUP(D21,'ASE Target (Spares), FY 21-22'!$C$5:$Q$39,15,0),"")</f>
        <v>230000</v>
      </c>
      <c r="AH21" s="30"/>
      <c r="AI21" s="72">
        <f t="shared" si="24"/>
        <v>0</v>
      </c>
      <c r="AJ21" s="28">
        <f>IFERROR(VLOOKUP(D21,'ASE Target (Spares), FY 21-22'!$C$5:$R$39,16,0),"")</f>
        <v>230000</v>
      </c>
      <c r="AK21" s="28"/>
      <c r="AL21" s="91">
        <f t="shared" si="25"/>
        <v>0</v>
      </c>
      <c r="AM21" s="30">
        <f>IFERROR(VLOOKUP(D21,'ASE Target (Spares), FY 21-22'!$C$5:$S$39,17,0),"")</f>
        <v>230000</v>
      </c>
      <c r="AN21" s="30"/>
      <c r="AO21" s="72">
        <f t="shared" si="26"/>
        <v>0</v>
      </c>
      <c r="AP21" s="32">
        <f t="shared" si="27"/>
        <v>1150000</v>
      </c>
      <c r="AQ21" s="32">
        <f t="shared" si="28"/>
        <v>80890</v>
      </c>
      <c r="AR21" s="94">
        <f t="shared" si="29"/>
        <v>7.0339130434782612E-2</v>
      </c>
    </row>
    <row r="22" spans="2:44" x14ac:dyDescent="0.25">
      <c r="B22" s="15">
        <f>'ASE Target (Spares), FY 21-22'!A21</f>
        <v>16</v>
      </c>
      <c r="C22" s="25" t="str">
        <f>IF('ASE Target (Spares), FY 21-22'!B21=0,"",'ASE Target (Spares), FY 21-22'!B21)</f>
        <v>DSL-DHK</v>
      </c>
      <c r="D22" s="16" t="str">
        <f>IF('ASE Target (Spares), FY 21-22'!C21=0,"",'ASE Target (Spares), FY 21-22'!C21)</f>
        <v>Amirul Islam</v>
      </c>
      <c r="E22" s="26">
        <f>IF('ASE Target (Spares), FY 21-22'!D21=0,"",'ASE Target (Spares), FY 21-22'!D21)</f>
        <v>5928</v>
      </c>
      <c r="F22" s="28">
        <f>IFERROR(VLOOKUP(D22,'ASE Target (Spares), FY 21-22'!$C$5:$H$39,6,0),"")</f>
        <v>250000</v>
      </c>
      <c r="G22" s="28"/>
      <c r="H22" s="91">
        <f t="shared" si="15"/>
        <v>0</v>
      </c>
      <c r="I22" s="30">
        <f>IFERROR(VLOOKUP(D22,'ASE Target (Spares), FY 21-22'!$C$5:$I$39,7,0),"")</f>
        <v>0</v>
      </c>
      <c r="J22" s="30"/>
      <c r="K22" s="72" t="str">
        <f t="shared" si="16"/>
        <v/>
      </c>
      <c r="L22" s="28">
        <f>IFERROR(VLOOKUP(D22,'ASE Target (Spares), FY 21-22'!$C$5:$J$39,8,0),"")</f>
        <v>0</v>
      </c>
      <c r="M22" s="28"/>
      <c r="N22" s="91" t="str">
        <f t="shared" si="17"/>
        <v/>
      </c>
      <c r="O22" s="30">
        <f>IFERROR(VLOOKUP(D22,'ASE Target (Spares), FY 21-22'!$C$5:$K$39,9,0),"")</f>
        <v>0</v>
      </c>
      <c r="P22" s="30"/>
      <c r="Q22" s="72" t="str">
        <f t="shared" si="18"/>
        <v/>
      </c>
      <c r="R22" s="28">
        <f>IFERROR(VLOOKUP(D22,'ASE Target (Spares), FY 21-22'!$C$5:$L$39,10,0),"")</f>
        <v>0</v>
      </c>
      <c r="S22" s="28"/>
      <c r="T22" s="91" t="str">
        <f t="shared" si="19"/>
        <v/>
      </c>
      <c r="U22" s="30">
        <f>IFERROR(VLOOKUP(D22,'ASE Target (Spares), FY 21-22'!$C$5:$M$39,11,0),"")</f>
        <v>0</v>
      </c>
      <c r="V22" s="30"/>
      <c r="W22" s="72" t="str">
        <f t="shared" si="20"/>
        <v/>
      </c>
      <c r="X22" s="28">
        <f>IFERROR(VLOOKUP(D22,'ASE Target (Spares), FY 21-22'!$C$5:$N$39,12,0),"")</f>
        <v>0</v>
      </c>
      <c r="Y22" s="28"/>
      <c r="Z22" s="91" t="str">
        <f t="shared" si="21"/>
        <v/>
      </c>
      <c r="AA22" s="30">
        <f>IFERROR(VLOOKUP(D22,'ASE Target (Spares), FY 21-22'!$C$5:$O$39,13,0),"")</f>
        <v>0</v>
      </c>
      <c r="AB22" s="30"/>
      <c r="AC22" s="72" t="str">
        <f t="shared" si="22"/>
        <v/>
      </c>
      <c r="AD22" s="28">
        <f>IFERROR(VLOOKUP(D22,'ASE Target (Spares), FY 21-22'!$C$5:$P$39,14,0),"")</f>
        <v>250000</v>
      </c>
      <c r="AE22" s="28"/>
      <c r="AF22" s="28">
        <f t="shared" si="23"/>
        <v>0</v>
      </c>
      <c r="AG22" s="30">
        <f>IFERROR(VLOOKUP(D22,'ASE Target (Spares), FY 21-22'!$C$5:$Q$39,15,0),"")</f>
        <v>250000</v>
      </c>
      <c r="AH22" s="30"/>
      <c r="AI22" s="72">
        <f t="shared" si="24"/>
        <v>0</v>
      </c>
      <c r="AJ22" s="28">
        <f>IFERROR(VLOOKUP(D22,'ASE Target (Spares), FY 21-22'!$C$5:$R$39,16,0),"")</f>
        <v>250000</v>
      </c>
      <c r="AK22" s="28"/>
      <c r="AL22" s="91">
        <f t="shared" si="25"/>
        <v>0</v>
      </c>
      <c r="AM22" s="30">
        <f>IFERROR(VLOOKUP(D22,'ASE Target (Spares), FY 21-22'!$C$5:$S$39,17,0),"")</f>
        <v>250000</v>
      </c>
      <c r="AN22" s="30"/>
      <c r="AO22" s="72">
        <f t="shared" si="26"/>
        <v>0</v>
      </c>
      <c r="AP22" s="32">
        <f t="shared" si="27"/>
        <v>1250000</v>
      </c>
      <c r="AQ22" s="32">
        <f t="shared" si="28"/>
        <v>0</v>
      </c>
      <c r="AR22" s="94">
        <f t="shared" si="29"/>
        <v>0</v>
      </c>
    </row>
    <row r="23" spans="2:44" x14ac:dyDescent="0.25">
      <c r="B23" s="15">
        <f>'ASE Target (Spares), FY 21-22'!A22</f>
        <v>17</v>
      </c>
      <c r="C23" s="25" t="str">
        <f>IF('ASE Target (Spares), FY 21-22'!B22=0,"",'ASE Target (Spares), FY 21-22'!B22)</f>
        <v>DSL-DHK</v>
      </c>
      <c r="D23" s="16" t="str">
        <f>IF('ASE Target (Spares), FY 21-22'!C22=0,"",'ASE Target (Spares), FY 21-22'!C22)</f>
        <v>Md. Jafor Ikbal</v>
      </c>
      <c r="E23" s="26">
        <f>IF('ASE Target (Spares), FY 21-22'!D22=0,"",'ASE Target (Spares), FY 21-22'!D22)</f>
        <v>5929</v>
      </c>
      <c r="F23" s="28">
        <f>IFERROR(VLOOKUP(D23,'ASE Target (Spares), FY 21-22'!$C$5:$H$39,6,0),"")</f>
        <v>0</v>
      </c>
      <c r="G23" s="28"/>
      <c r="H23" s="91" t="str">
        <f t="shared" si="15"/>
        <v/>
      </c>
      <c r="I23" s="30">
        <f>IFERROR(VLOOKUP(D23,'ASE Target (Spares), FY 21-22'!$C$5:$I$39,7,0),"")</f>
        <v>0</v>
      </c>
      <c r="J23" s="30"/>
      <c r="K23" s="72" t="str">
        <f t="shared" si="16"/>
        <v/>
      </c>
      <c r="L23" s="28">
        <f>IFERROR(VLOOKUP(D23,'ASE Target (Spares), FY 21-22'!$C$5:$J$39,8,0),"")</f>
        <v>0</v>
      </c>
      <c r="M23" s="28"/>
      <c r="N23" s="91" t="str">
        <f t="shared" si="17"/>
        <v/>
      </c>
      <c r="O23" s="30">
        <f>IFERROR(VLOOKUP(D23,'ASE Target (Spares), FY 21-22'!$C$5:$K$39,9,0),"")</f>
        <v>0</v>
      </c>
      <c r="P23" s="30"/>
      <c r="Q23" s="72" t="str">
        <f t="shared" si="18"/>
        <v/>
      </c>
      <c r="R23" s="28">
        <f>IFERROR(VLOOKUP(D23,'ASE Target (Spares), FY 21-22'!$C$5:$L$39,10,0),"")</f>
        <v>0</v>
      </c>
      <c r="S23" s="28"/>
      <c r="T23" s="91" t="str">
        <f t="shared" si="19"/>
        <v/>
      </c>
      <c r="U23" s="30">
        <f>IFERROR(VLOOKUP(D23,'ASE Target (Spares), FY 21-22'!$C$5:$M$39,11,0),"")</f>
        <v>0</v>
      </c>
      <c r="V23" s="30"/>
      <c r="W23" s="72" t="str">
        <f t="shared" si="20"/>
        <v/>
      </c>
      <c r="X23" s="28">
        <f>IFERROR(VLOOKUP(D23,'ASE Target (Spares), FY 21-22'!$C$5:$N$39,12,0),"")</f>
        <v>0</v>
      </c>
      <c r="Y23" s="28"/>
      <c r="Z23" s="91" t="str">
        <f t="shared" si="21"/>
        <v/>
      </c>
      <c r="AA23" s="30">
        <f>IFERROR(VLOOKUP(D23,'ASE Target (Spares), FY 21-22'!$C$5:$O$39,13,0),"")</f>
        <v>0</v>
      </c>
      <c r="AB23" s="30"/>
      <c r="AC23" s="72" t="str">
        <f t="shared" si="22"/>
        <v/>
      </c>
      <c r="AD23" s="28">
        <f>IFERROR(VLOOKUP(D23,'ASE Target (Spares), FY 21-22'!$C$5:$P$39,14,0),"")</f>
        <v>0</v>
      </c>
      <c r="AE23" s="28"/>
      <c r="AF23" s="28" t="str">
        <f t="shared" si="23"/>
        <v/>
      </c>
      <c r="AG23" s="30">
        <f>IFERROR(VLOOKUP(D23,'ASE Target (Spares), FY 21-22'!$C$5:$Q$39,15,0),"")</f>
        <v>0</v>
      </c>
      <c r="AH23" s="30"/>
      <c r="AI23" s="72" t="str">
        <f t="shared" si="24"/>
        <v/>
      </c>
      <c r="AJ23" s="28">
        <f>IFERROR(VLOOKUP(D23,'ASE Target (Spares), FY 21-22'!$C$5:$R$39,16,0),"")</f>
        <v>0</v>
      </c>
      <c r="AK23" s="28"/>
      <c r="AL23" s="91" t="str">
        <f t="shared" si="25"/>
        <v/>
      </c>
      <c r="AM23" s="30">
        <f>IFERROR(VLOOKUP(D23,'ASE Target (Spares), FY 21-22'!$C$5:$S$39,17,0),"")</f>
        <v>0</v>
      </c>
      <c r="AN23" s="30"/>
      <c r="AO23" s="72" t="str">
        <f t="shared" si="26"/>
        <v/>
      </c>
      <c r="AP23" s="32">
        <f t="shared" si="27"/>
        <v>0</v>
      </c>
      <c r="AQ23" s="32">
        <f t="shared" si="28"/>
        <v>0</v>
      </c>
      <c r="AR23" s="94" t="str">
        <f t="shared" si="29"/>
        <v/>
      </c>
    </row>
    <row r="24" spans="2:44" x14ac:dyDescent="0.25">
      <c r="B24" s="15">
        <f>'ASE Target (Spares), FY 21-22'!A29</f>
        <v>18</v>
      </c>
      <c r="C24" s="25" t="str">
        <f>IF('ASE Target (Spares), FY 21-22'!B23=0,"",'ASE Target (Spares), FY 21-22'!B23)</f>
        <v>DSL-DHK</v>
      </c>
      <c r="D24" s="16" t="str">
        <f>IF('ASE Target (Spares), FY 21-22'!C23=0,"",'ASE Target (Spares), FY 21-22'!C23)</f>
        <v>Md. Habibur Rahman</v>
      </c>
      <c r="E24" s="26">
        <f>IF('ASE Target (Spares), FY 21-22'!D23=0,"",'ASE Target (Spares), FY 21-22'!D23)</f>
        <v>6079</v>
      </c>
      <c r="F24" s="28">
        <f>IFERROR(VLOOKUP(D24,'ASE Target (Spares), FY 21-22'!$C$5:$H$39,6,0),"")</f>
        <v>250000</v>
      </c>
      <c r="G24" s="28">
        <v>263694</v>
      </c>
      <c r="H24" s="91">
        <f t="shared" si="15"/>
        <v>1.0547759999999999</v>
      </c>
      <c r="I24" s="30">
        <f>IFERROR(VLOOKUP(D24,'ASE Target (Spares), FY 21-22'!$C$5:$I$39,7,0),"")</f>
        <v>0</v>
      </c>
      <c r="J24" s="30"/>
      <c r="K24" s="72" t="str">
        <f t="shared" si="16"/>
        <v/>
      </c>
      <c r="L24" s="28">
        <f>IFERROR(VLOOKUP(D24,'ASE Target (Spares), FY 21-22'!$C$5:$J$39,8,0),"")</f>
        <v>0</v>
      </c>
      <c r="M24" s="28"/>
      <c r="N24" s="91" t="str">
        <f t="shared" si="17"/>
        <v/>
      </c>
      <c r="O24" s="30">
        <f>IFERROR(VLOOKUP(D24,'ASE Target (Spares), FY 21-22'!$C$5:$K$39,9,0),"")</f>
        <v>0</v>
      </c>
      <c r="P24" s="30"/>
      <c r="Q24" s="72" t="str">
        <f t="shared" si="18"/>
        <v/>
      </c>
      <c r="R24" s="28">
        <f>IFERROR(VLOOKUP(D24,'ASE Target (Spares), FY 21-22'!$C$5:$L$39,10,0),"")</f>
        <v>0</v>
      </c>
      <c r="S24" s="28"/>
      <c r="T24" s="91" t="str">
        <f t="shared" si="19"/>
        <v/>
      </c>
      <c r="U24" s="30">
        <f>IFERROR(VLOOKUP(D24,'ASE Target (Spares), FY 21-22'!$C$5:$M$39,11,0),"")</f>
        <v>0</v>
      </c>
      <c r="V24" s="30"/>
      <c r="W24" s="72" t="str">
        <f t="shared" si="20"/>
        <v/>
      </c>
      <c r="X24" s="28">
        <f>IFERROR(VLOOKUP(D24,'ASE Target (Spares), FY 21-22'!$C$5:$N$39,12,0),"")</f>
        <v>0</v>
      </c>
      <c r="Y24" s="28"/>
      <c r="Z24" s="91" t="str">
        <f t="shared" si="21"/>
        <v/>
      </c>
      <c r="AA24" s="30">
        <f>IFERROR(VLOOKUP(D24,'ASE Target (Spares), FY 21-22'!$C$5:$O$39,13,0),"")</f>
        <v>0</v>
      </c>
      <c r="AB24" s="30"/>
      <c r="AC24" s="72" t="str">
        <f t="shared" si="22"/>
        <v/>
      </c>
      <c r="AD24" s="28">
        <f>IFERROR(VLOOKUP(D24,'ASE Target (Spares), FY 21-22'!$C$5:$P$39,14,0),"")</f>
        <v>0</v>
      </c>
      <c r="AE24" s="28"/>
      <c r="AF24" s="28" t="str">
        <f t="shared" si="23"/>
        <v/>
      </c>
      <c r="AG24" s="30">
        <f>IFERROR(VLOOKUP(D24,'ASE Target (Spares), FY 21-22'!$C$5:$Q$39,15,0),"")</f>
        <v>0</v>
      </c>
      <c r="AH24" s="30"/>
      <c r="AI24" s="72" t="str">
        <f t="shared" si="24"/>
        <v/>
      </c>
      <c r="AJ24" s="28">
        <f>IFERROR(VLOOKUP(D24,'ASE Target (Spares), FY 21-22'!$C$5:$R$39,16,0),"")</f>
        <v>0</v>
      </c>
      <c r="AK24" s="28"/>
      <c r="AL24" s="91" t="str">
        <f t="shared" si="25"/>
        <v/>
      </c>
      <c r="AM24" s="30">
        <f>IFERROR(VLOOKUP(D24,'ASE Target (Spares), FY 21-22'!$C$5:$S$39,17,0),"")</f>
        <v>250000</v>
      </c>
      <c r="AN24" s="30"/>
      <c r="AO24" s="72">
        <f t="shared" si="26"/>
        <v>0</v>
      </c>
      <c r="AP24" s="32">
        <f t="shared" si="27"/>
        <v>500000</v>
      </c>
      <c r="AQ24" s="32">
        <f t="shared" si="28"/>
        <v>263694</v>
      </c>
      <c r="AR24" s="94">
        <f t="shared" si="29"/>
        <v>0.52738799999999997</v>
      </c>
    </row>
    <row r="25" spans="2:44" x14ac:dyDescent="0.25">
      <c r="B25" s="15">
        <f>'ASE Target (Spares), FY 21-22'!A30</f>
        <v>19</v>
      </c>
      <c r="C25" s="25" t="str">
        <f>IF('ASE Target (Spares), FY 21-22'!B24=0,"",'ASE Target (Spares), FY 21-22'!B24)</f>
        <v>DSL-DHK</v>
      </c>
      <c r="D25" s="16" t="str">
        <f>IF('ASE Target (Spares), FY 21-22'!C24=0,"",'ASE Target (Spares), FY 21-22'!C24)</f>
        <v>Ashikur Rahman</v>
      </c>
      <c r="E25" s="26">
        <f>IF('ASE Target (Spares), FY 21-22'!D24=0,"",'ASE Target (Spares), FY 21-22'!D24)</f>
        <v>6080</v>
      </c>
      <c r="F25" s="28">
        <f>IFERROR(VLOOKUP(D25,'ASE Target (Spares), FY 21-22'!$C$5:$H$39,6,0),"")</f>
        <v>500000</v>
      </c>
      <c r="G25" s="28"/>
      <c r="H25" s="91">
        <f t="shared" si="15"/>
        <v>0</v>
      </c>
      <c r="I25" s="30">
        <f>IFERROR(VLOOKUP(D25,'ASE Target (Spares), FY 21-22'!$C$5:$I$39,7,0),"")</f>
        <v>0</v>
      </c>
      <c r="J25" s="30"/>
      <c r="K25" s="72" t="str">
        <f t="shared" si="16"/>
        <v/>
      </c>
      <c r="L25" s="28">
        <f>IFERROR(VLOOKUP(D25,'ASE Target (Spares), FY 21-22'!$C$5:$J$39,8,0),"")</f>
        <v>0</v>
      </c>
      <c r="M25" s="28"/>
      <c r="N25" s="91" t="str">
        <f t="shared" si="17"/>
        <v/>
      </c>
      <c r="O25" s="30">
        <f>IFERROR(VLOOKUP(D25,'ASE Target (Spares), FY 21-22'!$C$5:$K$39,9,0),"")</f>
        <v>0</v>
      </c>
      <c r="P25" s="30"/>
      <c r="Q25" s="72" t="str">
        <f t="shared" si="18"/>
        <v/>
      </c>
      <c r="R25" s="28">
        <f>IFERROR(VLOOKUP(D25,'ASE Target (Spares), FY 21-22'!$C$5:$L$39,10,0),"")</f>
        <v>0</v>
      </c>
      <c r="S25" s="28"/>
      <c r="T25" s="91" t="str">
        <f t="shared" si="19"/>
        <v/>
      </c>
      <c r="U25" s="30">
        <f>IFERROR(VLOOKUP(D25,'ASE Target (Spares), FY 21-22'!$C$5:$M$39,11,0),"")</f>
        <v>0</v>
      </c>
      <c r="V25" s="30"/>
      <c r="W25" s="72" t="str">
        <f t="shared" si="20"/>
        <v/>
      </c>
      <c r="X25" s="28">
        <f>IFERROR(VLOOKUP(D25,'ASE Target (Spares), FY 21-22'!$C$5:$N$39,12,0),"")</f>
        <v>0</v>
      </c>
      <c r="Y25" s="28"/>
      <c r="Z25" s="91" t="str">
        <f t="shared" si="21"/>
        <v/>
      </c>
      <c r="AA25" s="30">
        <f>IFERROR(VLOOKUP(D25,'ASE Target (Spares), FY 21-22'!$C$5:$O$39,13,0),"")</f>
        <v>0</v>
      </c>
      <c r="AB25" s="30"/>
      <c r="AC25" s="72" t="str">
        <f t="shared" si="22"/>
        <v/>
      </c>
      <c r="AD25" s="28">
        <f>IFERROR(VLOOKUP(D25,'ASE Target (Spares), FY 21-22'!$C$5:$P$39,14,0),"")</f>
        <v>0</v>
      </c>
      <c r="AE25" s="28"/>
      <c r="AF25" s="28" t="str">
        <f t="shared" si="23"/>
        <v/>
      </c>
      <c r="AG25" s="30">
        <f>IFERROR(VLOOKUP(D25,'ASE Target (Spares), FY 21-22'!$C$5:$Q$39,15,0),"")</f>
        <v>0</v>
      </c>
      <c r="AH25" s="30"/>
      <c r="AI25" s="72" t="str">
        <f t="shared" si="24"/>
        <v/>
      </c>
      <c r="AJ25" s="28">
        <f>IFERROR(VLOOKUP(D25,'ASE Target (Spares), FY 21-22'!$C$5:$R$39,16,0),"")</f>
        <v>0</v>
      </c>
      <c r="AK25" s="28"/>
      <c r="AL25" s="91" t="str">
        <f t="shared" si="25"/>
        <v/>
      </c>
      <c r="AM25" s="30">
        <f>IFERROR(VLOOKUP(D25,'ASE Target (Spares), FY 21-22'!$C$5:$S$39,17,0),"")</f>
        <v>500000</v>
      </c>
      <c r="AN25" s="30"/>
      <c r="AO25" s="72">
        <f t="shared" si="26"/>
        <v>0</v>
      </c>
      <c r="AP25" s="32">
        <f t="shared" si="27"/>
        <v>1000000</v>
      </c>
      <c r="AQ25" s="32">
        <f t="shared" si="28"/>
        <v>0</v>
      </c>
      <c r="AR25" s="94">
        <f t="shared" si="29"/>
        <v>0</v>
      </c>
    </row>
    <row r="26" spans="2:44" x14ac:dyDescent="0.25">
      <c r="B26" s="15">
        <f>'ASE Target (Spares), FY 21-22'!A31</f>
        <v>20</v>
      </c>
      <c r="C26" s="25" t="str">
        <f>IF('ASE Target (Spares), FY 21-22'!B25=0,"",'ASE Target (Spares), FY 21-22'!B25)</f>
        <v>DSL-DHK</v>
      </c>
      <c r="D26" s="16" t="str">
        <f>IF('ASE Target (Spares), FY 21-22'!C25=0,"",'ASE Target (Spares), FY 21-22'!C25)</f>
        <v>Md. Sujon Hossain</v>
      </c>
      <c r="E26" s="26">
        <f>IF('ASE Target (Spares), FY 21-22'!D25=0,"",'ASE Target (Spares), FY 21-22'!D25)</f>
        <v>6078</v>
      </c>
      <c r="F26" s="28">
        <f>IFERROR(VLOOKUP(D26,'ASE Target (Spares), FY 21-22'!$C$5:$H$39,6,0),"")</f>
        <v>600000</v>
      </c>
      <c r="G26" s="28">
        <v>290128</v>
      </c>
      <c r="H26" s="91">
        <f t="shared" si="15"/>
        <v>0.48354666666666668</v>
      </c>
      <c r="I26" s="30">
        <f>IFERROR(VLOOKUP(D26,'ASE Target (Spares), FY 21-22'!$C$5:$I$39,7,0),"")</f>
        <v>0</v>
      </c>
      <c r="J26" s="30"/>
      <c r="K26" s="72" t="str">
        <f t="shared" si="16"/>
        <v/>
      </c>
      <c r="L26" s="28">
        <f>IFERROR(VLOOKUP(D26,'ASE Target (Spares), FY 21-22'!$C$5:$J$39,8,0),"")</f>
        <v>0</v>
      </c>
      <c r="M26" s="28"/>
      <c r="N26" s="91" t="str">
        <f t="shared" si="17"/>
        <v/>
      </c>
      <c r="O26" s="30">
        <f>IFERROR(VLOOKUP(D26,'ASE Target (Spares), FY 21-22'!$C$5:$K$39,9,0),"")</f>
        <v>0</v>
      </c>
      <c r="P26" s="30"/>
      <c r="Q26" s="72" t="str">
        <f t="shared" si="18"/>
        <v/>
      </c>
      <c r="R26" s="28">
        <f>IFERROR(VLOOKUP(D26,'ASE Target (Spares), FY 21-22'!$C$5:$L$39,10,0),"")</f>
        <v>0</v>
      </c>
      <c r="S26" s="28"/>
      <c r="T26" s="91" t="str">
        <f t="shared" si="19"/>
        <v/>
      </c>
      <c r="U26" s="30">
        <f>IFERROR(VLOOKUP(D26,'ASE Target (Spares), FY 21-22'!$C$5:$M$39,11,0),"")</f>
        <v>0</v>
      </c>
      <c r="V26" s="30"/>
      <c r="W26" s="72" t="str">
        <f t="shared" si="20"/>
        <v/>
      </c>
      <c r="X26" s="28">
        <f>IFERROR(VLOOKUP(D26,'ASE Target (Spares), FY 21-22'!$C$5:$N$39,12,0),"")</f>
        <v>0</v>
      </c>
      <c r="Y26" s="28"/>
      <c r="Z26" s="91" t="str">
        <f t="shared" si="21"/>
        <v/>
      </c>
      <c r="AA26" s="30">
        <f>IFERROR(VLOOKUP(D26,'ASE Target (Spares), FY 21-22'!$C$5:$O$39,13,0),"")</f>
        <v>0</v>
      </c>
      <c r="AB26" s="30"/>
      <c r="AC26" s="72" t="str">
        <f t="shared" si="22"/>
        <v/>
      </c>
      <c r="AD26" s="28">
        <f>IFERROR(VLOOKUP(D26,'ASE Target (Spares), FY 21-22'!$C$5:$P$39,14,0),"")</f>
        <v>0</v>
      </c>
      <c r="AE26" s="28"/>
      <c r="AF26" s="28" t="str">
        <f t="shared" si="23"/>
        <v/>
      </c>
      <c r="AG26" s="30">
        <f>IFERROR(VLOOKUP(D26,'ASE Target (Spares), FY 21-22'!$C$5:$Q$39,15,0),"")</f>
        <v>0</v>
      </c>
      <c r="AH26" s="30"/>
      <c r="AI26" s="72" t="str">
        <f t="shared" si="24"/>
        <v/>
      </c>
      <c r="AJ26" s="28">
        <f>IFERROR(VLOOKUP(D26,'ASE Target (Spares), FY 21-22'!$C$5:$R$39,16,0),"")</f>
        <v>0</v>
      </c>
      <c r="AK26" s="28"/>
      <c r="AL26" s="91" t="str">
        <f t="shared" si="25"/>
        <v/>
      </c>
      <c r="AM26" s="30">
        <f>IFERROR(VLOOKUP(D26,'ASE Target (Spares), FY 21-22'!$C$5:$S$39,17,0),"")</f>
        <v>600000</v>
      </c>
      <c r="AN26" s="30"/>
      <c r="AO26" s="72">
        <f t="shared" si="26"/>
        <v>0</v>
      </c>
      <c r="AP26" s="32">
        <f t="shared" si="27"/>
        <v>1200000</v>
      </c>
      <c r="AQ26" s="32">
        <f t="shared" si="28"/>
        <v>290128</v>
      </c>
      <c r="AR26" s="94">
        <f t="shared" si="29"/>
        <v>0.24177333333333334</v>
      </c>
    </row>
    <row r="27" spans="2:44" x14ac:dyDescent="0.25">
      <c r="B27" s="15">
        <f>'ASE Target (Spares), FY 21-22'!A32</f>
        <v>21</v>
      </c>
      <c r="C27" s="25" t="str">
        <f>IF('ASE Target (Spares), FY 21-22'!B26=0,"",'ASE Target (Spares), FY 21-22'!B26)</f>
        <v>DSL-DHK</v>
      </c>
      <c r="D27" s="16" t="str">
        <f>IF('ASE Target (Spares), FY 21-22'!C26=0,"",'ASE Target (Spares), FY 21-22'!C26)</f>
        <v xml:space="preserve">Md Jiaur Rahman </v>
      </c>
      <c r="E27" s="26" t="str">
        <f>IF('ASE Target (Spares), FY 21-22'!D26=0,"",'ASE Target (Spares), FY 21-22'!D26)</f>
        <v>0522</v>
      </c>
      <c r="F27" s="28">
        <f>IFERROR(VLOOKUP(D27,'ASE Target (Spares), FY 21-22'!$C$5:$H$39,6,0),"")</f>
        <v>900000</v>
      </c>
      <c r="G27" s="28"/>
      <c r="H27" s="91">
        <f t="shared" si="15"/>
        <v>0</v>
      </c>
      <c r="I27" s="30">
        <f>IFERROR(VLOOKUP(D27,'ASE Target (Spares), FY 21-22'!$C$5:$I$39,7,0),"")</f>
        <v>0</v>
      </c>
      <c r="J27" s="30"/>
      <c r="K27" s="72" t="str">
        <f t="shared" si="16"/>
        <v/>
      </c>
      <c r="L27" s="28">
        <f>IFERROR(VLOOKUP(D27,'ASE Target (Spares), FY 21-22'!$C$5:$J$39,8,0),"")</f>
        <v>0</v>
      </c>
      <c r="M27" s="28"/>
      <c r="N27" s="91" t="str">
        <f t="shared" si="17"/>
        <v/>
      </c>
      <c r="O27" s="30">
        <f>IFERROR(VLOOKUP(D27,'ASE Target (Spares), FY 21-22'!$C$5:$K$39,9,0),"")</f>
        <v>0</v>
      </c>
      <c r="P27" s="30"/>
      <c r="Q27" s="72" t="str">
        <f t="shared" si="18"/>
        <v/>
      </c>
      <c r="R27" s="28">
        <f>IFERROR(VLOOKUP(D27,'ASE Target (Spares), FY 21-22'!$C$5:$L$39,10,0),"")</f>
        <v>0</v>
      </c>
      <c r="S27" s="28"/>
      <c r="T27" s="91" t="str">
        <f t="shared" si="19"/>
        <v/>
      </c>
      <c r="U27" s="30">
        <f>IFERROR(VLOOKUP(D27,'ASE Target (Spares), FY 21-22'!$C$5:$M$39,11,0),"")</f>
        <v>0</v>
      </c>
      <c r="V27" s="30"/>
      <c r="W27" s="72" t="str">
        <f t="shared" si="20"/>
        <v/>
      </c>
      <c r="X27" s="28">
        <f>IFERROR(VLOOKUP(D27,'ASE Target (Spares), FY 21-22'!$C$5:$N$39,12,0),"")</f>
        <v>0</v>
      </c>
      <c r="Y27" s="28"/>
      <c r="Z27" s="91" t="str">
        <f t="shared" si="21"/>
        <v/>
      </c>
      <c r="AA27" s="30">
        <f>IFERROR(VLOOKUP(D27,'ASE Target (Spares), FY 21-22'!$C$5:$O$39,13,0),"")</f>
        <v>0</v>
      </c>
      <c r="AB27" s="30"/>
      <c r="AC27" s="72" t="str">
        <f t="shared" si="22"/>
        <v/>
      </c>
      <c r="AD27" s="28">
        <f>IFERROR(VLOOKUP(D27,'ASE Target (Spares), FY 21-22'!$C$5:$P$39,14,0),"")</f>
        <v>850000</v>
      </c>
      <c r="AE27" s="28"/>
      <c r="AF27" s="28">
        <f t="shared" si="23"/>
        <v>0</v>
      </c>
      <c r="AG27" s="30">
        <f>IFERROR(VLOOKUP(D27,'ASE Target (Spares), FY 21-22'!$C$5:$Q$39,15,0),"")</f>
        <v>850000</v>
      </c>
      <c r="AH27" s="30"/>
      <c r="AI27" s="72">
        <f t="shared" si="24"/>
        <v>0</v>
      </c>
      <c r="AJ27" s="28">
        <f>IFERROR(VLOOKUP(D27,'ASE Target (Spares), FY 21-22'!$C$5:$R$39,16,0),"")</f>
        <v>850000</v>
      </c>
      <c r="AK27" s="28"/>
      <c r="AL27" s="91">
        <f t="shared" si="25"/>
        <v>0</v>
      </c>
      <c r="AM27" s="30">
        <f>IFERROR(VLOOKUP(D27,'ASE Target (Spares), FY 21-22'!$C$5:$S$39,17,0),"")</f>
        <v>900000</v>
      </c>
      <c r="AN27" s="30"/>
      <c r="AO27" s="72">
        <f t="shared" si="26"/>
        <v>0</v>
      </c>
      <c r="AP27" s="32">
        <f t="shared" si="27"/>
        <v>4350000</v>
      </c>
      <c r="AQ27" s="32">
        <f t="shared" si="28"/>
        <v>0</v>
      </c>
      <c r="AR27" s="94">
        <f t="shared" si="29"/>
        <v>0</v>
      </c>
    </row>
    <row r="28" spans="2:44" x14ac:dyDescent="0.25">
      <c r="B28" s="15">
        <f>'ASE Target (Spares), FY 21-22'!A36</f>
        <v>0</v>
      </c>
      <c r="C28" s="25" t="str">
        <f>IF('ASE Target (Spares), FY 21-22'!B27=0,"",'ASE Target (Spares), FY 21-22'!B27)</f>
        <v/>
      </c>
      <c r="D28" s="16" t="str">
        <f>IF('ASE Target (Spares), FY 21-22'!C27=0,"",'ASE Target (Spares), FY 21-22'!C27)</f>
        <v>New-2</v>
      </c>
      <c r="E28" s="26" t="str">
        <f>IF('ASE Target (Spares), FY 21-22'!D27=0,"",'ASE Target (Spares), FY 21-22'!D27)</f>
        <v/>
      </c>
      <c r="F28" s="28">
        <f>IFERROR(VLOOKUP(D28,'ASE Target (Spares), FY 21-22'!$C$5:$H$39,6,0),"")</f>
        <v>0</v>
      </c>
      <c r="G28" s="28"/>
      <c r="H28" s="91" t="str">
        <f t="shared" si="15"/>
        <v/>
      </c>
      <c r="I28" s="30">
        <f>IFERROR(VLOOKUP(D28,'ASE Target (Spares), FY 21-22'!$C$5:$I$39,7,0),"")</f>
        <v>0</v>
      </c>
      <c r="J28" s="30"/>
      <c r="K28" s="72" t="str">
        <f t="shared" si="16"/>
        <v/>
      </c>
      <c r="L28" s="28">
        <f>IFERROR(VLOOKUP(D28,'ASE Target (Spares), FY 21-22'!$C$5:$J$39,8,0),"")</f>
        <v>0</v>
      </c>
      <c r="M28" s="28"/>
      <c r="N28" s="91" t="str">
        <f t="shared" si="17"/>
        <v/>
      </c>
      <c r="O28" s="30">
        <f>IFERROR(VLOOKUP(D28,'ASE Target (Spares), FY 21-22'!$C$5:$K$39,9,0),"")</f>
        <v>0</v>
      </c>
      <c r="P28" s="30"/>
      <c r="Q28" s="72" t="str">
        <f t="shared" si="18"/>
        <v/>
      </c>
      <c r="R28" s="28">
        <f>IFERROR(VLOOKUP(D28,'ASE Target (Spares), FY 21-22'!$C$5:$L$39,10,0),"")</f>
        <v>0</v>
      </c>
      <c r="S28" s="28"/>
      <c r="T28" s="91" t="str">
        <f t="shared" si="19"/>
        <v/>
      </c>
      <c r="U28" s="30">
        <f>IFERROR(VLOOKUP(D28,'ASE Target (Spares), FY 21-22'!$C$5:$M$39,11,0),"")</f>
        <v>0</v>
      </c>
      <c r="V28" s="30"/>
      <c r="W28" s="72" t="str">
        <f t="shared" si="20"/>
        <v/>
      </c>
      <c r="X28" s="28">
        <f>IFERROR(VLOOKUP(D28,'ASE Target (Spares), FY 21-22'!$C$5:$N$39,12,0),"")</f>
        <v>0</v>
      </c>
      <c r="Y28" s="28"/>
      <c r="Z28" s="91" t="str">
        <f t="shared" si="21"/>
        <v/>
      </c>
      <c r="AA28" s="30">
        <f>IFERROR(VLOOKUP(D28,'ASE Target (Spares), FY 21-22'!$C$5:$O$39,13,0),"")</f>
        <v>0</v>
      </c>
      <c r="AB28" s="30"/>
      <c r="AC28" s="72" t="str">
        <f t="shared" si="22"/>
        <v/>
      </c>
      <c r="AD28" s="28">
        <f>IFERROR(VLOOKUP(D28,'ASE Target (Spares), FY 21-22'!$C$5:$P$39,14,0),"")</f>
        <v>0</v>
      </c>
      <c r="AE28" s="28"/>
      <c r="AF28" s="28" t="str">
        <f t="shared" si="23"/>
        <v/>
      </c>
      <c r="AG28" s="30">
        <f>IFERROR(VLOOKUP(D28,'ASE Target (Spares), FY 21-22'!$C$5:$Q$39,15,0),"")</f>
        <v>0</v>
      </c>
      <c r="AH28" s="30"/>
      <c r="AI28" s="72" t="str">
        <f t="shared" si="24"/>
        <v/>
      </c>
      <c r="AJ28" s="28">
        <f>IFERROR(VLOOKUP(D28,'ASE Target (Spares), FY 21-22'!$C$5:$R$39,16,0),"")</f>
        <v>0</v>
      </c>
      <c r="AK28" s="28"/>
      <c r="AL28" s="91" t="str">
        <f t="shared" si="25"/>
        <v/>
      </c>
      <c r="AM28" s="30">
        <f>IFERROR(VLOOKUP(D28,'ASE Target (Spares), FY 21-22'!$C$5:$S$39,17,0),"")</f>
        <v>0</v>
      </c>
      <c r="AN28" s="30"/>
      <c r="AO28" s="72" t="str">
        <f t="shared" si="26"/>
        <v/>
      </c>
      <c r="AP28" s="32">
        <f t="shared" si="27"/>
        <v>0</v>
      </c>
      <c r="AQ28" s="32">
        <f t="shared" si="28"/>
        <v>0</v>
      </c>
      <c r="AR28" s="94" t="str">
        <f t="shared" si="29"/>
        <v/>
      </c>
    </row>
    <row r="29" spans="2:44" x14ac:dyDescent="0.25">
      <c r="C29" s="25" t="str">
        <f>IF('ASE Target (Spares), FY 21-22'!B28=0,"",'ASE Target (Spares), FY 21-22'!B28)</f>
        <v/>
      </c>
      <c r="D29" s="16" t="str">
        <f>IF('ASE Target (Spares), FY 21-22'!C28=0,"",'ASE Target (Spares), FY 21-22'!C28)</f>
        <v>New-3</v>
      </c>
      <c r="E29" s="26" t="str">
        <f>IF('ASE Target (Spares), FY 21-22'!D28=0,"",'ASE Target (Spares), FY 21-22'!D28)</f>
        <v/>
      </c>
      <c r="F29" s="28">
        <f>IFERROR(VLOOKUP(D29,'ASE Target (Spares), FY 21-22'!$C$5:$H$39,6,0),"")</f>
        <v>0</v>
      </c>
      <c r="G29" s="28"/>
      <c r="H29" s="91" t="str">
        <f t="shared" si="15"/>
        <v/>
      </c>
      <c r="I29" s="30">
        <f>IFERROR(VLOOKUP(D29,'ASE Target (Spares), FY 21-22'!$C$5:$I$39,7,0),"")</f>
        <v>0</v>
      </c>
      <c r="J29" s="30"/>
      <c r="K29" s="72" t="str">
        <f t="shared" si="16"/>
        <v/>
      </c>
      <c r="L29" s="28">
        <f>IFERROR(VLOOKUP(D29,'ASE Target (Spares), FY 21-22'!$C$5:$J$39,8,0),"")</f>
        <v>0</v>
      </c>
      <c r="M29" s="28"/>
      <c r="N29" s="91" t="str">
        <f t="shared" si="17"/>
        <v/>
      </c>
      <c r="O29" s="30">
        <f>IFERROR(VLOOKUP(D29,'ASE Target (Spares), FY 21-22'!$C$5:$K$39,9,0),"")</f>
        <v>0</v>
      </c>
      <c r="P29" s="30"/>
      <c r="Q29" s="72" t="str">
        <f t="shared" si="18"/>
        <v/>
      </c>
      <c r="R29" s="28">
        <f>IFERROR(VLOOKUP(D29,'ASE Target (Spares), FY 21-22'!$C$5:$L$39,10,0),"")</f>
        <v>0</v>
      </c>
      <c r="S29" s="28"/>
      <c r="T29" s="91" t="str">
        <f t="shared" si="19"/>
        <v/>
      </c>
      <c r="U29" s="30">
        <f>IFERROR(VLOOKUP(D29,'ASE Target (Spares), FY 21-22'!$C$5:$M$39,11,0),"")</f>
        <v>0</v>
      </c>
      <c r="V29" s="30"/>
      <c r="W29" s="72" t="str">
        <f t="shared" si="20"/>
        <v/>
      </c>
      <c r="X29" s="28">
        <f>IFERROR(VLOOKUP(D29,'ASE Target (Spares), FY 21-22'!$C$5:$N$39,12,0),"")</f>
        <v>0</v>
      </c>
      <c r="Y29" s="28"/>
      <c r="Z29" s="91" t="str">
        <f t="shared" si="21"/>
        <v/>
      </c>
      <c r="AA29" s="30">
        <f>IFERROR(VLOOKUP(D29,'ASE Target (Spares), FY 21-22'!$C$5:$O$39,13,0),"")</f>
        <v>0</v>
      </c>
      <c r="AB29" s="30"/>
      <c r="AC29" s="72" t="str">
        <f t="shared" si="22"/>
        <v/>
      </c>
      <c r="AD29" s="28">
        <f>IFERROR(VLOOKUP(D29,'ASE Target (Spares), FY 21-22'!$C$5:$P$39,14,0),"")</f>
        <v>0</v>
      </c>
      <c r="AE29" s="28"/>
      <c r="AF29" s="28" t="str">
        <f t="shared" si="23"/>
        <v/>
      </c>
      <c r="AG29" s="30">
        <f>IFERROR(VLOOKUP(D29,'ASE Target (Spares), FY 21-22'!$C$5:$Q$39,15,0),"")</f>
        <v>0</v>
      </c>
      <c r="AH29" s="30"/>
      <c r="AI29" s="72" t="str">
        <f t="shared" si="24"/>
        <v/>
      </c>
      <c r="AJ29" s="28">
        <f>IFERROR(VLOOKUP(D29,'ASE Target (Spares), FY 21-22'!$C$5:$R$39,16,0),"")</f>
        <v>0</v>
      </c>
      <c r="AK29" s="28"/>
      <c r="AL29" s="91" t="str">
        <f t="shared" si="25"/>
        <v/>
      </c>
      <c r="AM29" s="30">
        <f>IFERROR(VLOOKUP(D29,'ASE Target (Spares), FY 21-22'!$C$5:$S$39,17,0),"")</f>
        <v>0</v>
      </c>
      <c r="AN29" s="30"/>
      <c r="AO29" s="72" t="str">
        <f t="shared" si="26"/>
        <v/>
      </c>
      <c r="AP29" s="32">
        <f t="shared" si="27"/>
        <v>0</v>
      </c>
      <c r="AQ29" s="32">
        <f t="shared" si="28"/>
        <v>0</v>
      </c>
      <c r="AR29" s="94" t="str">
        <f t="shared" si="29"/>
        <v/>
      </c>
    </row>
    <row r="30" spans="2:44" x14ac:dyDescent="0.25">
      <c r="C30" s="25" t="str">
        <f>IF('ASE Target (Spares), FY 21-22'!B29=0,"",'ASE Target (Spares), FY 21-22'!B29)</f>
        <v/>
      </c>
      <c r="D30" s="16" t="str">
        <f>IF('ASE Target (Spares), FY 21-22'!C29=0,"",'ASE Target (Spares), FY 21-22'!C29)</f>
        <v>New-4</v>
      </c>
      <c r="E30" s="26" t="str">
        <f>IF('ASE Target (Spares), FY 21-22'!D29=0,"",'ASE Target (Spares), FY 21-22'!D29)</f>
        <v/>
      </c>
      <c r="F30" s="28">
        <f>IFERROR(VLOOKUP(D30,'ASE Target (Spares), FY 21-22'!$C$5:$H$39,6,0),"")</f>
        <v>0</v>
      </c>
      <c r="G30" s="28"/>
      <c r="H30" s="91" t="str">
        <f t="shared" si="15"/>
        <v/>
      </c>
      <c r="I30" s="30">
        <f>IFERROR(VLOOKUP(D30,'ASE Target (Spares), FY 21-22'!$C$5:$I$39,7,0),"")</f>
        <v>0</v>
      </c>
      <c r="J30" s="30"/>
      <c r="K30" s="72" t="str">
        <f t="shared" si="16"/>
        <v/>
      </c>
      <c r="L30" s="28">
        <f>IFERROR(VLOOKUP(D30,'ASE Target (Spares), FY 21-22'!$C$5:$J$39,8,0),"")</f>
        <v>0</v>
      </c>
      <c r="M30" s="28"/>
      <c r="N30" s="91" t="str">
        <f t="shared" si="17"/>
        <v/>
      </c>
      <c r="O30" s="30">
        <f>IFERROR(VLOOKUP(D30,'ASE Target (Spares), FY 21-22'!$C$5:$K$39,9,0),"")</f>
        <v>0</v>
      </c>
      <c r="P30" s="30"/>
      <c r="Q30" s="72" t="str">
        <f t="shared" si="18"/>
        <v/>
      </c>
      <c r="R30" s="28">
        <f>IFERROR(VLOOKUP(D30,'ASE Target (Spares), FY 21-22'!$C$5:$L$39,10,0),"")</f>
        <v>0</v>
      </c>
      <c r="S30" s="28"/>
      <c r="T30" s="91" t="str">
        <f t="shared" si="19"/>
        <v/>
      </c>
      <c r="U30" s="30">
        <f>IFERROR(VLOOKUP(D30,'ASE Target (Spares), FY 21-22'!$C$5:$M$39,11,0),"")</f>
        <v>0</v>
      </c>
      <c r="V30" s="30"/>
      <c r="W30" s="72" t="str">
        <f t="shared" si="20"/>
        <v/>
      </c>
      <c r="X30" s="28">
        <f>IFERROR(VLOOKUP(D30,'ASE Target (Spares), FY 21-22'!$C$5:$N$39,12,0),"")</f>
        <v>0</v>
      </c>
      <c r="Y30" s="28"/>
      <c r="Z30" s="91" t="str">
        <f t="shared" si="21"/>
        <v/>
      </c>
      <c r="AA30" s="30">
        <f>IFERROR(VLOOKUP(D30,'ASE Target (Spares), FY 21-22'!$C$5:$O$39,13,0),"")</f>
        <v>0</v>
      </c>
      <c r="AB30" s="30"/>
      <c r="AC30" s="72" t="str">
        <f t="shared" si="22"/>
        <v/>
      </c>
      <c r="AD30" s="28">
        <f>IFERROR(VLOOKUP(D30,'ASE Target (Spares), FY 21-22'!$C$5:$P$39,14,0),"")</f>
        <v>0</v>
      </c>
      <c r="AE30" s="28"/>
      <c r="AF30" s="28" t="str">
        <f t="shared" si="23"/>
        <v/>
      </c>
      <c r="AG30" s="30">
        <f>IFERROR(VLOOKUP(D30,'ASE Target (Spares), FY 21-22'!$C$5:$Q$39,15,0),"")</f>
        <v>0</v>
      </c>
      <c r="AH30" s="30"/>
      <c r="AI30" s="72" t="str">
        <f t="shared" si="24"/>
        <v/>
      </c>
      <c r="AJ30" s="28">
        <f>IFERROR(VLOOKUP(D30,'ASE Target (Spares), FY 21-22'!$C$5:$R$39,16,0),"")</f>
        <v>0</v>
      </c>
      <c r="AK30" s="28"/>
      <c r="AL30" s="91" t="str">
        <f t="shared" si="25"/>
        <v/>
      </c>
      <c r="AM30" s="30">
        <f>IFERROR(VLOOKUP(D30,'ASE Target (Spares), FY 21-22'!$C$5:$S$39,17,0),"")</f>
        <v>0</v>
      </c>
      <c r="AN30" s="30"/>
      <c r="AO30" s="72" t="str">
        <f t="shared" si="26"/>
        <v/>
      </c>
      <c r="AP30" s="32">
        <f t="shared" si="27"/>
        <v>0</v>
      </c>
      <c r="AQ30" s="32">
        <f t="shared" si="28"/>
        <v>0</v>
      </c>
      <c r="AR30" s="94" t="str">
        <f t="shared" si="29"/>
        <v/>
      </c>
    </row>
    <row r="31" spans="2:44" x14ac:dyDescent="0.25">
      <c r="C31" s="25" t="str">
        <f>IF('ASE Target (Spares), FY 21-22'!B30=0,"",'ASE Target (Spares), FY 21-22'!B30)</f>
        <v>CTG</v>
      </c>
      <c r="D31" s="16" t="str">
        <f>IF('ASE Target (Spares), FY 21-22'!C30=0,"",'ASE Target (Spares), FY 21-22'!C30)</f>
        <v xml:space="preserve">Sumon Sen </v>
      </c>
      <c r="E31" s="26" t="str">
        <f>IF('ASE Target (Spares), FY 21-22'!D30=0,"",'ASE Target (Spares), FY 21-22'!D30)</f>
        <v>8041</v>
      </c>
      <c r="F31" s="28">
        <f>IFERROR(VLOOKUP(D31,'ASE Target (Spares), FY 21-22'!$C$5:$H$39,6,0),"")</f>
        <v>0</v>
      </c>
      <c r="G31" s="28"/>
      <c r="H31" s="91" t="str">
        <f t="shared" si="15"/>
        <v/>
      </c>
      <c r="I31" s="30">
        <f>IFERROR(VLOOKUP(D31,'ASE Target (Spares), FY 21-22'!$C$5:$I$39,7,0),"")</f>
        <v>0</v>
      </c>
      <c r="J31" s="30"/>
      <c r="K31" s="72" t="str">
        <f t="shared" si="16"/>
        <v/>
      </c>
      <c r="L31" s="28">
        <f>IFERROR(VLOOKUP(D31,'ASE Target (Spares), FY 21-22'!$C$5:$J$39,8,0),"")</f>
        <v>0</v>
      </c>
      <c r="M31" s="28"/>
      <c r="N31" s="91" t="str">
        <f t="shared" si="17"/>
        <v/>
      </c>
      <c r="O31" s="30">
        <f>IFERROR(VLOOKUP(D31,'ASE Target (Spares), FY 21-22'!$C$5:$K$39,9,0),"")</f>
        <v>0</v>
      </c>
      <c r="P31" s="30"/>
      <c r="Q31" s="72" t="str">
        <f t="shared" si="18"/>
        <v/>
      </c>
      <c r="R31" s="28">
        <f>IFERROR(VLOOKUP(D31,'ASE Target (Spares), FY 21-22'!$C$5:$L$39,10,0),"")</f>
        <v>0</v>
      </c>
      <c r="S31" s="28"/>
      <c r="T31" s="91" t="str">
        <f t="shared" si="19"/>
        <v/>
      </c>
      <c r="U31" s="30">
        <f>IFERROR(VLOOKUP(D31,'ASE Target (Spares), FY 21-22'!$C$5:$M$39,11,0),"")</f>
        <v>0</v>
      </c>
      <c r="V31" s="30"/>
      <c r="W31" s="72" t="str">
        <f t="shared" si="20"/>
        <v/>
      </c>
      <c r="X31" s="28">
        <f>IFERROR(VLOOKUP(D31,'ASE Target (Spares), FY 21-22'!$C$5:$N$39,12,0),"")</f>
        <v>0</v>
      </c>
      <c r="Y31" s="28"/>
      <c r="Z31" s="91" t="str">
        <f t="shared" si="21"/>
        <v/>
      </c>
      <c r="AA31" s="30">
        <f>IFERROR(VLOOKUP(D31,'ASE Target (Spares), FY 21-22'!$C$5:$O$39,13,0),"")</f>
        <v>450000</v>
      </c>
      <c r="AB31" s="30"/>
      <c r="AC31" s="72">
        <f t="shared" si="22"/>
        <v>0</v>
      </c>
      <c r="AD31" s="28">
        <f>IFERROR(VLOOKUP(D31,'ASE Target (Spares), FY 21-22'!$C$5:$P$39,14,0),"")</f>
        <v>450000</v>
      </c>
      <c r="AE31" s="28"/>
      <c r="AF31" s="28">
        <f t="shared" si="23"/>
        <v>0</v>
      </c>
      <c r="AG31" s="30">
        <f>IFERROR(VLOOKUP(D31,'ASE Target (Spares), FY 21-22'!$C$5:$Q$39,15,0),"")</f>
        <v>450000</v>
      </c>
      <c r="AH31" s="30"/>
      <c r="AI31" s="72">
        <f t="shared" si="24"/>
        <v>0</v>
      </c>
      <c r="AJ31" s="28">
        <f>IFERROR(VLOOKUP(D31,'ASE Target (Spares), FY 21-22'!$C$5:$R$39,16,0),"")</f>
        <v>450000</v>
      </c>
      <c r="AK31" s="28"/>
      <c r="AL31" s="91">
        <f t="shared" si="25"/>
        <v>0</v>
      </c>
      <c r="AM31" s="30">
        <f>IFERROR(VLOOKUP(D31,'ASE Target (Spares), FY 21-22'!$C$5:$S$39,17,0),"")</f>
        <v>450000</v>
      </c>
      <c r="AN31" s="30"/>
      <c r="AO31" s="72">
        <f t="shared" si="26"/>
        <v>0</v>
      </c>
      <c r="AP31" s="32">
        <f t="shared" si="27"/>
        <v>2250000</v>
      </c>
      <c r="AQ31" s="32">
        <f t="shared" si="28"/>
        <v>0</v>
      </c>
      <c r="AR31" s="94">
        <f t="shared" si="29"/>
        <v>0</v>
      </c>
    </row>
    <row r="32" spans="2:44" x14ac:dyDescent="0.25">
      <c r="C32" s="25" t="str">
        <f>IF('ASE Target (Spares), FY 21-22'!B31=0,"",'ASE Target (Spares), FY 21-22'!B31)</f>
        <v>CTG</v>
      </c>
      <c r="D32" s="16" t="str">
        <f>IF('ASE Target (Spares), FY 21-22'!C31=0,"",'ASE Target (Spares), FY 21-22'!C31)</f>
        <v>Tapan Barua</v>
      </c>
      <c r="E32" s="26" t="str">
        <f>IF('ASE Target (Spares), FY 21-22'!D31=0,"",'ASE Target (Spares), FY 21-22'!D31)</f>
        <v>1475</v>
      </c>
      <c r="F32" s="28">
        <f>IFERROR(VLOOKUP(D32,'ASE Target (Spares), FY 21-22'!$C$5:$H$39,6,0),"")</f>
        <v>0</v>
      </c>
      <c r="G32" s="28"/>
      <c r="H32" s="91" t="str">
        <f t="shared" si="15"/>
        <v/>
      </c>
      <c r="I32" s="30">
        <f>IFERROR(VLOOKUP(D32,'ASE Target (Spares), FY 21-22'!$C$5:$I$39,7,0),"")</f>
        <v>0</v>
      </c>
      <c r="J32" s="30"/>
      <c r="K32" s="72" t="str">
        <f t="shared" si="16"/>
        <v/>
      </c>
      <c r="L32" s="28">
        <f>IFERROR(VLOOKUP(D32,'ASE Target (Spares), FY 21-22'!$C$5:$J$39,8,0),"")</f>
        <v>0</v>
      </c>
      <c r="M32" s="28"/>
      <c r="N32" s="91" t="str">
        <f t="shared" si="17"/>
        <v/>
      </c>
      <c r="O32" s="30">
        <f>IFERROR(VLOOKUP(D32,'ASE Target (Spares), FY 21-22'!$C$5:$K$39,9,0),"")</f>
        <v>0</v>
      </c>
      <c r="P32" s="30"/>
      <c r="Q32" s="72" t="str">
        <f t="shared" si="18"/>
        <v/>
      </c>
      <c r="R32" s="28">
        <f>IFERROR(VLOOKUP(D32,'ASE Target (Spares), FY 21-22'!$C$5:$L$39,10,0),"")</f>
        <v>0</v>
      </c>
      <c r="S32" s="28"/>
      <c r="T32" s="91" t="str">
        <f t="shared" si="19"/>
        <v/>
      </c>
      <c r="U32" s="30">
        <f>IFERROR(VLOOKUP(D32,'ASE Target (Spares), FY 21-22'!$C$5:$M$39,11,0),"")</f>
        <v>0</v>
      </c>
      <c r="V32" s="30"/>
      <c r="W32" s="72" t="str">
        <f t="shared" si="20"/>
        <v/>
      </c>
      <c r="X32" s="28">
        <f>IFERROR(VLOOKUP(D32,'ASE Target (Spares), FY 21-22'!$C$5:$N$39,12,0),"")</f>
        <v>0</v>
      </c>
      <c r="Y32" s="28"/>
      <c r="Z32" s="91" t="str">
        <f t="shared" si="21"/>
        <v/>
      </c>
      <c r="AA32" s="30">
        <f>IFERROR(VLOOKUP(D32,'ASE Target (Spares), FY 21-22'!$C$5:$O$39,13,0),"")</f>
        <v>450000</v>
      </c>
      <c r="AB32" s="30"/>
      <c r="AC32" s="72">
        <f t="shared" si="22"/>
        <v>0</v>
      </c>
      <c r="AD32" s="28">
        <f>IFERROR(VLOOKUP(D32,'ASE Target (Spares), FY 21-22'!$C$5:$P$39,14,0),"")</f>
        <v>450000</v>
      </c>
      <c r="AE32" s="28"/>
      <c r="AF32" s="28">
        <f t="shared" si="23"/>
        <v>0</v>
      </c>
      <c r="AG32" s="30">
        <f>IFERROR(VLOOKUP(D32,'ASE Target (Spares), FY 21-22'!$C$5:$Q$39,15,0),"")</f>
        <v>450000</v>
      </c>
      <c r="AH32" s="30"/>
      <c r="AI32" s="72">
        <f t="shared" si="24"/>
        <v>0</v>
      </c>
      <c r="AJ32" s="28">
        <f>IFERROR(VLOOKUP(D32,'ASE Target (Spares), FY 21-22'!$C$5:$R$39,16,0),"")</f>
        <v>450000</v>
      </c>
      <c r="AK32" s="28"/>
      <c r="AL32" s="91">
        <f t="shared" si="25"/>
        <v>0</v>
      </c>
      <c r="AM32" s="30">
        <f>IFERROR(VLOOKUP(D32,'ASE Target (Spares), FY 21-22'!$C$5:$S$39,17,0),"")</f>
        <v>450000</v>
      </c>
      <c r="AN32" s="30"/>
      <c r="AO32" s="72">
        <f t="shared" si="26"/>
        <v>0</v>
      </c>
      <c r="AP32" s="32">
        <f t="shared" si="27"/>
        <v>2250000</v>
      </c>
      <c r="AQ32" s="32">
        <f t="shared" si="28"/>
        <v>0</v>
      </c>
      <c r="AR32" s="94">
        <f t="shared" si="29"/>
        <v>0</v>
      </c>
    </row>
    <row r="33" spans="2:44" x14ac:dyDescent="0.25">
      <c r="C33" s="25" t="str">
        <f>IF('ASE Target (Spares), FY 21-22'!B32=0,"",'ASE Target (Spares), FY 21-22'!B32)</f>
        <v>CTG</v>
      </c>
      <c r="D33" s="16" t="str">
        <f>IF('ASE Target (Spares), FY 21-22'!C32=0,"",'ASE Target (Spares), FY 21-22'!C32)</f>
        <v>Sozol prince</v>
      </c>
      <c r="E33" s="26" t="str">
        <f>IF('ASE Target (Spares), FY 21-22'!D32=0,"",'ASE Target (Spares), FY 21-22'!D32)</f>
        <v>6076</v>
      </c>
      <c r="F33" s="28">
        <f>IFERROR(VLOOKUP(D33,'ASE Target (Spares), FY 21-22'!$C$5:$H$39,6,0),"")</f>
        <v>0</v>
      </c>
      <c r="G33" s="28"/>
      <c r="H33" s="91" t="str">
        <f t="shared" si="15"/>
        <v/>
      </c>
      <c r="I33" s="30">
        <f>IFERROR(VLOOKUP(D33,'ASE Target (Spares), FY 21-22'!$C$5:$I$39,7,0),"")</f>
        <v>0</v>
      </c>
      <c r="J33" s="30"/>
      <c r="K33" s="72" t="str">
        <f t="shared" si="16"/>
        <v/>
      </c>
      <c r="L33" s="28">
        <f>IFERROR(VLOOKUP(D33,'ASE Target (Spares), FY 21-22'!$C$5:$J$39,8,0),"")</f>
        <v>0</v>
      </c>
      <c r="M33" s="28"/>
      <c r="N33" s="91" t="str">
        <f t="shared" si="17"/>
        <v/>
      </c>
      <c r="O33" s="30">
        <f>IFERROR(VLOOKUP(D33,'ASE Target (Spares), FY 21-22'!$C$5:$K$39,9,0),"")</f>
        <v>0</v>
      </c>
      <c r="P33" s="30"/>
      <c r="Q33" s="72" t="str">
        <f t="shared" si="18"/>
        <v/>
      </c>
      <c r="R33" s="28">
        <f>IFERROR(VLOOKUP(D33,'ASE Target (Spares), FY 21-22'!$C$5:$L$39,10,0),"")</f>
        <v>0</v>
      </c>
      <c r="S33" s="28"/>
      <c r="T33" s="91" t="str">
        <f t="shared" si="19"/>
        <v/>
      </c>
      <c r="U33" s="30">
        <f>IFERROR(VLOOKUP(D33,'ASE Target (Spares), FY 21-22'!$C$5:$M$39,11,0),"")</f>
        <v>0</v>
      </c>
      <c r="V33" s="30"/>
      <c r="W33" s="72" t="str">
        <f t="shared" si="20"/>
        <v/>
      </c>
      <c r="X33" s="28">
        <f>IFERROR(VLOOKUP(D33,'ASE Target (Spares), FY 21-22'!$C$5:$N$39,12,0),"")</f>
        <v>0</v>
      </c>
      <c r="Y33" s="28"/>
      <c r="Z33" s="91" t="str">
        <f t="shared" si="21"/>
        <v/>
      </c>
      <c r="AA33" s="30">
        <f>IFERROR(VLOOKUP(D33,'ASE Target (Spares), FY 21-22'!$C$5:$O$39,13,0),"")</f>
        <v>450000</v>
      </c>
      <c r="AB33" s="30"/>
      <c r="AC33" s="72">
        <f t="shared" si="22"/>
        <v>0</v>
      </c>
      <c r="AD33" s="28">
        <f>IFERROR(VLOOKUP(D33,'ASE Target (Spares), FY 21-22'!$C$5:$P$39,14,0),"")</f>
        <v>450000</v>
      </c>
      <c r="AE33" s="28"/>
      <c r="AF33" s="28">
        <f t="shared" si="23"/>
        <v>0</v>
      </c>
      <c r="AG33" s="30">
        <f>IFERROR(VLOOKUP(D33,'ASE Target (Spares), FY 21-22'!$C$5:$Q$39,15,0),"")</f>
        <v>450000</v>
      </c>
      <c r="AH33" s="30"/>
      <c r="AI33" s="72">
        <f t="shared" si="24"/>
        <v>0</v>
      </c>
      <c r="AJ33" s="28">
        <f>IFERROR(VLOOKUP(D33,'ASE Target (Spares), FY 21-22'!$C$5:$R$39,16,0),"")</f>
        <v>450000</v>
      </c>
      <c r="AK33" s="28"/>
      <c r="AL33" s="91">
        <f t="shared" si="25"/>
        <v>0</v>
      </c>
      <c r="AM33" s="30">
        <f>IFERROR(VLOOKUP(D33,'ASE Target (Spares), FY 21-22'!$C$5:$S$39,17,0),"")</f>
        <v>450000</v>
      </c>
      <c r="AN33" s="30"/>
      <c r="AO33" s="72">
        <f t="shared" si="26"/>
        <v>0</v>
      </c>
      <c r="AP33" s="32">
        <f t="shared" si="27"/>
        <v>2250000</v>
      </c>
      <c r="AQ33" s="32">
        <f t="shared" si="28"/>
        <v>0</v>
      </c>
      <c r="AR33" s="94">
        <f t="shared" si="29"/>
        <v>0</v>
      </c>
    </row>
    <row r="34" spans="2:44" x14ac:dyDescent="0.25">
      <c r="C34" s="25" t="str">
        <f>IF('ASE Target (Spares), FY 21-22'!B33=0,"",'ASE Target (Spares), FY 21-22'!B33)</f>
        <v/>
      </c>
      <c r="D34" s="16" t="str">
        <f>IF('ASE Target (Spares), FY 21-22'!C33=0,"",'ASE Target (Spares), FY 21-22'!C33)</f>
        <v>New-5</v>
      </c>
      <c r="E34" s="26" t="str">
        <f>IF('ASE Target (Spares), FY 21-22'!D33=0,"",'ASE Target (Spares), FY 21-22'!D33)</f>
        <v/>
      </c>
      <c r="F34" s="28">
        <f>IFERROR(VLOOKUP(D34,'ASE Target (Spares), FY 21-22'!$C$5:$H$39,6,0),"")</f>
        <v>0</v>
      </c>
      <c r="G34" s="28"/>
      <c r="H34" s="91" t="str">
        <f t="shared" si="15"/>
        <v/>
      </c>
      <c r="I34" s="30">
        <f>IFERROR(VLOOKUP(D34,'ASE Target (Spares), FY 21-22'!$C$5:$I$39,7,0),"")</f>
        <v>0</v>
      </c>
      <c r="J34" s="30"/>
      <c r="K34" s="72" t="str">
        <f t="shared" si="16"/>
        <v/>
      </c>
      <c r="L34" s="28">
        <f>IFERROR(VLOOKUP(D34,'ASE Target (Spares), FY 21-22'!$C$5:$J$39,8,0),"")</f>
        <v>0</v>
      </c>
      <c r="M34" s="28"/>
      <c r="N34" s="91" t="str">
        <f t="shared" si="17"/>
        <v/>
      </c>
      <c r="O34" s="30">
        <f>IFERROR(VLOOKUP(D34,'ASE Target (Spares), FY 21-22'!$C$5:$K$39,9,0),"")</f>
        <v>0</v>
      </c>
      <c r="P34" s="30"/>
      <c r="Q34" s="72" t="str">
        <f t="shared" si="18"/>
        <v/>
      </c>
      <c r="R34" s="28">
        <f>IFERROR(VLOOKUP(D34,'ASE Target (Spares), FY 21-22'!$C$5:$L$39,10,0),"")</f>
        <v>0</v>
      </c>
      <c r="S34" s="28"/>
      <c r="T34" s="91" t="str">
        <f t="shared" si="19"/>
        <v/>
      </c>
      <c r="U34" s="30">
        <f>IFERROR(VLOOKUP(D34,'ASE Target (Spares), FY 21-22'!$C$5:$M$39,11,0),"")</f>
        <v>0</v>
      </c>
      <c r="V34" s="30"/>
      <c r="W34" s="72" t="str">
        <f t="shared" si="20"/>
        <v/>
      </c>
      <c r="X34" s="28">
        <f>IFERROR(VLOOKUP(D34,'ASE Target (Spares), FY 21-22'!$C$5:$N$39,12,0),"")</f>
        <v>0</v>
      </c>
      <c r="Y34" s="28"/>
      <c r="Z34" s="91" t="str">
        <f t="shared" si="21"/>
        <v/>
      </c>
      <c r="AA34" s="30">
        <f>IFERROR(VLOOKUP(D34,'ASE Target (Spares), FY 21-22'!$C$5:$O$39,13,0),"")</f>
        <v>0</v>
      </c>
      <c r="AB34" s="30"/>
      <c r="AC34" s="72" t="str">
        <f t="shared" si="22"/>
        <v/>
      </c>
      <c r="AD34" s="28">
        <f>IFERROR(VLOOKUP(D34,'ASE Target (Spares), FY 21-22'!$C$5:$P$39,14,0),"")</f>
        <v>0</v>
      </c>
      <c r="AE34" s="28"/>
      <c r="AF34" s="28" t="str">
        <f t="shared" si="23"/>
        <v/>
      </c>
      <c r="AG34" s="30">
        <f>IFERROR(VLOOKUP(D34,'ASE Target (Spares), FY 21-22'!$C$5:$Q$39,15,0),"")</f>
        <v>0</v>
      </c>
      <c r="AH34" s="30"/>
      <c r="AI34" s="72" t="str">
        <f t="shared" si="24"/>
        <v/>
      </c>
      <c r="AJ34" s="28">
        <f>IFERROR(VLOOKUP(D34,'ASE Target (Spares), FY 21-22'!$C$5:$R$39,16,0),"")</f>
        <v>0</v>
      </c>
      <c r="AK34" s="28"/>
      <c r="AL34" s="91" t="str">
        <f t="shared" si="25"/>
        <v/>
      </c>
      <c r="AM34" s="30">
        <f>IFERROR(VLOOKUP(D34,'ASE Target (Spares), FY 21-22'!$C$5:$S$39,17,0),"")</f>
        <v>0</v>
      </c>
      <c r="AN34" s="30"/>
      <c r="AO34" s="72" t="str">
        <f t="shared" si="26"/>
        <v/>
      </c>
      <c r="AP34" s="32">
        <f t="shared" si="27"/>
        <v>0</v>
      </c>
      <c r="AQ34" s="32">
        <f t="shared" si="28"/>
        <v>0</v>
      </c>
      <c r="AR34" s="94" t="str">
        <f t="shared" si="29"/>
        <v/>
      </c>
    </row>
    <row r="35" spans="2:44" x14ac:dyDescent="0.25">
      <c r="C35" s="25" t="str">
        <f>IF('ASE Target (Spares), FY 21-22'!B34=0,"",'ASE Target (Spares), FY 21-22'!B34)</f>
        <v/>
      </c>
      <c r="D35" s="16" t="str">
        <f>IF('ASE Target (Spares), FY 21-22'!C34=0,"",'ASE Target (Spares), FY 21-22'!C34)</f>
        <v>New-6</v>
      </c>
      <c r="E35" s="26" t="str">
        <f>IF('ASE Target (Spares), FY 21-22'!D34=0,"",'ASE Target (Spares), FY 21-22'!D34)</f>
        <v/>
      </c>
      <c r="F35" s="28">
        <f>IFERROR(VLOOKUP(D35,'ASE Target (Spares), FY 21-22'!$C$5:$H$39,6,0),"")</f>
        <v>0</v>
      </c>
      <c r="G35" s="28"/>
      <c r="H35" s="91" t="str">
        <f t="shared" si="15"/>
        <v/>
      </c>
      <c r="I35" s="30">
        <f>IFERROR(VLOOKUP(D35,'ASE Target (Spares), FY 21-22'!$C$5:$I$39,7,0),"")</f>
        <v>0</v>
      </c>
      <c r="J35" s="30"/>
      <c r="K35" s="72" t="str">
        <f t="shared" si="16"/>
        <v/>
      </c>
      <c r="L35" s="28">
        <f>IFERROR(VLOOKUP(D35,'ASE Target (Spares), FY 21-22'!$C$5:$J$39,8,0),"")</f>
        <v>0</v>
      </c>
      <c r="M35" s="28"/>
      <c r="N35" s="91" t="str">
        <f t="shared" si="17"/>
        <v/>
      </c>
      <c r="O35" s="30">
        <f>IFERROR(VLOOKUP(D35,'ASE Target (Spares), FY 21-22'!$C$5:$K$39,9,0),"")</f>
        <v>0</v>
      </c>
      <c r="P35" s="30"/>
      <c r="Q35" s="72" t="str">
        <f t="shared" si="18"/>
        <v/>
      </c>
      <c r="R35" s="28">
        <f>IFERROR(VLOOKUP(D35,'ASE Target (Spares), FY 21-22'!$C$5:$L$39,10,0),"")</f>
        <v>0</v>
      </c>
      <c r="S35" s="28"/>
      <c r="T35" s="91" t="str">
        <f t="shared" si="19"/>
        <v/>
      </c>
      <c r="U35" s="30">
        <f>IFERROR(VLOOKUP(D35,'ASE Target (Spares), FY 21-22'!$C$5:$M$39,11,0),"")</f>
        <v>0</v>
      </c>
      <c r="V35" s="30"/>
      <c r="W35" s="72" t="str">
        <f t="shared" si="20"/>
        <v/>
      </c>
      <c r="X35" s="28">
        <f>IFERROR(VLOOKUP(D35,'ASE Target (Spares), FY 21-22'!$C$5:$N$39,12,0),"")</f>
        <v>0</v>
      </c>
      <c r="Y35" s="28"/>
      <c r="Z35" s="91" t="str">
        <f t="shared" si="21"/>
        <v/>
      </c>
      <c r="AA35" s="30">
        <f>IFERROR(VLOOKUP(D35,'ASE Target (Spares), FY 21-22'!$C$5:$O$39,13,0),"")</f>
        <v>0</v>
      </c>
      <c r="AB35" s="30"/>
      <c r="AC35" s="72" t="str">
        <f t="shared" si="22"/>
        <v/>
      </c>
      <c r="AD35" s="28">
        <f>IFERROR(VLOOKUP(D35,'ASE Target (Spares), FY 21-22'!$C$5:$P$39,14,0),"")</f>
        <v>0</v>
      </c>
      <c r="AE35" s="28"/>
      <c r="AF35" s="28" t="str">
        <f t="shared" si="23"/>
        <v/>
      </c>
      <c r="AG35" s="30">
        <f>IFERROR(VLOOKUP(D35,'ASE Target (Spares), FY 21-22'!$C$5:$Q$39,15,0),"")</f>
        <v>0</v>
      </c>
      <c r="AH35" s="30"/>
      <c r="AI35" s="72" t="str">
        <f t="shared" si="24"/>
        <v/>
      </c>
      <c r="AJ35" s="28">
        <f>IFERROR(VLOOKUP(D35,'ASE Target (Spares), FY 21-22'!$C$5:$R$39,16,0),"")</f>
        <v>0</v>
      </c>
      <c r="AK35" s="28"/>
      <c r="AL35" s="91" t="str">
        <f t="shared" si="25"/>
        <v/>
      </c>
      <c r="AM35" s="30">
        <f>IFERROR(VLOOKUP(D35,'ASE Target (Spares), FY 21-22'!$C$5:$S$39,17,0),"")</f>
        <v>0</v>
      </c>
      <c r="AN35" s="30"/>
      <c r="AO35" s="72" t="str">
        <f t="shared" si="26"/>
        <v/>
      </c>
      <c r="AP35" s="32">
        <f t="shared" si="27"/>
        <v>0</v>
      </c>
      <c r="AQ35" s="32">
        <f t="shared" si="28"/>
        <v>0</v>
      </c>
      <c r="AR35" s="94" t="str">
        <f t="shared" si="29"/>
        <v/>
      </c>
    </row>
    <row r="36" spans="2:44" x14ac:dyDescent="0.25">
      <c r="C36" s="25" t="str">
        <f>IF('ASE Target (Spares), FY 21-22'!B35=0,"",'ASE Target (Spares), FY 21-22'!B35)</f>
        <v/>
      </c>
      <c r="D36" s="16" t="str">
        <f>IF('ASE Target (Spares), FY 21-22'!C35=0,"",'ASE Target (Spares), FY 21-22'!C35)</f>
        <v/>
      </c>
      <c r="E36" s="26" t="str">
        <f>IF('ASE Target (Spares), FY 21-22'!D35=0,"",'ASE Target (Spares), FY 21-22'!D35)</f>
        <v/>
      </c>
      <c r="F36" s="28"/>
      <c r="G36" s="28"/>
      <c r="H36" s="91"/>
      <c r="I36" s="30"/>
      <c r="J36" s="30"/>
      <c r="K36" s="72"/>
      <c r="L36" s="28"/>
      <c r="M36" s="28"/>
      <c r="N36" s="91"/>
      <c r="O36" s="30"/>
      <c r="P36" s="30"/>
      <c r="Q36" s="72"/>
      <c r="R36" s="28"/>
      <c r="S36" s="28"/>
      <c r="T36" s="91"/>
      <c r="U36" s="30"/>
      <c r="V36" s="30"/>
      <c r="W36" s="72"/>
      <c r="X36" s="28"/>
      <c r="Y36" s="28"/>
      <c r="Z36" s="91"/>
      <c r="AA36" s="30"/>
      <c r="AB36" s="30"/>
      <c r="AC36" s="72"/>
      <c r="AD36" s="28"/>
      <c r="AE36" s="28"/>
      <c r="AF36" s="28"/>
      <c r="AG36" s="30"/>
      <c r="AH36" s="30"/>
      <c r="AI36" s="72"/>
      <c r="AJ36" s="28"/>
      <c r="AK36" s="28"/>
      <c r="AL36" s="91"/>
      <c r="AM36" s="30"/>
      <c r="AN36" s="30"/>
      <c r="AO36" s="72"/>
      <c r="AP36" s="32"/>
      <c r="AQ36" s="32"/>
      <c r="AR36" s="94"/>
    </row>
    <row r="37" spans="2:44" s="35" customFormat="1" x14ac:dyDescent="0.25">
      <c r="B37" s="34"/>
      <c r="D37" s="36"/>
      <c r="E37" s="34"/>
      <c r="F37" s="34"/>
      <c r="G37" s="34"/>
      <c r="H37" s="73"/>
      <c r="I37" s="34"/>
      <c r="J37" s="34"/>
      <c r="K37" s="73"/>
      <c r="L37" s="34"/>
      <c r="M37" s="34"/>
      <c r="N37" s="73"/>
      <c r="O37" s="34"/>
      <c r="P37" s="34"/>
      <c r="Q37" s="73"/>
      <c r="R37" s="34"/>
      <c r="S37" s="34"/>
      <c r="T37" s="73"/>
      <c r="U37" s="34"/>
      <c r="V37" s="34"/>
      <c r="W37" s="73"/>
      <c r="X37" s="34"/>
      <c r="Y37" s="34"/>
      <c r="Z37" s="73"/>
      <c r="AA37" s="34"/>
      <c r="AB37" s="34"/>
      <c r="AC37" s="73"/>
      <c r="AD37" s="34"/>
      <c r="AE37" s="34"/>
      <c r="AF37" s="34"/>
      <c r="AG37" s="34"/>
      <c r="AH37" s="34"/>
      <c r="AI37" s="73"/>
      <c r="AJ37" s="34"/>
      <c r="AK37" s="34"/>
      <c r="AL37" s="73"/>
      <c r="AM37" s="34"/>
      <c r="AN37" s="34"/>
      <c r="AO37" s="73"/>
      <c r="AP37" s="34"/>
      <c r="AQ37" s="34"/>
      <c r="AR37" s="73"/>
    </row>
    <row r="39" spans="2:44" s="123" customFormat="1" ht="18.75" x14ac:dyDescent="0.25">
      <c r="B39" s="200" t="s">
        <v>100</v>
      </c>
      <c r="C39" s="201"/>
      <c r="D39" s="201"/>
      <c r="E39" s="202"/>
      <c r="F39" s="121"/>
      <c r="G39" s="118" t="s">
        <v>147</v>
      </c>
      <c r="H39" s="122"/>
      <c r="I39" s="121"/>
      <c r="J39" s="118" t="s">
        <v>147</v>
      </c>
      <c r="K39" s="122"/>
      <c r="L39" s="121"/>
      <c r="M39" s="118" t="s">
        <v>147</v>
      </c>
      <c r="N39" s="122"/>
      <c r="O39" s="121"/>
      <c r="P39" s="118" t="s">
        <v>147</v>
      </c>
      <c r="Q39" s="122"/>
      <c r="R39" s="121"/>
      <c r="S39" s="118" t="s">
        <v>147</v>
      </c>
      <c r="T39" s="122"/>
      <c r="U39" s="121"/>
      <c r="V39" s="118" t="s">
        <v>147</v>
      </c>
      <c r="W39" s="122"/>
      <c r="X39" s="121"/>
      <c r="Y39" s="118" t="s">
        <v>147</v>
      </c>
      <c r="Z39" s="122"/>
      <c r="AA39" s="121"/>
      <c r="AB39" s="118" t="s">
        <v>147</v>
      </c>
      <c r="AC39" s="122"/>
      <c r="AD39" s="121"/>
      <c r="AE39" s="118" t="s">
        <v>147</v>
      </c>
      <c r="AF39" s="121"/>
      <c r="AG39" s="121"/>
      <c r="AH39" s="118" t="s">
        <v>147</v>
      </c>
      <c r="AI39" s="122"/>
      <c r="AJ39" s="121"/>
      <c r="AK39" s="118" t="s">
        <v>147</v>
      </c>
      <c r="AL39" s="122"/>
      <c r="AM39" s="121"/>
      <c r="AN39" s="118" t="s">
        <v>147</v>
      </c>
      <c r="AO39" s="122"/>
      <c r="AP39" s="121"/>
      <c r="AQ39" s="118"/>
      <c r="AR39" s="122"/>
    </row>
    <row r="40" spans="2:44" s="12" customFormat="1" x14ac:dyDescent="0.25">
      <c r="B40" s="196" t="str">
        <f>B5</f>
        <v>Sl.</v>
      </c>
      <c r="C40" s="198" t="str">
        <f>C5</f>
        <v>Wing</v>
      </c>
      <c r="D40" s="198" t="str">
        <f>D5</f>
        <v>Name</v>
      </c>
      <c r="E40" s="196" t="str">
        <f>E5</f>
        <v>ID</v>
      </c>
      <c r="F40" s="193" t="s">
        <v>47</v>
      </c>
      <c r="G40" s="194"/>
      <c r="H40" s="195"/>
      <c r="I40" s="190" t="s">
        <v>48</v>
      </c>
      <c r="J40" s="191"/>
      <c r="K40" s="192"/>
      <c r="L40" s="193" t="s">
        <v>49</v>
      </c>
      <c r="M40" s="194"/>
      <c r="N40" s="195"/>
      <c r="O40" s="190" t="s">
        <v>50</v>
      </c>
      <c r="P40" s="191"/>
      <c r="Q40" s="192"/>
      <c r="R40" s="193" t="s">
        <v>51</v>
      </c>
      <c r="S40" s="194"/>
      <c r="T40" s="195"/>
      <c r="U40" s="190" t="s">
        <v>52</v>
      </c>
      <c r="V40" s="191"/>
      <c r="W40" s="192"/>
      <c r="X40" s="193" t="s">
        <v>53</v>
      </c>
      <c r="Y40" s="194"/>
      <c r="Z40" s="195"/>
      <c r="AA40" s="190" t="s">
        <v>54</v>
      </c>
      <c r="AB40" s="191"/>
      <c r="AC40" s="192"/>
      <c r="AD40" s="193" t="s">
        <v>55</v>
      </c>
      <c r="AE40" s="194"/>
      <c r="AF40" s="195"/>
      <c r="AG40" s="190" t="s">
        <v>56</v>
      </c>
      <c r="AH40" s="191"/>
      <c r="AI40" s="192"/>
      <c r="AJ40" s="193" t="s">
        <v>57</v>
      </c>
      <c r="AK40" s="194"/>
      <c r="AL40" s="195"/>
      <c r="AM40" s="190" t="s">
        <v>58</v>
      </c>
      <c r="AN40" s="191"/>
      <c r="AO40" s="192"/>
      <c r="AP40" s="187" t="s">
        <v>91</v>
      </c>
      <c r="AQ40" s="188"/>
      <c r="AR40" s="189"/>
    </row>
    <row r="41" spans="2:44" s="13" customFormat="1" x14ac:dyDescent="0.25">
      <c r="B41" s="197"/>
      <c r="C41" s="199"/>
      <c r="D41" s="199"/>
      <c r="E41" s="197"/>
      <c r="F41" s="27" t="s">
        <v>79</v>
      </c>
      <c r="G41" s="27" t="s">
        <v>80</v>
      </c>
      <c r="H41" s="92" t="s">
        <v>81</v>
      </c>
      <c r="I41" s="29" t="s">
        <v>79</v>
      </c>
      <c r="J41" s="29" t="s">
        <v>80</v>
      </c>
      <c r="K41" s="71" t="s">
        <v>81</v>
      </c>
      <c r="L41" s="27" t="s">
        <v>79</v>
      </c>
      <c r="M41" s="27" t="s">
        <v>80</v>
      </c>
      <c r="N41" s="92" t="s">
        <v>81</v>
      </c>
      <c r="O41" s="29" t="s">
        <v>79</v>
      </c>
      <c r="P41" s="29" t="s">
        <v>80</v>
      </c>
      <c r="Q41" s="71" t="s">
        <v>81</v>
      </c>
      <c r="R41" s="27" t="s">
        <v>79</v>
      </c>
      <c r="S41" s="27" t="s">
        <v>80</v>
      </c>
      <c r="T41" s="92" t="s">
        <v>81</v>
      </c>
      <c r="U41" s="29" t="s">
        <v>79</v>
      </c>
      <c r="V41" s="29" t="s">
        <v>80</v>
      </c>
      <c r="W41" s="71" t="s">
        <v>81</v>
      </c>
      <c r="X41" s="27" t="s">
        <v>79</v>
      </c>
      <c r="Y41" s="27" t="s">
        <v>80</v>
      </c>
      <c r="Z41" s="92" t="s">
        <v>81</v>
      </c>
      <c r="AA41" s="29" t="s">
        <v>79</v>
      </c>
      <c r="AB41" s="29" t="s">
        <v>80</v>
      </c>
      <c r="AC41" s="71" t="s">
        <v>81</v>
      </c>
      <c r="AD41" s="27" t="s">
        <v>79</v>
      </c>
      <c r="AE41" s="27" t="s">
        <v>80</v>
      </c>
      <c r="AF41" s="27" t="s">
        <v>81</v>
      </c>
      <c r="AG41" s="29" t="s">
        <v>79</v>
      </c>
      <c r="AH41" s="29" t="s">
        <v>80</v>
      </c>
      <c r="AI41" s="71" t="s">
        <v>81</v>
      </c>
      <c r="AJ41" s="27" t="s">
        <v>79</v>
      </c>
      <c r="AK41" s="27" t="s">
        <v>80</v>
      </c>
      <c r="AL41" s="92" t="s">
        <v>81</v>
      </c>
      <c r="AM41" s="29" t="s">
        <v>79</v>
      </c>
      <c r="AN41" s="29" t="s">
        <v>80</v>
      </c>
      <c r="AO41" s="71" t="s">
        <v>81</v>
      </c>
      <c r="AP41" s="31" t="s">
        <v>79</v>
      </c>
      <c r="AQ41" s="31" t="s">
        <v>80</v>
      </c>
      <c r="AR41" s="93" t="s">
        <v>81</v>
      </c>
    </row>
    <row r="42" spans="2:44" x14ac:dyDescent="0.25">
      <c r="B42" s="15">
        <f t="shared" ref="B42:B59" si="30">B7</f>
        <v>1</v>
      </c>
      <c r="C42" s="25" t="str">
        <f>IF(C7=0,"",C7)</f>
        <v>DSL-DHK</v>
      </c>
      <c r="D42" s="25" t="str">
        <f>IF(D7=0,"",D7)</f>
        <v xml:space="preserve">Md. Shohidul </v>
      </c>
      <c r="E42" s="26">
        <f>IF(E7=0,"",E7)</f>
        <v>1418</v>
      </c>
      <c r="F42" s="28">
        <f>IFERROR(VLOOKUP(D42,'ASE Target (Spares), FY 21-22'!$C$40:$H$69,6,0),"")</f>
        <v>225000</v>
      </c>
      <c r="G42" s="28">
        <v>327024</v>
      </c>
      <c r="H42" s="91">
        <f>IFERROR(G42/F42,"")</f>
        <v>1.4534400000000001</v>
      </c>
      <c r="I42" s="30">
        <f>IFERROR(VLOOKUP(D42,'ASE Target (Spares), FY 21-22'!$C$40:$I$69,7,0),"")</f>
        <v>225000</v>
      </c>
      <c r="J42" s="30"/>
      <c r="K42" s="72">
        <f>IFERROR(J42/I42,"")</f>
        <v>0</v>
      </c>
      <c r="L42" s="28">
        <f>IFERROR(VLOOKUP(D42,'ASE Target (Spares), FY 21-22'!$C$40:$J$69,8,0),"")</f>
        <v>0</v>
      </c>
      <c r="M42" s="28"/>
      <c r="N42" s="91" t="str">
        <f>IFERROR(M42/L42,"")</f>
        <v/>
      </c>
      <c r="O42" s="30">
        <f>IFERROR(VLOOKUP(D42,'ASE Target (Spares), FY 21-22'!$C$40:$K$69,9,0),"")</f>
        <v>0</v>
      </c>
      <c r="P42" s="30"/>
      <c r="Q42" s="72" t="str">
        <f>IFERROR(P42/O42,"")</f>
        <v/>
      </c>
      <c r="R42" s="28">
        <f>IFERROR(VLOOKUP(D42,'ASE Target (Spares), FY 21-22'!$C$40:$L$69,10,0),"")</f>
        <v>0</v>
      </c>
      <c r="S42" s="28"/>
      <c r="T42" s="91" t="str">
        <f>IFERROR(S42/R42,"")</f>
        <v/>
      </c>
      <c r="U42" s="30">
        <f>IFERROR(VLOOKUP(D42,'ASE Target (Spares), FY 21-22'!$C$40:$M$69,11,0),"")</f>
        <v>0</v>
      </c>
      <c r="V42" s="30"/>
      <c r="W42" s="72" t="str">
        <f>IFERROR(V42/U42,"")</f>
        <v/>
      </c>
      <c r="X42" s="28">
        <f>IFERROR(VLOOKUP(D42,'ASE Target (Spares), FY 21-22'!$C$40:$N$69,12,0),"")</f>
        <v>0</v>
      </c>
      <c r="Y42" s="28"/>
      <c r="Z42" s="91" t="str">
        <f>IFERROR(Y42/X42,"")</f>
        <v/>
      </c>
      <c r="AA42" s="30">
        <f>IFERROR(VLOOKUP(D42,'ASE Target (Spares), FY 21-22'!$C$40:$O$69,13,0),"")</f>
        <v>270000</v>
      </c>
      <c r="AB42" s="30"/>
      <c r="AC42" s="72">
        <f>IFERROR(AB42/AA42,"")</f>
        <v>0</v>
      </c>
      <c r="AD42" s="28">
        <f>IFERROR(VLOOKUP(D42,'ASE Target (Spares), FY 21-22'!$C$40:$P$69,14,0),"")</f>
        <v>405000</v>
      </c>
      <c r="AE42" s="28"/>
      <c r="AF42" s="28">
        <f>IFERROR(AE42/AD42,"")</f>
        <v>0</v>
      </c>
      <c r="AG42" s="30">
        <f>IFERROR(VLOOKUP(D42,'ASE Target (Spares), FY 21-22'!$C$40:$Q$69,15,0),"")</f>
        <v>315000</v>
      </c>
      <c r="AH42" s="30"/>
      <c r="AI42" s="72">
        <f>IFERROR(AH42/AG42,"")</f>
        <v>0</v>
      </c>
      <c r="AJ42" s="28">
        <f>IFERROR(VLOOKUP(D42,'ASE Target (Spares), FY 21-22'!$C$40:$R$69,16,0),"")</f>
        <v>360000</v>
      </c>
      <c r="AK42" s="28"/>
      <c r="AL42" s="91">
        <f>IFERROR(AK42/AJ42,"")</f>
        <v>0</v>
      </c>
      <c r="AM42" s="30">
        <f>IFERROR(VLOOKUP(D42,'ASE Target (Spares), FY 21-22'!$C$40:$S$69,17,0),"")</f>
        <v>405000</v>
      </c>
      <c r="AN42" s="30">
        <v>524292</v>
      </c>
      <c r="AO42" s="72">
        <f>IFERROR(AN42/AM42,"")</f>
        <v>1.2945481481481482</v>
      </c>
      <c r="AP42" s="32">
        <f>IFERROR(F42+I42+L42+O42+R42+U42+X42+AA42+AD42+AG42+AJ42+AM42,"")</f>
        <v>2205000</v>
      </c>
      <c r="AQ42" s="32">
        <f>IFERROR(G42+J42+M42+P42+S42+V42+Y42+AB42+AE42+AH42+AK42+AN42,"")</f>
        <v>851316</v>
      </c>
      <c r="AR42" s="94">
        <f t="shared" ref="AR42" si="31">IFERROR(AQ42/AP42,"")</f>
        <v>0.38608435374149658</v>
      </c>
    </row>
    <row r="43" spans="2:44" x14ac:dyDescent="0.25">
      <c r="B43" s="15">
        <f t="shared" si="30"/>
        <v>2</v>
      </c>
      <c r="C43" s="25" t="str">
        <f t="shared" ref="C43:E43" si="32">IF(C8=0,"",C8)</f>
        <v>DSL-DHK</v>
      </c>
      <c r="D43" s="25" t="str">
        <f t="shared" si="32"/>
        <v>Sagar Chakrobarti</v>
      </c>
      <c r="E43" s="26">
        <f t="shared" si="32"/>
        <v>2701</v>
      </c>
      <c r="F43" s="28">
        <f>IFERROR(VLOOKUP(D43,'ASE Target (Spares), FY 21-22'!$C$40:$H$69,6,0),"")</f>
        <v>0</v>
      </c>
      <c r="G43" s="28"/>
      <c r="H43" s="91" t="str">
        <f t="shared" ref="H43:H71" si="33">IFERROR(G43/F43,"")</f>
        <v/>
      </c>
      <c r="I43" s="30">
        <f>IFERROR(VLOOKUP(D43,'ASE Target (Spares), FY 21-22'!$C$40:$I$69,7,0),"")</f>
        <v>0</v>
      </c>
      <c r="J43" s="30"/>
      <c r="K43" s="72" t="str">
        <f t="shared" ref="K43:K71" si="34">IFERROR(J43/I43,"")</f>
        <v/>
      </c>
      <c r="L43" s="28">
        <f>IFERROR(VLOOKUP(D43,'ASE Target (Spares), FY 21-22'!$C$40:$J$69,8,0),"")</f>
        <v>0</v>
      </c>
      <c r="M43" s="28"/>
      <c r="N43" s="91" t="str">
        <f t="shared" ref="N43:N71" si="35">IFERROR(M43/L43,"")</f>
        <v/>
      </c>
      <c r="O43" s="30">
        <f>IFERROR(VLOOKUP(D43,'ASE Target (Spares), FY 21-22'!$C$40:$K$69,9,0),"")</f>
        <v>0</v>
      </c>
      <c r="P43" s="30"/>
      <c r="Q43" s="72" t="str">
        <f t="shared" ref="Q43:Q71" si="36">IFERROR(P43/O43,"")</f>
        <v/>
      </c>
      <c r="R43" s="28">
        <f>IFERROR(VLOOKUP(D43,'ASE Target (Spares), FY 21-22'!$C$40:$L$69,10,0),"")</f>
        <v>0</v>
      </c>
      <c r="S43" s="28"/>
      <c r="T43" s="91" t="str">
        <f t="shared" ref="T43:T71" si="37">IFERROR(S43/R43,"")</f>
        <v/>
      </c>
      <c r="U43" s="30">
        <f>IFERROR(VLOOKUP(D43,'ASE Target (Spares), FY 21-22'!$C$40:$M$69,11,0),"")</f>
        <v>0</v>
      </c>
      <c r="V43" s="30"/>
      <c r="W43" s="72" t="str">
        <f t="shared" ref="W43:W71" si="38">IFERROR(V43/U43,"")</f>
        <v/>
      </c>
      <c r="X43" s="28">
        <f>IFERROR(VLOOKUP(D43,'ASE Target (Spares), FY 21-22'!$C$40:$N$69,12,0),"")</f>
        <v>0</v>
      </c>
      <c r="Y43" s="28"/>
      <c r="Z43" s="91" t="str">
        <f t="shared" ref="Z43:Z71" si="39">IFERROR(Y43/X43,"")</f>
        <v/>
      </c>
      <c r="AA43" s="30">
        <f>IFERROR(VLOOKUP(D43,'ASE Target (Spares), FY 21-22'!$C$40:$O$69,13,0),"")</f>
        <v>112500</v>
      </c>
      <c r="AB43" s="30"/>
      <c r="AC43" s="72">
        <f t="shared" ref="AC43:AC71" si="40">IFERROR(AB43/AA43,"")</f>
        <v>0</v>
      </c>
      <c r="AD43" s="28">
        <f>IFERROR(VLOOKUP(D43,'ASE Target (Spares), FY 21-22'!$C$40:$P$69,14,0),"")</f>
        <v>112500</v>
      </c>
      <c r="AE43" s="28"/>
      <c r="AF43" s="28">
        <f t="shared" ref="AF43:AF71" si="41">IFERROR(AE43/AD43,"")</f>
        <v>0</v>
      </c>
      <c r="AG43" s="30">
        <f>IFERROR(VLOOKUP(D43,'ASE Target (Spares), FY 21-22'!$C$40:$Q$69,15,0),"")</f>
        <v>0</v>
      </c>
      <c r="AH43" s="30"/>
      <c r="AI43" s="72" t="str">
        <f t="shared" ref="AI43:AI71" si="42">IFERROR(AH43/AG43,"")</f>
        <v/>
      </c>
      <c r="AJ43" s="28">
        <f>IFERROR(VLOOKUP(D43,'ASE Target (Spares), FY 21-22'!$C$40:$R$69,16,0),"")</f>
        <v>0</v>
      </c>
      <c r="AK43" s="28"/>
      <c r="AL43" s="91" t="str">
        <f t="shared" ref="AL43:AL71" si="43">IFERROR(AK43/AJ43,"")</f>
        <v/>
      </c>
      <c r="AM43" s="30">
        <f>IFERROR(VLOOKUP(D43,'ASE Target (Spares), FY 21-22'!$C$40:$S$69,17,0),"")</f>
        <v>0</v>
      </c>
      <c r="AN43" s="30"/>
      <c r="AO43" s="72" t="str">
        <f t="shared" ref="AO43:AO71" si="44">IFERROR(AN43/AM43,"")</f>
        <v/>
      </c>
      <c r="AP43" s="32">
        <f t="shared" ref="AP43:AP71" si="45">IFERROR(F43+I43+L43+O43+R43+U43+X43+AA43+AD43+AG43+AJ43+AM43,"")</f>
        <v>225000</v>
      </c>
      <c r="AQ43" s="32">
        <f t="shared" ref="AQ43:AQ71" si="46">IFERROR(G43+J43+M43+P43+S43+V43+Y43+AB43+AE43+AH43+AK43+AN43,"")</f>
        <v>0</v>
      </c>
      <c r="AR43" s="94">
        <f t="shared" ref="AR43:AR71" si="47">IFERROR(AQ43/AP43,"")</f>
        <v>0</v>
      </c>
    </row>
    <row r="44" spans="2:44" x14ac:dyDescent="0.25">
      <c r="B44" s="15">
        <f t="shared" si="30"/>
        <v>3</v>
      </c>
      <c r="C44" s="25" t="str">
        <f t="shared" ref="C44:E44" si="48">IF(C9=0,"",C9)</f>
        <v>DSL-DHK</v>
      </c>
      <c r="D44" s="25" t="str">
        <f t="shared" si="48"/>
        <v>Md. Minhazul Islam</v>
      </c>
      <c r="E44" s="26">
        <f t="shared" si="48"/>
        <v>2330</v>
      </c>
      <c r="F44" s="28">
        <f>IFERROR(VLOOKUP(D44,'ASE Target (Spares), FY 21-22'!$C$40:$H$69,6,0),"")</f>
        <v>0</v>
      </c>
      <c r="G44" s="28"/>
      <c r="H44" s="91" t="str">
        <f t="shared" si="33"/>
        <v/>
      </c>
      <c r="I44" s="30">
        <f>IFERROR(VLOOKUP(D44,'ASE Target (Spares), FY 21-22'!$C$40:$I$69,7,0),"")</f>
        <v>0</v>
      </c>
      <c r="J44" s="30"/>
      <c r="K44" s="72" t="str">
        <f t="shared" si="34"/>
        <v/>
      </c>
      <c r="L44" s="28">
        <f>IFERROR(VLOOKUP(D44,'ASE Target (Spares), FY 21-22'!$C$40:$J$69,8,0),"")</f>
        <v>0</v>
      </c>
      <c r="M44" s="28"/>
      <c r="N44" s="91" t="str">
        <f t="shared" si="35"/>
        <v/>
      </c>
      <c r="O44" s="30">
        <f>IFERROR(VLOOKUP(D44,'ASE Target (Spares), FY 21-22'!$C$40:$K$69,9,0),"")</f>
        <v>0</v>
      </c>
      <c r="P44" s="30"/>
      <c r="Q44" s="72" t="str">
        <f t="shared" si="36"/>
        <v/>
      </c>
      <c r="R44" s="28">
        <f>IFERROR(VLOOKUP(D44,'ASE Target (Spares), FY 21-22'!$C$40:$L$69,10,0),"")</f>
        <v>0</v>
      </c>
      <c r="S44" s="28"/>
      <c r="T44" s="91" t="str">
        <f t="shared" si="37"/>
        <v/>
      </c>
      <c r="U44" s="30">
        <f>IFERROR(VLOOKUP(D44,'ASE Target (Spares), FY 21-22'!$C$40:$M$69,11,0),"")</f>
        <v>0</v>
      </c>
      <c r="V44" s="30"/>
      <c r="W44" s="72" t="str">
        <f t="shared" si="38"/>
        <v/>
      </c>
      <c r="X44" s="28">
        <f>IFERROR(VLOOKUP(D44,'ASE Target (Spares), FY 21-22'!$C$40:$N$69,12,0),"")</f>
        <v>0</v>
      </c>
      <c r="Y44" s="28"/>
      <c r="Z44" s="91" t="str">
        <f t="shared" si="39"/>
        <v/>
      </c>
      <c r="AA44" s="30">
        <f>IFERROR(VLOOKUP(D44,'ASE Target (Spares), FY 21-22'!$C$40:$O$69,13,0),"")</f>
        <v>450000</v>
      </c>
      <c r="AB44" s="30"/>
      <c r="AC44" s="72">
        <f t="shared" si="40"/>
        <v>0</v>
      </c>
      <c r="AD44" s="28">
        <f>IFERROR(VLOOKUP(D44,'ASE Target (Spares), FY 21-22'!$C$40:$P$69,14,0),"")</f>
        <v>900000</v>
      </c>
      <c r="AE44" s="28"/>
      <c r="AF44" s="28">
        <f t="shared" si="41"/>
        <v>0</v>
      </c>
      <c r="AG44" s="30">
        <f>IFERROR(VLOOKUP(D44,'ASE Target (Spares), FY 21-22'!$C$40:$Q$69,15,0),"")</f>
        <v>450000</v>
      </c>
      <c r="AH44" s="30"/>
      <c r="AI44" s="72">
        <f t="shared" si="42"/>
        <v>0</v>
      </c>
      <c r="AJ44" s="28">
        <f>IFERROR(VLOOKUP(D44,'ASE Target (Spares), FY 21-22'!$C$40:$R$69,16,0),"")</f>
        <v>0</v>
      </c>
      <c r="AK44" s="28"/>
      <c r="AL44" s="91" t="str">
        <f t="shared" si="43"/>
        <v/>
      </c>
      <c r="AM44" s="30">
        <f>IFERROR(VLOOKUP(D44,'ASE Target (Spares), FY 21-22'!$C$40:$S$69,17,0),"")</f>
        <v>0</v>
      </c>
      <c r="AN44" s="30"/>
      <c r="AO44" s="72" t="str">
        <f t="shared" si="44"/>
        <v/>
      </c>
      <c r="AP44" s="32">
        <f t="shared" si="45"/>
        <v>1800000</v>
      </c>
      <c r="AQ44" s="32">
        <f t="shared" si="46"/>
        <v>0</v>
      </c>
      <c r="AR44" s="94">
        <f t="shared" si="47"/>
        <v>0</v>
      </c>
    </row>
    <row r="45" spans="2:44" x14ac:dyDescent="0.25">
      <c r="B45" s="15">
        <f t="shared" si="30"/>
        <v>4</v>
      </c>
      <c r="C45" s="25" t="str">
        <f t="shared" ref="C45:E45" si="49">IF(C10=0,"",C10)</f>
        <v>DSL-DHK</v>
      </c>
      <c r="D45" s="25" t="str">
        <f t="shared" si="49"/>
        <v>Md. Nazmul Hasan Titu</v>
      </c>
      <c r="E45" s="26">
        <f t="shared" si="49"/>
        <v>2913</v>
      </c>
      <c r="F45" s="28">
        <f>IFERROR(VLOOKUP(D45,'ASE Target (Spares), FY 21-22'!$C$40:$H$69,6,0),"")</f>
        <v>112500</v>
      </c>
      <c r="G45" s="28">
        <v>709063</v>
      </c>
      <c r="H45" s="91">
        <f t="shared" si="33"/>
        <v>6.3027822222222225</v>
      </c>
      <c r="I45" s="30">
        <f>IFERROR(VLOOKUP(D45,'ASE Target (Spares), FY 21-22'!$C$40:$I$69,7,0),"")</f>
        <v>112500</v>
      </c>
      <c r="J45" s="30"/>
      <c r="K45" s="72">
        <f t="shared" si="34"/>
        <v>0</v>
      </c>
      <c r="L45" s="28">
        <f>IFERROR(VLOOKUP(D45,'ASE Target (Spares), FY 21-22'!$C$40:$J$69,8,0),"")</f>
        <v>0</v>
      </c>
      <c r="M45" s="28"/>
      <c r="N45" s="91" t="str">
        <f t="shared" si="35"/>
        <v/>
      </c>
      <c r="O45" s="30">
        <f>IFERROR(VLOOKUP(D45,'ASE Target (Spares), FY 21-22'!$C$40:$K$69,9,0),"")</f>
        <v>0</v>
      </c>
      <c r="P45" s="30"/>
      <c r="Q45" s="72" t="str">
        <f t="shared" si="36"/>
        <v/>
      </c>
      <c r="R45" s="28">
        <f>IFERROR(VLOOKUP(D45,'ASE Target (Spares), FY 21-22'!$C$40:$L$69,10,0),"")</f>
        <v>0</v>
      </c>
      <c r="S45" s="28"/>
      <c r="T45" s="91" t="str">
        <f t="shared" si="37"/>
        <v/>
      </c>
      <c r="U45" s="30">
        <f>IFERROR(VLOOKUP(D45,'ASE Target (Spares), FY 21-22'!$C$40:$M$69,11,0),"")</f>
        <v>0</v>
      </c>
      <c r="V45" s="30"/>
      <c r="W45" s="72" t="str">
        <f t="shared" si="38"/>
        <v/>
      </c>
      <c r="X45" s="28">
        <f>IFERROR(VLOOKUP(D45,'ASE Target (Spares), FY 21-22'!$C$40:$N$69,12,0),"")</f>
        <v>0</v>
      </c>
      <c r="Y45" s="28"/>
      <c r="Z45" s="91" t="str">
        <f t="shared" si="39"/>
        <v/>
      </c>
      <c r="AA45" s="30">
        <f>IFERROR(VLOOKUP(D45,'ASE Target (Spares), FY 21-22'!$C$40:$O$69,13,0),"")</f>
        <v>112500</v>
      </c>
      <c r="AB45" s="30"/>
      <c r="AC45" s="72">
        <f t="shared" si="40"/>
        <v>0</v>
      </c>
      <c r="AD45" s="28">
        <f>IFERROR(VLOOKUP(D45,'ASE Target (Spares), FY 21-22'!$C$40:$P$69,14,0),"")</f>
        <v>225000</v>
      </c>
      <c r="AE45" s="28"/>
      <c r="AF45" s="28">
        <f t="shared" si="41"/>
        <v>0</v>
      </c>
      <c r="AG45" s="30">
        <f>IFERROR(VLOOKUP(D45,'ASE Target (Spares), FY 21-22'!$C$40:$Q$69,15,0),"")</f>
        <v>225000</v>
      </c>
      <c r="AH45" s="30"/>
      <c r="AI45" s="72">
        <f t="shared" si="42"/>
        <v>0</v>
      </c>
      <c r="AJ45" s="28">
        <f>IFERROR(VLOOKUP(D45,'ASE Target (Spares), FY 21-22'!$C$40:$R$69,16,0),"")</f>
        <v>225000</v>
      </c>
      <c r="AK45" s="28"/>
      <c r="AL45" s="91">
        <f t="shared" si="43"/>
        <v>0</v>
      </c>
      <c r="AM45" s="30">
        <f>IFERROR(VLOOKUP(D45,'ASE Target (Spares), FY 21-22'!$C$40:$S$69,17,0),"")</f>
        <v>225000</v>
      </c>
      <c r="AN45" s="30"/>
      <c r="AO45" s="72">
        <f t="shared" si="44"/>
        <v>0</v>
      </c>
      <c r="AP45" s="32">
        <f t="shared" si="45"/>
        <v>1237500</v>
      </c>
      <c r="AQ45" s="32">
        <f t="shared" si="46"/>
        <v>709063</v>
      </c>
      <c r="AR45" s="94">
        <f t="shared" si="47"/>
        <v>0.57298020202020206</v>
      </c>
    </row>
    <row r="46" spans="2:44" x14ac:dyDescent="0.25">
      <c r="B46" s="15">
        <f t="shared" si="30"/>
        <v>5</v>
      </c>
      <c r="C46" s="25" t="str">
        <f t="shared" ref="C46:E46" si="50">IF(C11=0,"",C11)</f>
        <v>DSL-DHK</v>
      </c>
      <c r="D46" s="25" t="str">
        <f t="shared" si="50"/>
        <v>Md. Zahirul Islam</v>
      </c>
      <c r="E46" s="26">
        <f t="shared" si="50"/>
        <v>2914</v>
      </c>
      <c r="F46" s="28">
        <f>IFERROR(VLOOKUP(D46,'ASE Target (Spares), FY 21-22'!$C$40:$H$69,6,0),"")</f>
        <v>450000</v>
      </c>
      <c r="G46" s="28">
        <v>764379</v>
      </c>
      <c r="H46" s="91">
        <f t="shared" si="33"/>
        <v>1.69862</v>
      </c>
      <c r="I46" s="30">
        <f>IFERROR(VLOOKUP(D46,'ASE Target (Spares), FY 21-22'!$C$40:$I$69,7,0),"")</f>
        <v>450000</v>
      </c>
      <c r="J46" s="30"/>
      <c r="K46" s="72">
        <f t="shared" si="34"/>
        <v>0</v>
      </c>
      <c r="L46" s="28">
        <f>IFERROR(VLOOKUP(D46,'ASE Target (Spares), FY 21-22'!$C$40:$J$69,8,0),"")</f>
        <v>0</v>
      </c>
      <c r="M46" s="28"/>
      <c r="N46" s="91" t="str">
        <f t="shared" si="35"/>
        <v/>
      </c>
      <c r="O46" s="30">
        <f>IFERROR(VLOOKUP(D46,'ASE Target (Spares), FY 21-22'!$C$40:$K$69,9,0),"")</f>
        <v>0</v>
      </c>
      <c r="P46" s="30"/>
      <c r="Q46" s="72" t="str">
        <f t="shared" si="36"/>
        <v/>
      </c>
      <c r="R46" s="28">
        <f>IFERROR(VLOOKUP(D46,'ASE Target (Spares), FY 21-22'!$C$40:$L$69,10,0),"")</f>
        <v>0</v>
      </c>
      <c r="S46" s="28"/>
      <c r="T46" s="91" t="str">
        <f t="shared" si="37"/>
        <v/>
      </c>
      <c r="U46" s="30">
        <f>IFERROR(VLOOKUP(D46,'ASE Target (Spares), FY 21-22'!$C$40:$M$69,11,0),"")</f>
        <v>0</v>
      </c>
      <c r="V46" s="30"/>
      <c r="W46" s="72" t="str">
        <f t="shared" si="38"/>
        <v/>
      </c>
      <c r="X46" s="28">
        <f>IFERROR(VLOOKUP(D46,'ASE Target (Spares), FY 21-22'!$C$40:$N$69,12,0),"")</f>
        <v>0</v>
      </c>
      <c r="Y46" s="28"/>
      <c r="Z46" s="91" t="str">
        <f t="shared" si="39"/>
        <v/>
      </c>
      <c r="AA46" s="30">
        <f>IFERROR(VLOOKUP(D46,'ASE Target (Spares), FY 21-22'!$C$40:$O$69,13,0),"")</f>
        <v>360000</v>
      </c>
      <c r="AB46" s="30"/>
      <c r="AC46" s="72">
        <f t="shared" si="40"/>
        <v>0</v>
      </c>
      <c r="AD46" s="28">
        <f>IFERROR(VLOOKUP(D46,'ASE Target (Spares), FY 21-22'!$C$40:$P$69,14,0),"")</f>
        <v>720000</v>
      </c>
      <c r="AE46" s="28"/>
      <c r="AF46" s="28">
        <f t="shared" si="41"/>
        <v>0</v>
      </c>
      <c r="AG46" s="30">
        <f>IFERROR(VLOOKUP(D46,'ASE Target (Spares), FY 21-22'!$C$40:$Q$69,15,0),"")</f>
        <v>810000</v>
      </c>
      <c r="AH46" s="30"/>
      <c r="AI46" s="72">
        <f t="shared" si="42"/>
        <v>0</v>
      </c>
      <c r="AJ46" s="28">
        <f>IFERROR(VLOOKUP(D46,'ASE Target (Spares), FY 21-22'!$C$40:$R$69,16,0),"")</f>
        <v>900000</v>
      </c>
      <c r="AK46" s="28"/>
      <c r="AL46" s="91">
        <f t="shared" si="43"/>
        <v>0</v>
      </c>
      <c r="AM46" s="30">
        <f>IFERROR(VLOOKUP(D46,'ASE Target (Spares), FY 21-22'!$C$40:$S$69,17,0),"")</f>
        <v>900000</v>
      </c>
      <c r="AN46" s="30">
        <v>379543</v>
      </c>
      <c r="AO46" s="72">
        <f t="shared" si="44"/>
        <v>0.42171444444444445</v>
      </c>
      <c r="AP46" s="32">
        <f t="shared" si="45"/>
        <v>4590000</v>
      </c>
      <c r="AQ46" s="32">
        <f t="shared" si="46"/>
        <v>1143922</v>
      </c>
      <c r="AR46" s="94">
        <f t="shared" si="47"/>
        <v>0.24922047930283225</v>
      </c>
    </row>
    <row r="47" spans="2:44" x14ac:dyDescent="0.25">
      <c r="B47" s="15">
        <f t="shared" si="30"/>
        <v>6</v>
      </c>
      <c r="C47" s="25" t="str">
        <f t="shared" ref="C47:E47" si="51">IF(C12=0,"",C12)</f>
        <v>DSL-DHK</v>
      </c>
      <c r="D47" s="25" t="str">
        <f t="shared" si="51"/>
        <v>Md. Rakibul Hasan</v>
      </c>
      <c r="E47" s="26">
        <f t="shared" si="51"/>
        <v>2927</v>
      </c>
      <c r="F47" s="28">
        <f>IFERROR(VLOOKUP(D47,'ASE Target (Spares), FY 21-22'!$C$40:$H$69,6,0),"")</f>
        <v>135000</v>
      </c>
      <c r="G47" s="28">
        <v>517716</v>
      </c>
      <c r="H47" s="91">
        <f t="shared" si="33"/>
        <v>3.8349333333333333</v>
      </c>
      <c r="I47" s="30">
        <f>IFERROR(VLOOKUP(D47,'ASE Target (Spares), FY 21-22'!$C$40:$I$69,7,0),"")</f>
        <v>135000</v>
      </c>
      <c r="J47" s="30"/>
      <c r="K47" s="72">
        <f t="shared" si="34"/>
        <v>0</v>
      </c>
      <c r="L47" s="28">
        <f>IFERROR(VLOOKUP(D47,'ASE Target (Spares), FY 21-22'!$C$40:$J$69,8,0),"")</f>
        <v>0</v>
      </c>
      <c r="M47" s="28"/>
      <c r="N47" s="91" t="str">
        <f t="shared" si="35"/>
        <v/>
      </c>
      <c r="O47" s="30">
        <f>IFERROR(VLOOKUP(D47,'ASE Target (Spares), FY 21-22'!$C$40:$K$69,9,0),"")</f>
        <v>0</v>
      </c>
      <c r="P47" s="30"/>
      <c r="Q47" s="72" t="str">
        <f t="shared" si="36"/>
        <v/>
      </c>
      <c r="R47" s="28">
        <f>IFERROR(VLOOKUP(D47,'ASE Target (Spares), FY 21-22'!$C$40:$L$69,10,0),"")</f>
        <v>0</v>
      </c>
      <c r="S47" s="28"/>
      <c r="T47" s="91" t="str">
        <f t="shared" si="37"/>
        <v/>
      </c>
      <c r="U47" s="30">
        <f>IFERROR(VLOOKUP(D47,'ASE Target (Spares), FY 21-22'!$C$40:$M$69,11,0),"")</f>
        <v>0</v>
      </c>
      <c r="V47" s="30"/>
      <c r="W47" s="72" t="str">
        <f t="shared" si="38"/>
        <v/>
      </c>
      <c r="X47" s="28">
        <f>IFERROR(VLOOKUP(D47,'ASE Target (Spares), FY 21-22'!$C$40:$N$69,12,0),"")</f>
        <v>0</v>
      </c>
      <c r="Y47" s="28"/>
      <c r="Z47" s="91" t="str">
        <f t="shared" si="39"/>
        <v/>
      </c>
      <c r="AA47" s="30">
        <f>IFERROR(VLOOKUP(D47,'ASE Target (Spares), FY 21-22'!$C$40:$O$69,13,0),"")</f>
        <v>180000</v>
      </c>
      <c r="AB47" s="30"/>
      <c r="AC47" s="72">
        <f t="shared" si="40"/>
        <v>0</v>
      </c>
      <c r="AD47" s="28">
        <f>IFERROR(VLOOKUP(D47,'ASE Target (Spares), FY 21-22'!$C$40:$P$69,14,0),"")</f>
        <v>315000</v>
      </c>
      <c r="AE47" s="28"/>
      <c r="AF47" s="28">
        <f t="shared" si="41"/>
        <v>0</v>
      </c>
      <c r="AG47" s="30">
        <f>IFERROR(VLOOKUP(D47,'ASE Target (Spares), FY 21-22'!$C$40:$Q$69,15,0),"")</f>
        <v>270000</v>
      </c>
      <c r="AH47" s="30"/>
      <c r="AI47" s="72">
        <f t="shared" si="42"/>
        <v>0</v>
      </c>
      <c r="AJ47" s="28">
        <f>IFERROR(VLOOKUP(D47,'ASE Target (Spares), FY 21-22'!$C$40:$R$69,16,0),"")</f>
        <v>270000</v>
      </c>
      <c r="AK47" s="28"/>
      <c r="AL47" s="91">
        <f t="shared" si="43"/>
        <v>0</v>
      </c>
      <c r="AM47" s="30">
        <f>IFERROR(VLOOKUP(D47,'ASE Target (Spares), FY 21-22'!$C$40:$S$69,17,0),"")</f>
        <v>270000</v>
      </c>
      <c r="AN47" s="30"/>
      <c r="AO47" s="72">
        <f t="shared" si="44"/>
        <v>0</v>
      </c>
      <c r="AP47" s="32">
        <f t="shared" si="45"/>
        <v>1575000</v>
      </c>
      <c r="AQ47" s="32">
        <f t="shared" si="46"/>
        <v>517716</v>
      </c>
      <c r="AR47" s="94">
        <f t="shared" si="47"/>
        <v>0.32870857142857141</v>
      </c>
    </row>
    <row r="48" spans="2:44" x14ac:dyDescent="0.25">
      <c r="B48" s="15">
        <f t="shared" si="30"/>
        <v>7</v>
      </c>
      <c r="C48" s="25" t="str">
        <f t="shared" ref="C48:E48" si="52">IF(C13=0,"",C13)</f>
        <v>DSL-DHK</v>
      </c>
      <c r="D48" s="25" t="str">
        <f t="shared" si="52"/>
        <v>Md Ariful Islam</v>
      </c>
      <c r="E48" s="26">
        <f t="shared" si="52"/>
        <v>2699</v>
      </c>
      <c r="F48" s="28">
        <f>IFERROR(VLOOKUP(D48,'ASE Target (Spares), FY 21-22'!$C$40:$H$69,6,0),"")</f>
        <v>180000</v>
      </c>
      <c r="G48" s="28"/>
      <c r="H48" s="91">
        <f t="shared" si="33"/>
        <v>0</v>
      </c>
      <c r="I48" s="30">
        <f>IFERROR(VLOOKUP(D48,'ASE Target (Spares), FY 21-22'!$C$40:$I$69,7,0),"")</f>
        <v>180000</v>
      </c>
      <c r="J48" s="30"/>
      <c r="K48" s="72">
        <f t="shared" si="34"/>
        <v>0</v>
      </c>
      <c r="L48" s="28">
        <f>IFERROR(VLOOKUP(D48,'ASE Target (Spares), FY 21-22'!$C$40:$J$69,8,0),"")</f>
        <v>0</v>
      </c>
      <c r="M48" s="28"/>
      <c r="N48" s="91" t="str">
        <f t="shared" si="35"/>
        <v/>
      </c>
      <c r="O48" s="30">
        <f>IFERROR(VLOOKUP(D48,'ASE Target (Spares), FY 21-22'!$C$40:$K$69,9,0),"")</f>
        <v>0</v>
      </c>
      <c r="P48" s="30"/>
      <c r="Q48" s="72" t="str">
        <f t="shared" si="36"/>
        <v/>
      </c>
      <c r="R48" s="28">
        <f>IFERROR(VLOOKUP(D48,'ASE Target (Spares), FY 21-22'!$C$40:$L$69,10,0),"")</f>
        <v>0</v>
      </c>
      <c r="S48" s="28"/>
      <c r="T48" s="91" t="str">
        <f t="shared" si="37"/>
        <v/>
      </c>
      <c r="U48" s="30">
        <f>IFERROR(VLOOKUP(D48,'ASE Target (Spares), FY 21-22'!$C$40:$M$69,11,0),"")</f>
        <v>0</v>
      </c>
      <c r="V48" s="30"/>
      <c r="W48" s="72" t="str">
        <f t="shared" si="38"/>
        <v/>
      </c>
      <c r="X48" s="28">
        <f>IFERROR(VLOOKUP(D48,'ASE Target (Spares), FY 21-22'!$C$40:$N$69,12,0),"")</f>
        <v>0</v>
      </c>
      <c r="Y48" s="28"/>
      <c r="Z48" s="91" t="str">
        <f t="shared" si="39"/>
        <v/>
      </c>
      <c r="AA48" s="30">
        <f>IFERROR(VLOOKUP(D48,'ASE Target (Spares), FY 21-22'!$C$40:$O$69,13,0),"")</f>
        <v>0</v>
      </c>
      <c r="AB48" s="30"/>
      <c r="AC48" s="72" t="str">
        <f t="shared" si="40"/>
        <v/>
      </c>
      <c r="AD48" s="28">
        <f>IFERROR(VLOOKUP(D48,'ASE Target (Spares), FY 21-22'!$C$40:$P$69,14,0),"")</f>
        <v>180000</v>
      </c>
      <c r="AE48" s="28"/>
      <c r="AF48" s="28">
        <f t="shared" si="41"/>
        <v>0</v>
      </c>
      <c r="AG48" s="30">
        <f>IFERROR(VLOOKUP(D48,'ASE Target (Spares), FY 21-22'!$C$40:$Q$69,15,0),"")</f>
        <v>360000</v>
      </c>
      <c r="AH48" s="30"/>
      <c r="AI48" s="72">
        <f t="shared" si="42"/>
        <v>0</v>
      </c>
      <c r="AJ48" s="28">
        <f>IFERROR(VLOOKUP(D48,'ASE Target (Spares), FY 21-22'!$C$40:$R$69,16,0),"")</f>
        <v>360000</v>
      </c>
      <c r="AK48" s="28"/>
      <c r="AL48" s="91">
        <f t="shared" si="43"/>
        <v>0</v>
      </c>
      <c r="AM48" s="30">
        <f>IFERROR(VLOOKUP(D48,'ASE Target (Spares), FY 21-22'!$C$40:$S$69,17,0),"")</f>
        <v>360000</v>
      </c>
      <c r="AN48" s="30"/>
      <c r="AO48" s="72">
        <f t="shared" si="44"/>
        <v>0</v>
      </c>
      <c r="AP48" s="32">
        <f t="shared" si="45"/>
        <v>1620000</v>
      </c>
      <c r="AQ48" s="32">
        <f t="shared" si="46"/>
        <v>0</v>
      </c>
      <c r="AR48" s="94">
        <f t="shared" si="47"/>
        <v>0</v>
      </c>
    </row>
    <row r="49" spans="2:44" x14ac:dyDescent="0.25">
      <c r="B49" s="15">
        <f t="shared" si="30"/>
        <v>8</v>
      </c>
      <c r="C49" s="25" t="str">
        <f t="shared" ref="C49:E49" si="53">IF(C14=0,"",C14)</f>
        <v>DSL-DHK</v>
      </c>
      <c r="D49" s="25" t="str">
        <f t="shared" si="53"/>
        <v>Mohammad Jewel Rana</v>
      </c>
      <c r="E49" s="26" t="str">
        <f t="shared" si="53"/>
        <v>3002</v>
      </c>
      <c r="F49" s="28">
        <f>IFERROR(VLOOKUP(D49,'ASE Target (Spares), FY 21-22'!$C$40:$H$69,6,0),"")</f>
        <v>270000</v>
      </c>
      <c r="G49" s="28">
        <v>437175</v>
      </c>
      <c r="H49" s="91">
        <f t="shared" si="33"/>
        <v>1.6191666666666666</v>
      </c>
      <c r="I49" s="30">
        <f>IFERROR(VLOOKUP(D49,'ASE Target (Spares), FY 21-22'!$C$40:$I$69,7,0),"")</f>
        <v>270000</v>
      </c>
      <c r="J49" s="30"/>
      <c r="K49" s="72">
        <f t="shared" si="34"/>
        <v>0</v>
      </c>
      <c r="L49" s="28">
        <f>IFERROR(VLOOKUP(D49,'ASE Target (Spares), FY 21-22'!$C$40:$J$69,8,0),"")</f>
        <v>0</v>
      </c>
      <c r="M49" s="28"/>
      <c r="N49" s="91" t="str">
        <f t="shared" si="35"/>
        <v/>
      </c>
      <c r="O49" s="30">
        <f>IFERROR(VLOOKUP(D49,'ASE Target (Spares), FY 21-22'!$C$40:$K$69,9,0),"")</f>
        <v>0</v>
      </c>
      <c r="P49" s="30"/>
      <c r="Q49" s="72" t="str">
        <f t="shared" si="36"/>
        <v/>
      </c>
      <c r="R49" s="28">
        <f>IFERROR(VLOOKUP(D49,'ASE Target (Spares), FY 21-22'!$C$40:$L$69,10,0),"")</f>
        <v>0</v>
      </c>
      <c r="S49" s="28"/>
      <c r="T49" s="91" t="str">
        <f t="shared" si="37"/>
        <v/>
      </c>
      <c r="U49" s="30">
        <f>IFERROR(VLOOKUP(D49,'ASE Target (Spares), FY 21-22'!$C$40:$M$69,11,0),"")</f>
        <v>0</v>
      </c>
      <c r="V49" s="30"/>
      <c r="W49" s="72" t="str">
        <f t="shared" si="38"/>
        <v/>
      </c>
      <c r="X49" s="28">
        <f>IFERROR(VLOOKUP(D49,'ASE Target (Spares), FY 21-22'!$C$40:$N$69,12,0),"")</f>
        <v>0</v>
      </c>
      <c r="Y49" s="28"/>
      <c r="Z49" s="91" t="str">
        <f t="shared" si="39"/>
        <v/>
      </c>
      <c r="AA49" s="30">
        <f>IFERROR(VLOOKUP(D49,'ASE Target (Spares), FY 21-22'!$C$40:$O$69,13,0),"")</f>
        <v>270000</v>
      </c>
      <c r="AB49" s="30"/>
      <c r="AC49" s="72">
        <f t="shared" si="40"/>
        <v>0</v>
      </c>
      <c r="AD49" s="28">
        <f>IFERROR(VLOOKUP(D49,'ASE Target (Spares), FY 21-22'!$C$40:$P$69,14,0),"")</f>
        <v>540000</v>
      </c>
      <c r="AE49" s="28"/>
      <c r="AF49" s="28">
        <f t="shared" si="41"/>
        <v>0</v>
      </c>
      <c r="AG49" s="30">
        <f>IFERROR(VLOOKUP(D49,'ASE Target (Spares), FY 21-22'!$C$40:$Q$69,15,0),"")</f>
        <v>540000</v>
      </c>
      <c r="AH49" s="30"/>
      <c r="AI49" s="72">
        <f t="shared" si="42"/>
        <v>0</v>
      </c>
      <c r="AJ49" s="28">
        <f>IFERROR(VLOOKUP(D49,'ASE Target (Spares), FY 21-22'!$C$40:$R$69,16,0),"")</f>
        <v>540000</v>
      </c>
      <c r="AK49" s="28"/>
      <c r="AL49" s="91">
        <f t="shared" si="43"/>
        <v>0</v>
      </c>
      <c r="AM49" s="30">
        <f>IFERROR(VLOOKUP(D49,'ASE Target (Spares), FY 21-22'!$C$40:$S$69,17,0),"")</f>
        <v>540000</v>
      </c>
      <c r="AN49" s="30">
        <v>204229</v>
      </c>
      <c r="AO49" s="72">
        <f t="shared" si="44"/>
        <v>0.37820185185185184</v>
      </c>
      <c r="AP49" s="32">
        <f t="shared" si="45"/>
        <v>2970000</v>
      </c>
      <c r="AQ49" s="32">
        <f t="shared" si="46"/>
        <v>641404</v>
      </c>
      <c r="AR49" s="94">
        <f t="shared" si="47"/>
        <v>0.21596094276094277</v>
      </c>
    </row>
    <row r="50" spans="2:44" x14ac:dyDescent="0.25">
      <c r="B50" s="15">
        <f t="shared" si="30"/>
        <v>9</v>
      </c>
      <c r="C50" s="25" t="str">
        <f t="shared" ref="C50:E50" si="54">IF(C15=0,"",C15)</f>
        <v>DSL-DHK</v>
      </c>
      <c r="D50" s="25" t="str">
        <f t="shared" si="54"/>
        <v>Faysal Ahmed</v>
      </c>
      <c r="E50" s="26" t="str">
        <f t="shared" si="54"/>
        <v>3004</v>
      </c>
      <c r="F50" s="28">
        <f>IFERROR(VLOOKUP(D50,'ASE Target (Spares), FY 21-22'!$C$40:$H$69,6,0),"")</f>
        <v>270000</v>
      </c>
      <c r="G50" s="28">
        <v>505895</v>
      </c>
      <c r="H50" s="91">
        <f t="shared" si="33"/>
        <v>1.8736851851851852</v>
      </c>
      <c r="I50" s="30">
        <f>IFERROR(VLOOKUP(D50,'ASE Target (Spares), FY 21-22'!$C$40:$I$69,7,0),"")</f>
        <v>270000</v>
      </c>
      <c r="J50" s="30"/>
      <c r="K50" s="72">
        <f t="shared" si="34"/>
        <v>0</v>
      </c>
      <c r="L50" s="28">
        <f>IFERROR(VLOOKUP(D50,'ASE Target (Spares), FY 21-22'!$C$40:$J$69,8,0),"")</f>
        <v>0</v>
      </c>
      <c r="M50" s="28"/>
      <c r="N50" s="91" t="str">
        <f t="shared" si="35"/>
        <v/>
      </c>
      <c r="O50" s="30">
        <f>IFERROR(VLOOKUP(D50,'ASE Target (Spares), FY 21-22'!$C$40:$K$69,9,0),"")</f>
        <v>0</v>
      </c>
      <c r="P50" s="30"/>
      <c r="Q50" s="72" t="str">
        <f t="shared" si="36"/>
        <v/>
      </c>
      <c r="R50" s="28">
        <f>IFERROR(VLOOKUP(D50,'ASE Target (Spares), FY 21-22'!$C$40:$L$69,10,0),"")</f>
        <v>0</v>
      </c>
      <c r="S50" s="28"/>
      <c r="T50" s="91" t="str">
        <f t="shared" si="37"/>
        <v/>
      </c>
      <c r="U50" s="30">
        <f>IFERROR(VLOOKUP(D50,'ASE Target (Spares), FY 21-22'!$C$40:$M$69,11,0),"")</f>
        <v>0</v>
      </c>
      <c r="V50" s="30"/>
      <c r="W50" s="72" t="str">
        <f t="shared" si="38"/>
        <v/>
      </c>
      <c r="X50" s="28">
        <f>IFERROR(VLOOKUP(D50,'ASE Target (Spares), FY 21-22'!$C$40:$N$69,12,0),"")</f>
        <v>0</v>
      </c>
      <c r="Y50" s="28"/>
      <c r="Z50" s="91" t="str">
        <f t="shared" si="39"/>
        <v/>
      </c>
      <c r="AA50" s="30">
        <f>IFERROR(VLOOKUP(D50,'ASE Target (Spares), FY 21-22'!$C$40:$O$69,13,0),"")</f>
        <v>270000</v>
      </c>
      <c r="AB50" s="30"/>
      <c r="AC50" s="72">
        <f t="shared" si="40"/>
        <v>0</v>
      </c>
      <c r="AD50" s="28">
        <f>IFERROR(VLOOKUP(D50,'ASE Target (Spares), FY 21-22'!$C$40:$P$69,14,0),"")</f>
        <v>540000</v>
      </c>
      <c r="AE50" s="28"/>
      <c r="AF50" s="28">
        <f t="shared" si="41"/>
        <v>0</v>
      </c>
      <c r="AG50" s="30">
        <f>IFERROR(VLOOKUP(D50,'ASE Target (Spares), FY 21-22'!$C$40:$Q$69,15,0),"")</f>
        <v>540000</v>
      </c>
      <c r="AH50" s="30"/>
      <c r="AI50" s="72">
        <f t="shared" si="42"/>
        <v>0</v>
      </c>
      <c r="AJ50" s="28">
        <f>IFERROR(VLOOKUP(D50,'ASE Target (Spares), FY 21-22'!$C$40:$R$69,16,0),"")</f>
        <v>540000</v>
      </c>
      <c r="AK50" s="28"/>
      <c r="AL50" s="91">
        <f t="shared" si="43"/>
        <v>0</v>
      </c>
      <c r="AM50" s="30">
        <f>IFERROR(VLOOKUP(D50,'ASE Target (Spares), FY 21-22'!$C$40:$S$69,17,0),"")</f>
        <v>540000</v>
      </c>
      <c r="AN50" s="30">
        <v>704720</v>
      </c>
      <c r="AO50" s="72">
        <f t="shared" si="44"/>
        <v>1.305037037037037</v>
      </c>
      <c r="AP50" s="32">
        <f t="shared" si="45"/>
        <v>2970000</v>
      </c>
      <c r="AQ50" s="32">
        <f t="shared" si="46"/>
        <v>1210615</v>
      </c>
      <c r="AR50" s="94">
        <f t="shared" si="47"/>
        <v>0.4076144781144781</v>
      </c>
    </row>
    <row r="51" spans="2:44" x14ac:dyDescent="0.25">
      <c r="B51" s="15">
        <f t="shared" si="30"/>
        <v>10</v>
      </c>
      <c r="C51" s="25" t="str">
        <f t="shared" ref="C51:E51" si="55">IF(C16=0,"",C16)</f>
        <v>DSL-DHK</v>
      </c>
      <c r="D51" s="25" t="str">
        <f t="shared" si="55"/>
        <v>Rakibul Islam Razib</v>
      </c>
      <c r="E51" s="26" t="str">
        <f t="shared" si="55"/>
        <v>3006</v>
      </c>
      <c r="F51" s="28">
        <f>IFERROR(VLOOKUP(D51,'ASE Target (Spares), FY 21-22'!$C$40:$H$69,6,0),"")</f>
        <v>112500</v>
      </c>
      <c r="G51" s="28">
        <v>129195</v>
      </c>
      <c r="H51" s="91">
        <f t="shared" si="33"/>
        <v>1.1484000000000001</v>
      </c>
      <c r="I51" s="30">
        <f>IFERROR(VLOOKUP(D51,'ASE Target (Spares), FY 21-22'!$C$40:$I$69,7,0),"")</f>
        <v>112500</v>
      </c>
      <c r="J51" s="30"/>
      <c r="K51" s="72">
        <f t="shared" si="34"/>
        <v>0</v>
      </c>
      <c r="L51" s="28">
        <f>IFERROR(VLOOKUP(D51,'ASE Target (Spares), FY 21-22'!$C$40:$J$69,8,0),"")</f>
        <v>0</v>
      </c>
      <c r="M51" s="28"/>
      <c r="N51" s="91" t="str">
        <f t="shared" si="35"/>
        <v/>
      </c>
      <c r="O51" s="30">
        <f>IFERROR(VLOOKUP(D51,'ASE Target (Spares), FY 21-22'!$C$40:$K$69,9,0),"")</f>
        <v>0</v>
      </c>
      <c r="P51" s="30"/>
      <c r="Q51" s="72" t="str">
        <f t="shared" si="36"/>
        <v/>
      </c>
      <c r="R51" s="28">
        <f>IFERROR(VLOOKUP(D51,'ASE Target (Spares), FY 21-22'!$C$40:$L$69,10,0),"")</f>
        <v>0</v>
      </c>
      <c r="S51" s="28"/>
      <c r="T51" s="91" t="str">
        <f t="shared" si="37"/>
        <v/>
      </c>
      <c r="U51" s="30">
        <f>IFERROR(VLOOKUP(D51,'ASE Target (Spares), FY 21-22'!$C$40:$M$69,11,0),"")</f>
        <v>0</v>
      </c>
      <c r="V51" s="30"/>
      <c r="W51" s="72" t="str">
        <f t="shared" si="38"/>
        <v/>
      </c>
      <c r="X51" s="28">
        <f>IFERROR(VLOOKUP(D51,'ASE Target (Spares), FY 21-22'!$C$40:$N$69,12,0),"")</f>
        <v>0</v>
      </c>
      <c r="Y51" s="28"/>
      <c r="Z51" s="91" t="str">
        <f t="shared" si="39"/>
        <v/>
      </c>
      <c r="AA51" s="30">
        <f>IFERROR(VLOOKUP(D51,'ASE Target (Spares), FY 21-22'!$C$40:$O$69,13,0),"")</f>
        <v>0</v>
      </c>
      <c r="AB51" s="30"/>
      <c r="AC51" s="72" t="str">
        <f t="shared" si="40"/>
        <v/>
      </c>
      <c r="AD51" s="28">
        <f>IFERROR(VLOOKUP(D51,'ASE Target (Spares), FY 21-22'!$C$40:$P$69,14,0),"")</f>
        <v>103500</v>
      </c>
      <c r="AE51" s="28"/>
      <c r="AF51" s="28">
        <f t="shared" si="41"/>
        <v>0</v>
      </c>
      <c r="AG51" s="30">
        <f>IFERROR(VLOOKUP(D51,'ASE Target (Spares), FY 21-22'!$C$40:$Q$69,15,0),"")</f>
        <v>207000</v>
      </c>
      <c r="AH51" s="30"/>
      <c r="AI51" s="72">
        <f t="shared" si="42"/>
        <v>0</v>
      </c>
      <c r="AJ51" s="28">
        <f>IFERROR(VLOOKUP(D51,'ASE Target (Spares), FY 21-22'!$C$40:$R$69,16,0),"")</f>
        <v>216000</v>
      </c>
      <c r="AK51" s="28"/>
      <c r="AL51" s="91">
        <f t="shared" si="43"/>
        <v>0</v>
      </c>
      <c r="AM51" s="30">
        <f>IFERROR(VLOOKUP(D51,'ASE Target (Spares), FY 21-22'!$C$40:$S$69,17,0),"")</f>
        <v>225000</v>
      </c>
      <c r="AN51" s="30">
        <v>143022</v>
      </c>
      <c r="AO51" s="72">
        <f t="shared" si="44"/>
        <v>0.63565333333333329</v>
      </c>
      <c r="AP51" s="32">
        <f t="shared" si="45"/>
        <v>976500</v>
      </c>
      <c r="AQ51" s="32">
        <f t="shared" si="46"/>
        <v>272217</v>
      </c>
      <c r="AR51" s="94">
        <f t="shared" si="47"/>
        <v>0.27876804915514591</v>
      </c>
    </row>
    <row r="52" spans="2:44" x14ac:dyDescent="0.25">
      <c r="B52" s="15">
        <f t="shared" si="30"/>
        <v>11</v>
      </c>
      <c r="C52" s="25" t="str">
        <f t="shared" ref="C52:E52" si="56">IF(C17=0,"",C17)</f>
        <v>DSL-DHK</v>
      </c>
      <c r="D52" s="25" t="str">
        <f t="shared" si="56"/>
        <v>Ashraful Islam</v>
      </c>
      <c r="E52" s="26">
        <f t="shared" si="56"/>
        <v>3003</v>
      </c>
      <c r="F52" s="28">
        <f>IFERROR(VLOOKUP(D52,'ASE Target (Spares), FY 21-22'!$C$40:$H$69,6,0),"")</f>
        <v>225000</v>
      </c>
      <c r="G52" s="28">
        <v>747948</v>
      </c>
      <c r="H52" s="91">
        <f t="shared" si="33"/>
        <v>3.3242133333333332</v>
      </c>
      <c r="I52" s="30">
        <f>IFERROR(VLOOKUP(D52,'ASE Target (Spares), FY 21-22'!$C$40:$I$69,7,0),"")</f>
        <v>225000</v>
      </c>
      <c r="J52" s="30"/>
      <c r="K52" s="72">
        <f t="shared" si="34"/>
        <v>0</v>
      </c>
      <c r="L52" s="28">
        <f>IFERROR(VLOOKUP(D52,'ASE Target (Spares), FY 21-22'!$C$40:$J$69,8,0),"")</f>
        <v>0</v>
      </c>
      <c r="M52" s="28"/>
      <c r="N52" s="91" t="str">
        <f t="shared" si="35"/>
        <v/>
      </c>
      <c r="O52" s="30">
        <f>IFERROR(VLOOKUP(D52,'ASE Target (Spares), FY 21-22'!$C$40:$K$69,9,0),"")</f>
        <v>0</v>
      </c>
      <c r="P52" s="30"/>
      <c r="Q52" s="72" t="str">
        <f t="shared" si="36"/>
        <v/>
      </c>
      <c r="R52" s="28">
        <f>IFERROR(VLOOKUP(D52,'ASE Target (Spares), FY 21-22'!$C$40:$L$69,10,0),"")</f>
        <v>0</v>
      </c>
      <c r="S52" s="28"/>
      <c r="T52" s="91" t="str">
        <f t="shared" si="37"/>
        <v/>
      </c>
      <c r="U52" s="30">
        <f>IFERROR(VLOOKUP(D52,'ASE Target (Spares), FY 21-22'!$C$40:$M$69,11,0),"")</f>
        <v>0</v>
      </c>
      <c r="V52" s="30"/>
      <c r="W52" s="72" t="str">
        <f t="shared" si="38"/>
        <v/>
      </c>
      <c r="X52" s="28">
        <f>IFERROR(VLOOKUP(D52,'ASE Target (Spares), FY 21-22'!$C$40:$N$69,12,0),"")</f>
        <v>0</v>
      </c>
      <c r="Y52" s="28"/>
      <c r="Z52" s="91" t="str">
        <f t="shared" si="39"/>
        <v/>
      </c>
      <c r="AA52" s="30">
        <f>IFERROR(VLOOKUP(D52,'ASE Target (Spares), FY 21-22'!$C$40:$O$69,13,0),"")</f>
        <v>360000</v>
      </c>
      <c r="AB52" s="30"/>
      <c r="AC52" s="72">
        <f t="shared" si="40"/>
        <v>0</v>
      </c>
      <c r="AD52" s="28">
        <f>IFERROR(VLOOKUP(D52,'ASE Target (Spares), FY 21-22'!$C$40:$P$69,14,0),"")</f>
        <v>720000</v>
      </c>
      <c r="AE52" s="28"/>
      <c r="AF52" s="28">
        <f t="shared" si="41"/>
        <v>0</v>
      </c>
      <c r="AG52" s="30">
        <f>IFERROR(VLOOKUP(D52,'ASE Target (Spares), FY 21-22'!$C$40:$Q$69,15,0),"")</f>
        <v>585000</v>
      </c>
      <c r="AH52" s="30"/>
      <c r="AI52" s="72">
        <f t="shared" si="42"/>
        <v>0</v>
      </c>
      <c r="AJ52" s="28">
        <f>IFERROR(VLOOKUP(D52,'ASE Target (Spares), FY 21-22'!$C$40:$R$69,16,0),"")</f>
        <v>450000</v>
      </c>
      <c r="AK52" s="28"/>
      <c r="AL52" s="91">
        <f t="shared" si="43"/>
        <v>0</v>
      </c>
      <c r="AM52" s="30">
        <f>IFERROR(VLOOKUP(D52,'ASE Target (Spares), FY 21-22'!$C$40:$S$69,17,0),"")</f>
        <v>450000</v>
      </c>
      <c r="AN52" s="30">
        <v>738191</v>
      </c>
      <c r="AO52" s="72">
        <f t="shared" si="44"/>
        <v>1.6404244444444445</v>
      </c>
      <c r="AP52" s="32">
        <f t="shared" si="45"/>
        <v>3015000</v>
      </c>
      <c r="AQ52" s="32">
        <f t="shared" si="46"/>
        <v>1486139</v>
      </c>
      <c r="AR52" s="94">
        <f t="shared" si="47"/>
        <v>0.49291509121061361</v>
      </c>
    </row>
    <row r="53" spans="2:44" x14ac:dyDescent="0.25">
      <c r="B53" s="15">
        <f t="shared" si="30"/>
        <v>12</v>
      </c>
      <c r="C53" s="25" t="str">
        <f t="shared" ref="C53:E53" si="57">IF(C18=0,"",C18)</f>
        <v>DSL-DHK</v>
      </c>
      <c r="D53" s="25" t="str">
        <f t="shared" si="57"/>
        <v>Md. Rakibul Islam</v>
      </c>
      <c r="E53" s="26">
        <f t="shared" si="57"/>
        <v>5690</v>
      </c>
      <c r="F53" s="28">
        <f>IFERROR(VLOOKUP(D53,'ASE Target (Spares), FY 21-22'!$C$40:$H$69,6,0),"")</f>
        <v>270000</v>
      </c>
      <c r="G53" s="28">
        <v>542743</v>
      </c>
      <c r="H53" s="91">
        <f t="shared" si="33"/>
        <v>2.0101592592592592</v>
      </c>
      <c r="I53" s="30">
        <f>IFERROR(VLOOKUP(D53,'ASE Target (Spares), FY 21-22'!$C$40:$I$69,7,0),"")</f>
        <v>270000</v>
      </c>
      <c r="J53" s="30"/>
      <c r="K53" s="72">
        <f t="shared" si="34"/>
        <v>0</v>
      </c>
      <c r="L53" s="28">
        <f>IFERROR(VLOOKUP(D53,'ASE Target (Spares), FY 21-22'!$C$40:$J$69,8,0),"")</f>
        <v>0</v>
      </c>
      <c r="M53" s="28"/>
      <c r="N53" s="91" t="str">
        <f t="shared" si="35"/>
        <v/>
      </c>
      <c r="O53" s="30">
        <f>IFERROR(VLOOKUP(D53,'ASE Target (Spares), FY 21-22'!$C$40:$K$69,9,0),"")</f>
        <v>0</v>
      </c>
      <c r="P53" s="30"/>
      <c r="Q53" s="72" t="str">
        <f t="shared" si="36"/>
        <v/>
      </c>
      <c r="R53" s="28">
        <f>IFERROR(VLOOKUP(D53,'ASE Target (Spares), FY 21-22'!$C$40:$L$69,10,0),"")</f>
        <v>0</v>
      </c>
      <c r="S53" s="28"/>
      <c r="T53" s="91" t="str">
        <f t="shared" si="37"/>
        <v/>
      </c>
      <c r="U53" s="30">
        <f>IFERROR(VLOOKUP(D53,'ASE Target (Spares), FY 21-22'!$C$40:$M$69,11,0),"")</f>
        <v>0</v>
      </c>
      <c r="V53" s="30"/>
      <c r="W53" s="72" t="str">
        <f t="shared" si="38"/>
        <v/>
      </c>
      <c r="X53" s="28">
        <f>IFERROR(VLOOKUP(D53,'ASE Target (Spares), FY 21-22'!$C$40:$N$69,12,0),"")</f>
        <v>0</v>
      </c>
      <c r="Y53" s="28"/>
      <c r="Z53" s="91" t="str">
        <f t="shared" si="39"/>
        <v/>
      </c>
      <c r="AA53" s="30">
        <f>IFERROR(VLOOKUP(D53,'ASE Target (Spares), FY 21-22'!$C$40:$O$69,13,0),"")</f>
        <v>270000</v>
      </c>
      <c r="AB53" s="30"/>
      <c r="AC53" s="72">
        <f t="shared" si="40"/>
        <v>0</v>
      </c>
      <c r="AD53" s="28">
        <f>IFERROR(VLOOKUP(D53,'ASE Target (Spares), FY 21-22'!$C$40:$P$69,14,0),"")</f>
        <v>540000</v>
      </c>
      <c r="AE53" s="28"/>
      <c r="AF53" s="28">
        <f t="shared" si="41"/>
        <v>0</v>
      </c>
      <c r="AG53" s="30">
        <f>IFERROR(VLOOKUP(D53,'ASE Target (Spares), FY 21-22'!$C$40:$Q$69,15,0),"")</f>
        <v>540000</v>
      </c>
      <c r="AH53" s="30"/>
      <c r="AI53" s="72">
        <f t="shared" si="42"/>
        <v>0</v>
      </c>
      <c r="AJ53" s="28">
        <f>IFERROR(VLOOKUP(D53,'ASE Target (Spares), FY 21-22'!$C$40:$R$69,16,0),"")</f>
        <v>540000</v>
      </c>
      <c r="AK53" s="28"/>
      <c r="AL53" s="91">
        <f t="shared" si="43"/>
        <v>0</v>
      </c>
      <c r="AM53" s="30">
        <f>IFERROR(VLOOKUP(D53,'ASE Target (Spares), FY 21-22'!$C$40:$S$69,17,0),"")</f>
        <v>540000</v>
      </c>
      <c r="AN53" s="30">
        <v>886998</v>
      </c>
      <c r="AO53" s="72">
        <f t="shared" si="44"/>
        <v>1.6425888888888889</v>
      </c>
      <c r="AP53" s="32">
        <f t="shared" si="45"/>
        <v>2970000</v>
      </c>
      <c r="AQ53" s="32">
        <f t="shared" si="46"/>
        <v>1429741</v>
      </c>
      <c r="AR53" s="94">
        <f t="shared" si="47"/>
        <v>0.4813942760942761</v>
      </c>
    </row>
    <row r="54" spans="2:44" x14ac:dyDescent="0.25">
      <c r="B54" s="15">
        <f t="shared" si="30"/>
        <v>13</v>
      </c>
      <c r="C54" s="25" t="str">
        <f t="shared" ref="C54:E54" si="58">IF(C19=0,"",C19)</f>
        <v>DSL-DHK</v>
      </c>
      <c r="D54" s="25" t="str">
        <f t="shared" si="58"/>
        <v>Ohid Hasan Saikat</v>
      </c>
      <c r="E54" s="26">
        <f t="shared" si="58"/>
        <v>5691</v>
      </c>
      <c r="F54" s="28">
        <f>IFERROR(VLOOKUP(D54,'ASE Target (Spares), FY 21-22'!$C$40:$H$69,6,0),"")</f>
        <v>135000</v>
      </c>
      <c r="G54" s="28"/>
      <c r="H54" s="91">
        <f t="shared" si="33"/>
        <v>0</v>
      </c>
      <c r="I54" s="30">
        <f>IFERROR(VLOOKUP(D54,'ASE Target (Spares), FY 21-22'!$C$40:$I$69,7,0),"")</f>
        <v>135000</v>
      </c>
      <c r="J54" s="30"/>
      <c r="K54" s="72">
        <f t="shared" si="34"/>
        <v>0</v>
      </c>
      <c r="L54" s="28">
        <f>IFERROR(VLOOKUP(D54,'ASE Target (Spares), FY 21-22'!$C$40:$J$69,8,0),"")</f>
        <v>0</v>
      </c>
      <c r="M54" s="28"/>
      <c r="N54" s="91" t="str">
        <f t="shared" si="35"/>
        <v/>
      </c>
      <c r="O54" s="30">
        <f>IFERROR(VLOOKUP(D54,'ASE Target (Spares), FY 21-22'!$C$40:$K$69,9,0),"")</f>
        <v>0</v>
      </c>
      <c r="P54" s="30"/>
      <c r="Q54" s="72" t="str">
        <f t="shared" si="36"/>
        <v/>
      </c>
      <c r="R54" s="28">
        <f>IFERROR(VLOOKUP(D54,'ASE Target (Spares), FY 21-22'!$C$40:$L$69,10,0),"")</f>
        <v>0</v>
      </c>
      <c r="S54" s="28"/>
      <c r="T54" s="91" t="str">
        <f t="shared" si="37"/>
        <v/>
      </c>
      <c r="U54" s="30">
        <f>IFERROR(VLOOKUP(D54,'ASE Target (Spares), FY 21-22'!$C$40:$M$69,11,0),"")</f>
        <v>0</v>
      </c>
      <c r="V54" s="30"/>
      <c r="W54" s="72" t="str">
        <f t="shared" si="38"/>
        <v/>
      </c>
      <c r="X54" s="28">
        <f>IFERROR(VLOOKUP(D54,'ASE Target (Spares), FY 21-22'!$C$40:$N$69,12,0),"")</f>
        <v>0</v>
      </c>
      <c r="Y54" s="28"/>
      <c r="Z54" s="91" t="str">
        <f t="shared" si="39"/>
        <v/>
      </c>
      <c r="AA54" s="30">
        <f>IFERROR(VLOOKUP(D54,'ASE Target (Spares), FY 21-22'!$C$40:$O$69,13,0),"")</f>
        <v>135000</v>
      </c>
      <c r="AB54" s="30"/>
      <c r="AC54" s="72">
        <f t="shared" si="40"/>
        <v>0</v>
      </c>
      <c r="AD54" s="28">
        <f>IFERROR(VLOOKUP(D54,'ASE Target (Spares), FY 21-22'!$C$40:$P$69,14,0),"")</f>
        <v>315000</v>
      </c>
      <c r="AE54" s="28"/>
      <c r="AF54" s="28">
        <f t="shared" si="41"/>
        <v>0</v>
      </c>
      <c r="AG54" s="30">
        <f>IFERROR(VLOOKUP(D54,'ASE Target (Spares), FY 21-22'!$C$40:$Q$69,15,0),"")</f>
        <v>315000</v>
      </c>
      <c r="AH54" s="30"/>
      <c r="AI54" s="72">
        <f t="shared" si="42"/>
        <v>0</v>
      </c>
      <c r="AJ54" s="28">
        <f>IFERROR(VLOOKUP(D54,'ASE Target (Spares), FY 21-22'!$C$40:$R$69,16,0),"")</f>
        <v>270000</v>
      </c>
      <c r="AK54" s="28"/>
      <c r="AL54" s="91">
        <f t="shared" si="43"/>
        <v>0</v>
      </c>
      <c r="AM54" s="30">
        <f>IFERROR(VLOOKUP(D54,'ASE Target (Spares), FY 21-22'!$C$40:$S$69,17,0),"")</f>
        <v>270000</v>
      </c>
      <c r="AN54" s="30">
        <v>177651</v>
      </c>
      <c r="AO54" s="72">
        <f t="shared" si="44"/>
        <v>0.6579666666666667</v>
      </c>
      <c r="AP54" s="32">
        <f t="shared" si="45"/>
        <v>1575000</v>
      </c>
      <c r="AQ54" s="32">
        <f t="shared" si="46"/>
        <v>177651</v>
      </c>
      <c r="AR54" s="94">
        <f t="shared" si="47"/>
        <v>0.11279428571428571</v>
      </c>
    </row>
    <row r="55" spans="2:44" x14ac:dyDescent="0.25">
      <c r="B55" s="15">
        <f t="shared" si="30"/>
        <v>14</v>
      </c>
      <c r="C55" s="25" t="str">
        <f t="shared" ref="C55:E55" si="59">IF(C20=0,"",C20)</f>
        <v>DSL-DHK</v>
      </c>
      <c r="D55" s="25" t="str">
        <f t="shared" si="59"/>
        <v>Abdullah Al Mahmud</v>
      </c>
      <c r="E55" s="26">
        <f t="shared" si="59"/>
        <v>5692</v>
      </c>
      <c r="F55" s="28">
        <f>IFERROR(VLOOKUP(D55,'ASE Target (Spares), FY 21-22'!$C$40:$H$69,6,0),"")</f>
        <v>180000</v>
      </c>
      <c r="G55" s="28"/>
      <c r="H55" s="91">
        <f t="shared" si="33"/>
        <v>0</v>
      </c>
      <c r="I55" s="30">
        <f>IFERROR(VLOOKUP(D55,'ASE Target (Spares), FY 21-22'!$C$40:$I$69,7,0),"")</f>
        <v>180000</v>
      </c>
      <c r="J55" s="30"/>
      <c r="K55" s="72">
        <f t="shared" si="34"/>
        <v>0</v>
      </c>
      <c r="L55" s="28">
        <f>IFERROR(VLOOKUP(D55,'ASE Target (Spares), FY 21-22'!$C$40:$J$69,8,0),"")</f>
        <v>0</v>
      </c>
      <c r="M55" s="28"/>
      <c r="N55" s="91" t="str">
        <f t="shared" si="35"/>
        <v/>
      </c>
      <c r="O55" s="30">
        <f>IFERROR(VLOOKUP(D55,'ASE Target (Spares), FY 21-22'!$C$40:$K$69,9,0),"")</f>
        <v>0</v>
      </c>
      <c r="P55" s="30"/>
      <c r="Q55" s="72" t="str">
        <f t="shared" si="36"/>
        <v/>
      </c>
      <c r="R55" s="28">
        <f>IFERROR(VLOOKUP(D55,'ASE Target (Spares), FY 21-22'!$C$40:$L$69,10,0),"")</f>
        <v>0</v>
      </c>
      <c r="S55" s="28"/>
      <c r="T55" s="91" t="str">
        <f t="shared" si="37"/>
        <v/>
      </c>
      <c r="U55" s="30">
        <f>IFERROR(VLOOKUP(D55,'ASE Target (Spares), FY 21-22'!$C$40:$M$69,11,0),"")</f>
        <v>0</v>
      </c>
      <c r="V55" s="30"/>
      <c r="W55" s="72" t="str">
        <f t="shared" si="38"/>
        <v/>
      </c>
      <c r="X55" s="28">
        <f>IFERROR(VLOOKUP(D55,'ASE Target (Spares), FY 21-22'!$C$40:$N$69,12,0),"")</f>
        <v>0</v>
      </c>
      <c r="Y55" s="28"/>
      <c r="Z55" s="91" t="str">
        <f t="shared" si="39"/>
        <v/>
      </c>
      <c r="AA55" s="30">
        <f>IFERROR(VLOOKUP(D55,'ASE Target (Spares), FY 21-22'!$C$40:$O$69,13,0),"")</f>
        <v>315000</v>
      </c>
      <c r="AB55" s="30"/>
      <c r="AC55" s="72">
        <f t="shared" si="40"/>
        <v>0</v>
      </c>
      <c r="AD55" s="28">
        <f>IFERROR(VLOOKUP(D55,'ASE Target (Spares), FY 21-22'!$C$40:$P$69,14,0),"")</f>
        <v>495000</v>
      </c>
      <c r="AE55" s="28"/>
      <c r="AF55" s="28">
        <f t="shared" si="41"/>
        <v>0</v>
      </c>
      <c r="AG55" s="30">
        <f>IFERROR(VLOOKUP(D55,'ASE Target (Spares), FY 21-22'!$C$40:$Q$69,15,0),"")</f>
        <v>360000</v>
      </c>
      <c r="AH55" s="30"/>
      <c r="AI55" s="72">
        <f t="shared" si="42"/>
        <v>0</v>
      </c>
      <c r="AJ55" s="28">
        <f>IFERROR(VLOOKUP(D55,'ASE Target (Spares), FY 21-22'!$C$40:$R$69,16,0),"")</f>
        <v>360000</v>
      </c>
      <c r="AK55" s="28"/>
      <c r="AL55" s="91">
        <f t="shared" si="43"/>
        <v>0</v>
      </c>
      <c r="AM55" s="30">
        <f>IFERROR(VLOOKUP(D55,'ASE Target (Spares), FY 21-22'!$C$40:$S$69,17,0),"")</f>
        <v>360000</v>
      </c>
      <c r="AN55" s="30">
        <v>213650</v>
      </c>
      <c r="AO55" s="72">
        <f t="shared" si="44"/>
        <v>0.59347222222222218</v>
      </c>
      <c r="AP55" s="32">
        <f t="shared" si="45"/>
        <v>2250000</v>
      </c>
      <c r="AQ55" s="32">
        <f t="shared" si="46"/>
        <v>213650</v>
      </c>
      <c r="AR55" s="94">
        <f t="shared" si="47"/>
        <v>9.4955555555555557E-2</v>
      </c>
    </row>
    <row r="56" spans="2:44" x14ac:dyDescent="0.25">
      <c r="B56" s="15">
        <f t="shared" si="30"/>
        <v>15</v>
      </c>
      <c r="C56" s="25" t="str">
        <f t="shared" ref="C56:E56" si="60">IF(C21=0,"",C21)</f>
        <v>DSL-DHK</v>
      </c>
      <c r="D56" s="25" t="str">
        <f t="shared" si="60"/>
        <v>Apurba Kumar Gain</v>
      </c>
      <c r="E56" s="26">
        <f t="shared" si="60"/>
        <v>5927</v>
      </c>
      <c r="F56" s="28">
        <f>IFERROR(VLOOKUP(D56,'ASE Target (Spares), FY 21-22'!$C$40:$H$69,6,0),"")</f>
        <v>103500</v>
      </c>
      <c r="G56" s="28">
        <v>75251</v>
      </c>
      <c r="H56" s="91">
        <f t="shared" si="33"/>
        <v>0.72706280193236716</v>
      </c>
      <c r="I56" s="30">
        <f>IFERROR(VLOOKUP(D56,'ASE Target (Spares), FY 21-22'!$C$40:$I$69,7,0),"")</f>
        <v>103500</v>
      </c>
      <c r="J56" s="30"/>
      <c r="K56" s="72">
        <f t="shared" si="34"/>
        <v>0</v>
      </c>
      <c r="L56" s="28">
        <f>IFERROR(VLOOKUP(D56,'ASE Target (Spares), FY 21-22'!$C$40:$J$69,8,0),"")</f>
        <v>0</v>
      </c>
      <c r="M56" s="28"/>
      <c r="N56" s="91" t="str">
        <f t="shared" si="35"/>
        <v/>
      </c>
      <c r="O56" s="30">
        <f>IFERROR(VLOOKUP(D56,'ASE Target (Spares), FY 21-22'!$C$40:$K$69,9,0),"")</f>
        <v>0</v>
      </c>
      <c r="P56" s="30"/>
      <c r="Q56" s="72" t="str">
        <f t="shared" si="36"/>
        <v/>
      </c>
      <c r="R56" s="28">
        <f>IFERROR(VLOOKUP(D56,'ASE Target (Spares), FY 21-22'!$C$40:$L$69,10,0),"")</f>
        <v>0</v>
      </c>
      <c r="S56" s="28"/>
      <c r="T56" s="91" t="str">
        <f t="shared" si="37"/>
        <v/>
      </c>
      <c r="U56" s="30">
        <f>IFERROR(VLOOKUP(D56,'ASE Target (Spares), FY 21-22'!$C$40:$M$69,11,0),"")</f>
        <v>0</v>
      </c>
      <c r="V56" s="30"/>
      <c r="W56" s="72" t="str">
        <f t="shared" si="38"/>
        <v/>
      </c>
      <c r="X56" s="28">
        <f>IFERROR(VLOOKUP(D56,'ASE Target (Spares), FY 21-22'!$C$40:$N$69,12,0),"")</f>
        <v>0</v>
      </c>
      <c r="Y56" s="28"/>
      <c r="Z56" s="91" t="str">
        <f t="shared" si="39"/>
        <v/>
      </c>
      <c r="AA56" s="30">
        <f>IFERROR(VLOOKUP(D56,'ASE Target (Spares), FY 21-22'!$C$40:$O$69,13,0),"")</f>
        <v>0</v>
      </c>
      <c r="AB56" s="30"/>
      <c r="AC56" s="72" t="str">
        <f t="shared" si="40"/>
        <v/>
      </c>
      <c r="AD56" s="28">
        <f>IFERROR(VLOOKUP(D56,'ASE Target (Spares), FY 21-22'!$C$40:$P$69,14,0),"")</f>
        <v>103500</v>
      </c>
      <c r="AE56" s="28"/>
      <c r="AF56" s="28">
        <f t="shared" si="41"/>
        <v>0</v>
      </c>
      <c r="AG56" s="30">
        <f>IFERROR(VLOOKUP(D56,'ASE Target (Spares), FY 21-22'!$C$40:$Q$69,15,0),"")</f>
        <v>207000</v>
      </c>
      <c r="AH56" s="30"/>
      <c r="AI56" s="72">
        <f t="shared" si="42"/>
        <v>0</v>
      </c>
      <c r="AJ56" s="28">
        <f>IFERROR(VLOOKUP(D56,'ASE Target (Spares), FY 21-22'!$C$40:$R$69,16,0),"")</f>
        <v>207000</v>
      </c>
      <c r="AK56" s="28"/>
      <c r="AL56" s="91">
        <f t="shared" si="43"/>
        <v>0</v>
      </c>
      <c r="AM56" s="30">
        <f>IFERROR(VLOOKUP(D56,'ASE Target (Spares), FY 21-22'!$C$40:$S$69,17,0),"")</f>
        <v>207000</v>
      </c>
      <c r="AN56" s="30">
        <v>119715</v>
      </c>
      <c r="AO56" s="72">
        <f t="shared" si="44"/>
        <v>0.57833333333333337</v>
      </c>
      <c r="AP56" s="32">
        <f t="shared" si="45"/>
        <v>931500</v>
      </c>
      <c r="AQ56" s="32">
        <f t="shared" si="46"/>
        <v>194966</v>
      </c>
      <c r="AR56" s="94">
        <f t="shared" si="47"/>
        <v>0.20930327428878154</v>
      </c>
    </row>
    <row r="57" spans="2:44" x14ac:dyDescent="0.25">
      <c r="B57" s="15">
        <f t="shared" si="30"/>
        <v>16</v>
      </c>
      <c r="C57" s="25" t="str">
        <f t="shared" ref="C57:E57" si="61">IF(C22=0,"",C22)</f>
        <v>DSL-DHK</v>
      </c>
      <c r="D57" s="25" t="str">
        <f t="shared" si="61"/>
        <v>Amirul Islam</v>
      </c>
      <c r="E57" s="26">
        <f t="shared" si="61"/>
        <v>5928</v>
      </c>
      <c r="F57" s="28">
        <f>IFERROR(VLOOKUP(D57,'ASE Target (Spares), FY 21-22'!$C$40:$H$69,6,0),"")</f>
        <v>112500</v>
      </c>
      <c r="G57" s="28"/>
      <c r="H57" s="91">
        <f t="shared" si="33"/>
        <v>0</v>
      </c>
      <c r="I57" s="30">
        <f>IFERROR(VLOOKUP(D57,'ASE Target (Spares), FY 21-22'!$C$40:$I$69,7,0),"")</f>
        <v>112500</v>
      </c>
      <c r="J57" s="30"/>
      <c r="K57" s="72">
        <f t="shared" si="34"/>
        <v>0</v>
      </c>
      <c r="L57" s="28">
        <f>IFERROR(VLOOKUP(D57,'ASE Target (Spares), FY 21-22'!$C$40:$J$69,8,0),"")</f>
        <v>0</v>
      </c>
      <c r="M57" s="28"/>
      <c r="N57" s="91" t="str">
        <f t="shared" si="35"/>
        <v/>
      </c>
      <c r="O57" s="30">
        <f>IFERROR(VLOOKUP(D57,'ASE Target (Spares), FY 21-22'!$C$40:$K$69,9,0),"")</f>
        <v>0</v>
      </c>
      <c r="P57" s="30"/>
      <c r="Q57" s="72" t="str">
        <f t="shared" si="36"/>
        <v/>
      </c>
      <c r="R57" s="28">
        <f>IFERROR(VLOOKUP(D57,'ASE Target (Spares), FY 21-22'!$C$40:$L$69,10,0),"")</f>
        <v>0</v>
      </c>
      <c r="S57" s="28"/>
      <c r="T57" s="91" t="str">
        <f t="shared" si="37"/>
        <v/>
      </c>
      <c r="U57" s="30">
        <f>IFERROR(VLOOKUP(D57,'ASE Target (Spares), FY 21-22'!$C$40:$M$69,11,0),"")</f>
        <v>0</v>
      </c>
      <c r="V57" s="30"/>
      <c r="W57" s="72" t="str">
        <f t="shared" si="38"/>
        <v/>
      </c>
      <c r="X57" s="28">
        <f>IFERROR(VLOOKUP(D57,'ASE Target (Spares), FY 21-22'!$C$40:$N$69,12,0),"")</f>
        <v>0</v>
      </c>
      <c r="Y57" s="28"/>
      <c r="Z57" s="91" t="str">
        <f t="shared" si="39"/>
        <v/>
      </c>
      <c r="AA57" s="30">
        <f>IFERROR(VLOOKUP(D57,'ASE Target (Spares), FY 21-22'!$C$40:$O$69,13,0),"")</f>
        <v>0</v>
      </c>
      <c r="AB57" s="30"/>
      <c r="AC57" s="72" t="str">
        <f t="shared" si="40"/>
        <v/>
      </c>
      <c r="AD57" s="28">
        <f>IFERROR(VLOOKUP(D57,'ASE Target (Spares), FY 21-22'!$C$40:$P$69,14,0),"")</f>
        <v>112500</v>
      </c>
      <c r="AE57" s="28"/>
      <c r="AF57" s="28">
        <f t="shared" si="41"/>
        <v>0</v>
      </c>
      <c r="AG57" s="30">
        <f>IFERROR(VLOOKUP(D57,'ASE Target (Spares), FY 21-22'!$C$40:$Q$69,15,0),"")</f>
        <v>225000</v>
      </c>
      <c r="AH57" s="30"/>
      <c r="AI57" s="72">
        <f t="shared" si="42"/>
        <v>0</v>
      </c>
      <c r="AJ57" s="28">
        <f>IFERROR(VLOOKUP(D57,'ASE Target (Spares), FY 21-22'!$C$40:$R$69,16,0),"")</f>
        <v>225000</v>
      </c>
      <c r="AK57" s="28"/>
      <c r="AL57" s="91">
        <f t="shared" si="43"/>
        <v>0</v>
      </c>
      <c r="AM57" s="30">
        <f>IFERROR(VLOOKUP(D57,'ASE Target (Spares), FY 21-22'!$C$40:$S$69,17,0),"")</f>
        <v>225000</v>
      </c>
      <c r="AN57" s="30">
        <v>137220</v>
      </c>
      <c r="AO57" s="72">
        <f t="shared" si="44"/>
        <v>0.60986666666666667</v>
      </c>
      <c r="AP57" s="32">
        <f t="shared" si="45"/>
        <v>1012500</v>
      </c>
      <c r="AQ57" s="32">
        <f t="shared" si="46"/>
        <v>137220</v>
      </c>
      <c r="AR57" s="94">
        <f t="shared" si="47"/>
        <v>0.13552592592592594</v>
      </c>
    </row>
    <row r="58" spans="2:44" x14ac:dyDescent="0.25">
      <c r="B58" s="15">
        <f t="shared" si="30"/>
        <v>17</v>
      </c>
      <c r="C58" s="25" t="str">
        <f t="shared" ref="C58:E58" si="62">IF(C23=0,"",C23)</f>
        <v>DSL-DHK</v>
      </c>
      <c r="D58" s="25" t="str">
        <f t="shared" si="62"/>
        <v>Md. Jafor Ikbal</v>
      </c>
      <c r="E58" s="26">
        <f t="shared" si="62"/>
        <v>5929</v>
      </c>
      <c r="F58" s="28">
        <f>IFERROR(VLOOKUP(D58,'ASE Target (Spares), FY 21-22'!$C$40:$H$69,6,0),"")</f>
        <v>0</v>
      </c>
      <c r="G58" s="28"/>
      <c r="H58" s="91" t="str">
        <f t="shared" si="33"/>
        <v/>
      </c>
      <c r="I58" s="30">
        <f>IFERROR(VLOOKUP(D58,'ASE Target (Spares), FY 21-22'!$C$40:$I$69,7,0),"")</f>
        <v>0</v>
      </c>
      <c r="J58" s="30"/>
      <c r="K58" s="72" t="str">
        <f t="shared" si="34"/>
        <v/>
      </c>
      <c r="L58" s="28">
        <f>IFERROR(VLOOKUP(D58,'ASE Target (Spares), FY 21-22'!$C$40:$J$69,8,0),"")</f>
        <v>0</v>
      </c>
      <c r="M58" s="28"/>
      <c r="N58" s="91" t="str">
        <f t="shared" si="35"/>
        <v/>
      </c>
      <c r="O58" s="30">
        <f>IFERROR(VLOOKUP(D58,'ASE Target (Spares), FY 21-22'!$C$40:$K$69,9,0),"")</f>
        <v>0</v>
      </c>
      <c r="P58" s="30"/>
      <c r="Q58" s="72" t="str">
        <f t="shared" si="36"/>
        <v/>
      </c>
      <c r="R58" s="28">
        <f>IFERROR(VLOOKUP(D58,'ASE Target (Spares), FY 21-22'!$C$40:$L$69,10,0),"")</f>
        <v>0</v>
      </c>
      <c r="S58" s="28"/>
      <c r="T58" s="91" t="str">
        <f t="shared" si="37"/>
        <v/>
      </c>
      <c r="U58" s="30">
        <f>IFERROR(VLOOKUP(D58,'ASE Target (Spares), FY 21-22'!$C$40:$M$69,11,0),"")</f>
        <v>0</v>
      </c>
      <c r="V58" s="30"/>
      <c r="W58" s="72" t="str">
        <f t="shared" si="38"/>
        <v/>
      </c>
      <c r="X58" s="28">
        <f>IFERROR(VLOOKUP(D58,'ASE Target (Spares), FY 21-22'!$C$40:$N$69,12,0),"")</f>
        <v>0</v>
      </c>
      <c r="Y58" s="28"/>
      <c r="Z58" s="91" t="str">
        <f t="shared" si="39"/>
        <v/>
      </c>
      <c r="AA58" s="30">
        <f>IFERROR(VLOOKUP(D58,'ASE Target (Spares), FY 21-22'!$C$40:$O$69,13,0),"")</f>
        <v>0</v>
      </c>
      <c r="AB58" s="30"/>
      <c r="AC58" s="72" t="str">
        <f t="shared" si="40"/>
        <v/>
      </c>
      <c r="AD58" s="28">
        <f>IFERROR(VLOOKUP(D58,'ASE Target (Spares), FY 21-22'!$C$40:$P$69,14,0),"")</f>
        <v>0</v>
      </c>
      <c r="AE58" s="28"/>
      <c r="AF58" s="28" t="str">
        <f t="shared" si="41"/>
        <v/>
      </c>
      <c r="AG58" s="30">
        <f>IFERROR(VLOOKUP(D58,'ASE Target (Spares), FY 21-22'!$C$40:$Q$69,15,0),"")</f>
        <v>0</v>
      </c>
      <c r="AH58" s="30"/>
      <c r="AI58" s="72" t="str">
        <f t="shared" si="42"/>
        <v/>
      </c>
      <c r="AJ58" s="28">
        <f>IFERROR(VLOOKUP(D58,'ASE Target (Spares), FY 21-22'!$C$40:$R$69,16,0),"")</f>
        <v>0</v>
      </c>
      <c r="AK58" s="28"/>
      <c r="AL58" s="91" t="str">
        <f t="shared" si="43"/>
        <v/>
      </c>
      <c r="AM58" s="30">
        <f>IFERROR(VLOOKUP(D58,'ASE Target (Spares), FY 21-22'!$C$40:$S$69,17,0),"")</f>
        <v>0</v>
      </c>
      <c r="AN58" s="30"/>
      <c r="AO58" s="72" t="str">
        <f t="shared" si="44"/>
        <v/>
      </c>
      <c r="AP58" s="32">
        <f t="shared" si="45"/>
        <v>0</v>
      </c>
      <c r="AQ58" s="32">
        <f t="shared" si="46"/>
        <v>0</v>
      </c>
      <c r="AR58" s="94" t="str">
        <f t="shared" si="47"/>
        <v/>
      </c>
    </row>
    <row r="59" spans="2:44" x14ac:dyDescent="0.25">
      <c r="B59" s="15">
        <f t="shared" si="30"/>
        <v>18</v>
      </c>
      <c r="C59" s="25" t="str">
        <f t="shared" ref="C59:E59" si="63">IF(C24=0,"",C24)</f>
        <v>DSL-DHK</v>
      </c>
      <c r="D59" s="25" t="str">
        <f t="shared" si="63"/>
        <v>Md. Habibur Rahman</v>
      </c>
      <c r="E59" s="26">
        <f t="shared" si="63"/>
        <v>6079</v>
      </c>
      <c r="F59" s="28">
        <f>IFERROR(VLOOKUP(D59,'ASE Target (Spares), FY 21-22'!$C$40:$H$69,6,0),"")</f>
        <v>112500</v>
      </c>
      <c r="G59" s="28">
        <v>263694</v>
      </c>
      <c r="H59" s="91">
        <f t="shared" si="33"/>
        <v>2.3439466666666666</v>
      </c>
      <c r="I59" s="30">
        <f>IFERROR(VLOOKUP(D59,'ASE Target (Spares), FY 21-22'!$C$40:$I$69,7,0),"")</f>
        <v>112500</v>
      </c>
      <c r="J59" s="30"/>
      <c r="K59" s="72">
        <f t="shared" si="34"/>
        <v>0</v>
      </c>
      <c r="L59" s="28">
        <f>IFERROR(VLOOKUP(D59,'ASE Target (Spares), FY 21-22'!$C$40:$J$69,8,0),"")</f>
        <v>0</v>
      </c>
      <c r="M59" s="28"/>
      <c r="N59" s="91" t="str">
        <f t="shared" si="35"/>
        <v/>
      </c>
      <c r="O59" s="30">
        <f>IFERROR(VLOOKUP(D59,'ASE Target (Spares), FY 21-22'!$C$40:$K$69,9,0),"")</f>
        <v>0</v>
      </c>
      <c r="P59" s="30"/>
      <c r="Q59" s="72" t="str">
        <f t="shared" si="36"/>
        <v/>
      </c>
      <c r="R59" s="28">
        <f>IFERROR(VLOOKUP(D59,'ASE Target (Spares), FY 21-22'!$C$40:$L$69,10,0),"")</f>
        <v>0</v>
      </c>
      <c r="S59" s="28"/>
      <c r="T59" s="91" t="str">
        <f t="shared" si="37"/>
        <v/>
      </c>
      <c r="U59" s="30">
        <f>IFERROR(VLOOKUP(D59,'ASE Target (Spares), FY 21-22'!$C$40:$M$69,11,0),"")</f>
        <v>0</v>
      </c>
      <c r="V59" s="30"/>
      <c r="W59" s="72" t="str">
        <f t="shared" si="38"/>
        <v/>
      </c>
      <c r="X59" s="28">
        <f>IFERROR(VLOOKUP(D59,'ASE Target (Spares), FY 21-22'!$C$40:$N$69,12,0),"")</f>
        <v>0</v>
      </c>
      <c r="Y59" s="28"/>
      <c r="Z59" s="91" t="str">
        <f t="shared" si="39"/>
        <v/>
      </c>
      <c r="AA59" s="30">
        <f>IFERROR(VLOOKUP(D59,'ASE Target (Spares), FY 21-22'!$C$40:$O$69,13,0),"")</f>
        <v>0</v>
      </c>
      <c r="AB59" s="30"/>
      <c r="AC59" s="72" t="str">
        <f t="shared" si="40"/>
        <v/>
      </c>
      <c r="AD59" s="28">
        <f>IFERROR(VLOOKUP(D59,'ASE Target (Spares), FY 21-22'!$C$40:$P$69,14,0),"")</f>
        <v>0</v>
      </c>
      <c r="AE59" s="28"/>
      <c r="AF59" s="28" t="str">
        <f t="shared" si="41"/>
        <v/>
      </c>
      <c r="AG59" s="30">
        <f>IFERROR(VLOOKUP(D59,'ASE Target (Spares), FY 21-22'!$C$40:$Q$69,15,0),"")</f>
        <v>0</v>
      </c>
      <c r="AH59" s="30"/>
      <c r="AI59" s="72" t="str">
        <f t="shared" si="42"/>
        <v/>
      </c>
      <c r="AJ59" s="28">
        <f>IFERROR(VLOOKUP(D59,'ASE Target (Spares), FY 21-22'!$C$40:$R$69,16,0),"")</f>
        <v>0</v>
      </c>
      <c r="AK59" s="28"/>
      <c r="AL59" s="91" t="str">
        <f t="shared" si="43"/>
        <v/>
      </c>
      <c r="AM59" s="30">
        <f>IFERROR(VLOOKUP(D59,'ASE Target (Spares), FY 21-22'!$C$40:$S$69,17,0),"")</f>
        <v>112500</v>
      </c>
      <c r="AN59" s="30">
        <v>272707</v>
      </c>
      <c r="AO59" s="72">
        <f t="shared" si="44"/>
        <v>2.4240622222222221</v>
      </c>
      <c r="AP59" s="32">
        <f t="shared" si="45"/>
        <v>337500</v>
      </c>
      <c r="AQ59" s="32">
        <f t="shared" si="46"/>
        <v>536401</v>
      </c>
      <c r="AR59" s="94">
        <f t="shared" si="47"/>
        <v>1.5893362962962962</v>
      </c>
    </row>
    <row r="60" spans="2:44" x14ac:dyDescent="0.25">
      <c r="B60" s="15">
        <f t="shared" ref="B60" si="64">B25</f>
        <v>19</v>
      </c>
      <c r="C60" s="25" t="str">
        <f t="shared" ref="C60:E60" si="65">IF(C25=0,"",C25)</f>
        <v>DSL-DHK</v>
      </c>
      <c r="D60" s="25" t="str">
        <f t="shared" si="65"/>
        <v>Ashikur Rahman</v>
      </c>
      <c r="E60" s="26">
        <f t="shared" si="65"/>
        <v>6080</v>
      </c>
      <c r="F60" s="28">
        <f>IFERROR(VLOOKUP(D60,'ASE Target (Spares), FY 21-22'!$C$40:$H$69,6,0),"")</f>
        <v>225000</v>
      </c>
      <c r="G60" s="28">
        <v>296744</v>
      </c>
      <c r="H60" s="91">
        <f t="shared" si="33"/>
        <v>1.3188622222222222</v>
      </c>
      <c r="I60" s="30">
        <f>IFERROR(VLOOKUP(D60,'ASE Target (Spares), FY 21-22'!$C$40:$I$69,7,0),"")</f>
        <v>225000</v>
      </c>
      <c r="J60" s="30"/>
      <c r="K60" s="72">
        <f t="shared" si="34"/>
        <v>0</v>
      </c>
      <c r="L60" s="28">
        <f>IFERROR(VLOOKUP(D60,'ASE Target (Spares), FY 21-22'!$C$40:$J$69,8,0),"")</f>
        <v>0</v>
      </c>
      <c r="M60" s="28"/>
      <c r="N60" s="91" t="str">
        <f t="shared" si="35"/>
        <v/>
      </c>
      <c r="O60" s="30">
        <f>IFERROR(VLOOKUP(D60,'ASE Target (Spares), FY 21-22'!$C$40:$K$69,9,0),"")</f>
        <v>0</v>
      </c>
      <c r="P60" s="30"/>
      <c r="Q60" s="72" t="str">
        <f t="shared" si="36"/>
        <v/>
      </c>
      <c r="R60" s="28">
        <f>IFERROR(VLOOKUP(D60,'ASE Target (Spares), FY 21-22'!$C$40:$L$69,10,0),"")</f>
        <v>0</v>
      </c>
      <c r="S60" s="28"/>
      <c r="T60" s="91" t="str">
        <f t="shared" si="37"/>
        <v/>
      </c>
      <c r="U60" s="30">
        <f>IFERROR(VLOOKUP(D60,'ASE Target (Spares), FY 21-22'!$C$40:$M$69,11,0),"")</f>
        <v>0</v>
      </c>
      <c r="V60" s="30"/>
      <c r="W60" s="72" t="str">
        <f t="shared" si="38"/>
        <v/>
      </c>
      <c r="X60" s="28">
        <f>IFERROR(VLOOKUP(D60,'ASE Target (Spares), FY 21-22'!$C$40:$N$69,12,0),"")</f>
        <v>0</v>
      </c>
      <c r="Y60" s="28"/>
      <c r="Z60" s="91" t="str">
        <f t="shared" si="39"/>
        <v/>
      </c>
      <c r="AA60" s="30">
        <f>IFERROR(VLOOKUP(D60,'ASE Target (Spares), FY 21-22'!$C$40:$O$69,13,0),"")</f>
        <v>0</v>
      </c>
      <c r="AB60" s="30"/>
      <c r="AC60" s="72" t="str">
        <f t="shared" si="40"/>
        <v/>
      </c>
      <c r="AD60" s="28">
        <f>IFERROR(VLOOKUP(D60,'ASE Target (Spares), FY 21-22'!$C$40:$P$69,14,0),"")</f>
        <v>0</v>
      </c>
      <c r="AE60" s="28"/>
      <c r="AF60" s="28" t="str">
        <f t="shared" si="41"/>
        <v/>
      </c>
      <c r="AG60" s="30">
        <f>IFERROR(VLOOKUP(D60,'ASE Target (Spares), FY 21-22'!$C$40:$Q$69,15,0),"")</f>
        <v>0</v>
      </c>
      <c r="AH60" s="30"/>
      <c r="AI60" s="72" t="str">
        <f t="shared" si="42"/>
        <v/>
      </c>
      <c r="AJ60" s="28">
        <f>IFERROR(VLOOKUP(D60,'ASE Target (Spares), FY 21-22'!$C$40:$R$69,16,0),"")</f>
        <v>0</v>
      </c>
      <c r="AK60" s="28"/>
      <c r="AL60" s="91" t="str">
        <f t="shared" si="43"/>
        <v/>
      </c>
      <c r="AM60" s="30">
        <f>IFERROR(VLOOKUP(D60,'ASE Target (Spares), FY 21-22'!$C$40:$S$69,17,0),"")</f>
        <v>225000</v>
      </c>
      <c r="AN60" s="30">
        <v>342712</v>
      </c>
      <c r="AO60" s="72">
        <f t="shared" si="44"/>
        <v>1.5231644444444445</v>
      </c>
      <c r="AP60" s="32">
        <f t="shared" si="45"/>
        <v>675000</v>
      </c>
      <c r="AQ60" s="32">
        <f t="shared" si="46"/>
        <v>639456</v>
      </c>
      <c r="AR60" s="94">
        <f t="shared" si="47"/>
        <v>0.9473422222222222</v>
      </c>
    </row>
    <row r="61" spans="2:44" x14ac:dyDescent="0.25">
      <c r="B61" s="15">
        <f t="shared" ref="B61" si="66">B26</f>
        <v>20</v>
      </c>
      <c r="C61" s="25" t="str">
        <f t="shared" ref="C61:E61" si="67">IF(C26=0,"",C26)</f>
        <v>DSL-DHK</v>
      </c>
      <c r="D61" s="25" t="str">
        <f t="shared" si="67"/>
        <v>Md. Sujon Hossain</v>
      </c>
      <c r="E61" s="26">
        <f t="shared" si="67"/>
        <v>6078</v>
      </c>
      <c r="F61" s="28">
        <f>IFERROR(VLOOKUP(D61,'ASE Target (Spares), FY 21-22'!$C$40:$H$69,6,0),"")</f>
        <v>270000</v>
      </c>
      <c r="G61" s="28">
        <v>290128</v>
      </c>
      <c r="H61" s="91">
        <f t="shared" si="33"/>
        <v>1.0745481481481483</v>
      </c>
      <c r="I61" s="30">
        <f>IFERROR(VLOOKUP(D61,'ASE Target (Spares), FY 21-22'!$C$40:$I$69,7,0),"")</f>
        <v>270000</v>
      </c>
      <c r="J61" s="30"/>
      <c r="K61" s="72">
        <f t="shared" si="34"/>
        <v>0</v>
      </c>
      <c r="L61" s="28">
        <f>IFERROR(VLOOKUP(D61,'ASE Target (Spares), FY 21-22'!$C$40:$J$69,8,0),"")</f>
        <v>0</v>
      </c>
      <c r="M61" s="28"/>
      <c r="N61" s="91" t="str">
        <f t="shared" si="35"/>
        <v/>
      </c>
      <c r="O61" s="30">
        <f>IFERROR(VLOOKUP(D61,'ASE Target (Spares), FY 21-22'!$C$40:$K$69,9,0),"")</f>
        <v>0</v>
      </c>
      <c r="P61" s="30"/>
      <c r="Q61" s="72" t="str">
        <f t="shared" si="36"/>
        <v/>
      </c>
      <c r="R61" s="28">
        <f>IFERROR(VLOOKUP(D61,'ASE Target (Spares), FY 21-22'!$C$40:$L$69,10,0),"")</f>
        <v>0</v>
      </c>
      <c r="S61" s="28"/>
      <c r="T61" s="91" t="str">
        <f t="shared" si="37"/>
        <v/>
      </c>
      <c r="U61" s="30">
        <f>IFERROR(VLOOKUP(D61,'ASE Target (Spares), FY 21-22'!$C$40:$M$69,11,0),"")</f>
        <v>0</v>
      </c>
      <c r="V61" s="30"/>
      <c r="W61" s="72" t="str">
        <f t="shared" si="38"/>
        <v/>
      </c>
      <c r="X61" s="28">
        <f>IFERROR(VLOOKUP(D61,'ASE Target (Spares), FY 21-22'!$C$40:$N$69,12,0),"")</f>
        <v>0</v>
      </c>
      <c r="Y61" s="28"/>
      <c r="Z61" s="91" t="str">
        <f t="shared" si="39"/>
        <v/>
      </c>
      <c r="AA61" s="30">
        <f>IFERROR(VLOOKUP(D61,'ASE Target (Spares), FY 21-22'!$C$40:$O$69,13,0),"")</f>
        <v>0</v>
      </c>
      <c r="AB61" s="30"/>
      <c r="AC61" s="72" t="str">
        <f t="shared" si="40"/>
        <v/>
      </c>
      <c r="AD61" s="28">
        <f>IFERROR(VLOOKUP(D61,'ASE Target (Spares), FY 21-22'!$C$40:$P$69,14,0),"")</f>
        <v>0</v>
      </c>
      <c r="AE61" s="28"/>
      <c r="AF61" s="28" t="str">
        <f t="shared" si="41"/>
        <v/>
      </c>
      <c r="AG61" s="30">
        <f>IFERROR(VLOOKUP(D61,'ASE Target (Spares), FY 21-22'!$C$40:$Q$69,15,0),"")</f>
        <v>0</v>
      </c>
      <c r="AH61" s="30"/>
      <c r="AI61" s="72" t="str">
        <f t="shared" si="42"/>
        <v/>
      </c>
      <c r="AJ61" s="28">
        <f>IFERROR(VLOOKUP(D61,'ASE Target (Spares), FY 21-22'!$C$40:$R$69,16,0),"")</f>
        <v>0</v>
      </c>
      <c r="AK61" s="28"/>
      <c r="AL61" s="91" t="str">
        <f t="shared" si="43"/>
        <v/>
      </c>
      <c r="AM61" s="30">
        <f>IFERROR(VLOOKUP(D61,'ASE Target (Spares), FY 21-22'!$C$40:$S$69,17,0),"")</f>
        <v>270000</v>
      </c>
      <c r="AN61" s="30">
        <v>413829</v>
      </c>
      <c r="AO61" s="72">
        <f t="shared" si="44"/>
        <v>1.5327</v>
      </c>
      <c r="AP61" s="32">
        <f t="shared" si="45"/>
        <v>810000</v>
      </c>
      <c r="AQ61" s="32">
        <f t="shared" si="46"/>
        <v>703957</v>
      </c>
      <c r="AR61" s="94">
        <f t="shared" si="47"/>
        <v>0.8690827160493827</v>
      </c>
    </row>
    <row r="62" spans="2:44" x14ac:dyDescent="0.25">
      <c r="B62" s="15">
        <f t="shared" ref="B62" si="68">B27</f>
        <v>21</v>
      </c>
      <c r="C62" s="25" t="str">
        <f t="shared" ref="C62:E62" si="69">IF(C27=0,"",C27)</f>
        <v>DSL-DHK</v>
      </c>
      <c r="D62" s="25" t="str">
        <f t="shared" si="69"/>
        <v xml:space="preserve">Md Jiaur Rahman </v>
      </c>
      <c r="E62" s="26" t="str">
        <f t="shared" si="69"/>
        <v>0522</v>
      </c>
      <c r="F62" s="28">
        <f>IFERROR(VLOOKUP(D62,'ASE Target (Spares), FY 21-22'!$C$40:$H$69,6,0),"")</f>
        <v>405000</v>
      </c>
      <c r="G62" s="28"/>
      <c r="H62" s="91">
        <f t="shared" si="33"/>
        <v>0</v>
      </c>
      <c r="I62" s="30">
        <f>IFERROR(VLOOKUP(D62,'ASE Target (Spares), FY 21-22'!$C$40:$I$69,7,0),"")</f>
        <v>405000</v>
      </c>
      <c r="J62" s="30"/>
      <c r="K62" s="72">
        <f t="shared" si="34"/>
        <v>0</v>
      </c>
      <c r="L62" s="28">
        <f>IFERROR(VLOOKUP(D62,'ASE Target (Spares), FY 21-22'!$C$40:$J$69,8,0),"")</f>
        <v>0</v>
      </c>
      <c r="M62" s="28"/>
      <c r="N62" s="91" t="str">
        <f t="shared" si="35"/>
        <v/>
      </c>
      <c r="O62" s="30">
        <f>IFERROR(VLOOKUP(D62,'ASE Target (Spares), FY 21-22'!$C$40:$K$69,9,0),"")</f>
        <v>0</v>
      </c>
      <c r="P62" s="30"/>
      <c r="Q62" s="72" t="str">
        <f t="shared" si="36"/>
        <v/>
      </c>
      <c r="R62" s="28">
        <f>IFERROR(VLOOKUP(D62,'ASE Target (Spares), FY 21-22'!$C$40:$L$69,10,0),"")</f>
        <v>0</v>
      </c>
      <c r="S62" s="28"/>
      <c r="T62" s="91" t="str">
        <f t="shared" si="37"/>
        <v/>
      </c>
      <c r="U62" s="30">
        <f>IFERROR(VLOOKUP(D62,'ASE Target (Spares), FY 21-22'!$C$40:$M$69,11,0),"")</f>
        <v>0</v>
      </c>
      <c r="V62" s="30"/>
      <c r="W62" s="72" t="str">
        <f t="shared" si="38"/>
        <v/>
      </c>
      <c r="X62" s="28">
        <f>IFERROR(VLOOKUP(D62,'ASE Target (Spares), FY 21-22'!$C$40:$N$69,12,0),"")</f>
        <v>0</v>
      </c>
      <c r="Y62" s="28"/>
      <c r="Z62" s="91" t="str">
        <f t="shared" si="39"/>
        <v/>
      </c>
      <c r="AA62" s="30">
        <f>IFERROR(VLOOKUP(D62,'ASE Target (Spares), FY 21-22'!$C$40:$O$69,13,0),"")</f>
        <v>0</v>
      </c>
      <c r="AB62" s="30"/>
      <c r="AC62" s="72" t="str">
        <f t="shared" si="40"/>
        <v/>
      </c>
      <c r="AD62" s="28">
        <f>IFERROR(VLOOKUP(D62,'ASE Target (Spares), FY 21-22'!$C$40:$P$69,14,0),"")</f>
        <v>382500</v>
      </c>
      <c r="AE62" s="28"/>
      <c r="AF62" s="28">
        <f t="shared" si="41"/>
        <v>0</v>
      </c>
      <c r="AG62" s="30">
        <v>255000</v>
      </c>
      <c r="AH62" s="30"/>
      <c r="AI62" s="72">
        <f t="shared" si="42"/>
        <v>0</v>
      </c>
      <c r="AJ62" s="28">
        <f>IFERROR(VLOOKUP(D62,'ASE Target (Spares), FY 21-22'!$C$40:$R$69,16,0),"")</f>
        <v>765000</v>
      </c>
      <c r="AK62" s="28"/>
      <c r="AL62" s="91">
        <f t="shared" si="43"/>
        <v>0</v>
      </c>
      <c r="AM62" s="30">
        <f>IFERROR(VLOOKUP(D62,'ASE Target (Spares), FY 21-22'!$C$40:$S$69,17,0),"")</f>
        <v>787500</v>
      </c>
      <c r="AN62" s="30"/>
      <c r="AO62" s="72">
        <f t="shared" si="44"/>
        <v>0</v>
      </c>
      <c r="AP62" s="32">
        <f t="shared" si="45"/>
        <v>3000000</v>
      </c>
      <c r="AQ62" s="32">
        <f t="shared" si="46"/>
        <v>0</v>
      </c>
      <c r="AR62" s="94">
        <f t="shared" si="47"/>
        <v>0</v>
      </c>
    </row>
    <row r="63" spans="2:44" x14ac:dyDescent="0.25">
      <c r="B63" s="15">
        <f t="shared" ref="B63" si="70">B28</f>
        <v>0</v>
      </c>
      <c r="C63" s="25" t="str">
        <f t="shared" ref="C63:E63" si="71">IF(C28=0,"",C28)</f>
        <v/>
      </c>
      <c r="D63" s="25" t="str">
        <f t="shared" si="71"/>
        <v>New-2</v>
      </c>
      <c r="E63" s="26" t="str">
        <f t="shared" si="71"/>
        <v/>
      </c>
      <c r="F63" s="28">
        <f>IFERROR(VLOOKUP(D63,'ASE Target (Spares), FY 21-22'!$C$40:$H$69,6,0),"")</f>
        <v>0</v>
      </c>
      <c r="G63" s="28"/>
      <c r="H63" s="91" t="str">
        <f t="shared" si="33"/>
        <v/>
      </c>
      <c r="I63" s="30">
        <f>IFERROR(VLOOKUP(D63,'ASE Target (Spares), FY 21-22'!$C$40:$I$69,7,0),"")</f>
        <v>0</v>
      </c>
      <c r="J63" s="30"/>
      <c r="K63" s="72" t="str">
        <f t="shared" si="34"/>
        <v/>
      </c>
      <c r="L63" s="28">
        <f>IFERROR(VLOOKUP(D63,'ASE Target (Spares), FY 21-22'!$C$40:$J$69,8,0),"")</f>
        <v>0</v>
      </c>
      <c r="M63" s="28"/>
      <c r="N63" s="91" t="str">
        <f t="shared" si="35"/>
        <v/>
      </c>
      <c r="O63" s="30">
        <f>IFERROR(VLOOKUP(D63,'ASE Target (Spares), FY 21-22'!$C$40:$K$69,9,0),"")</f>
        <v>0</v>
      </c>
      <c r="P63" s="30"/>
      <c r="Q63" s="72" t="str">
        <f t="shared" si="36"/>
        <v/>
      </c>
      <c r="R63" s="28">
        <f>IFERROR(VLOOKUP(D63,'ASE Target (Spares), FY 21-22'!$C$40:$L$69,10,0),"")</f>
        <v>0</v>
      </c>
      <c r="S63" s="28"/>
      <c r="T63" s="91" t="str">
        <f t="shared" si="37"/>
        <v/>
      </c>
      <c r="U63" s="30">
        <f>IFERROR(VLOOKUP(D63,'ASE Target (Spares), FY 21-22'!$C$40:$M$69,11,0),"")</f>
        <v>0</v>
      </c>
      <c r="V63" s="30"/>
      <c r="W63" s="72" t="str">
        <f t="shared" si="38"/>
        <v/>
      </c>
      <c r="X63" s="28">
        <f>IFERROR(VLOOKUP(D63,'ASE Target (Spares), FY 21-22'!$C$40:$N$69,12,0),"")</f>
        <v>0</v>
      </c>
      <c r="Y63" s="28"/>
      <c r="Z63" s="91" t="str">
        <f t="shared" si="39"/>
        <v/>
      </c>
      <c r="AA63" s="30">
        <f>IFERROR(VLOOKUP(D63,'ASE Target (Spares), FY 21-22'!$C$40:$O$69,13,0),"")</f>
        <v>0</v>
      </c>
      <c r="AB63" s="30"/>
      <c r="AC63" s="72" t="str">
        <f t="shared" si="40"/>
        <v/>
      </c>
      <c r="AD63" s="28">
        <f>IFERROR(VLOOKUP(D63,'ASE Target (Spares), FY 21-22'!$C$40:$P$69,14,0),"")</f>
        <v>0</v>
      </c>
      <c r="AE63" s="28"/>
      <c r="AF63" s="28" t="str">
        <f t="shared" si="41"/>
        <v/>
      </c>
      <c r="AG63" s="30">
        <f>IFERROR(VLOOKUP(D63,'ASE Target (Spares), FY 21-22'!$C$40:$Q$69,15,0),"")</f>
        <v>0</v>
      </c>
      <c r="AH63" s="30"/>
      <c r="AI63" s="72" t="str">
        <f t="shared" si="42"/>
        <v/>
      </c>
      <c r="AJ63" s="28">
        <f>IFERROR(VLOOKUP(D63,'ASE Target (Spares), FY 21-22'!$C$40:$R$69,16,0),"")</f>
        <v>0</v>
      </c>
      <c r="AK63" s="28"/>
      <c r="AL63" s="91" t="str">
        <f t="shared" si="43"/>
        <v/>
      </c>
      <c r="AM63" s="30">
        <f>IFERROR(VLOOKUP(D63,'ASE Target (Spares), FY 21-22'!$C$40:$S$69,17,0),"")</f>
        <v>0</v>
      </c>
      <c r="AN63" s="30"/>
      <c r="AO63" s="72" t="str">
        <f t="shared" si="44"/>
        <v/>
      </c>
      <c r="AP63" s="32">
        <f t="shared" si="45"/>
        <v>0</v>
      </c>
      <c r="AQ63" s="32">
        <f t="shared" si="46"/>
        <v>0</v>
      </c>
      <c r="AR63" s="94" t="str">
        <f t="shared" si="47"/>
        <v/>
      </c>
    </row>
    <row r="64" spans="2:44" x14ac:dyDescent="0.25">
      <c r="C64" s="25" t="str">
        <f t="shared" ref="C64:E64" si="72">IF(C29=0,"",C29)</f>
        <v/>
      </c>
      <c r="D64" s="25" t="str">
        <f t="shared" si="72"/>
        <v>New-3</v>
      </c>
      <c r="E64" s="26" t="str">
        <f t="shared" si="72"/>
        <v/>
      </c>
      <c r="F64" s="28">
        <f>IFERROR(VLOOKUP(D64,'ASE Target (Spares), FY 21-22'!$C$40:$H$69,6,0),"")</f>
        <v>0</v>
      </c>
      <c r="G64" s="28"/>
      <c r="H64" s="91" t="str">
        <f t="shared" si="33"/>
        <v/>
      </c>
      <c r="I64" s="30">
        <f>IFERROR(VLOOKUP(D64,'ASE Target (Spares), FY 21-22'!$C$40:$I$69,7,0),"")</f>
        <v>0</v>
      </c>
      <c r="J64" s="30"/>
      <c r="K64" s="72" t="str">
        <f t="shared" si="34"/>
        <v/>
      </c>
      <c r="L64" s="28">
        <f>IFERROR(VLOOKUP(D64,'ASE Target (Spares), FY 21-22'!$C$40:$J$69,8,0),"")</f>
        <v>0</v>
      </c>
      <c r="M64" s="28"/>
      <c r="N64" s="91" t="str">
        <f t="shared" si="35"/>
        <v/>
      </c>
      <c r="O64" s="30">
        <f>IFERROR(VLOOKUP(D64,'ASE Target (Spares), FY 21-22'!$C$40:$K$69,9,0),"")</f>
        <v>0</v>
      </c>
      <c r="P64" s="30"/>
      <c r="Q64" s="72" t="str">
        <f t="shared" si="36"/>
        <v/>
      </c>
      <c r="R64" s="28">
        <f>IFERROR(VLOOKUP(D64,'ASE Target (Spares), FY 21-22'!$C$40:$L$69,10,0),"")</f>
        <v>0</v>
      </c>
      <c r="S64" s="28"/>
      <c r="T64" s="91" t="str">
        <f t="shared" si="37"/>
        <v/>
      </c>
      <c r="U64" s="30">
        <f>IFERROR(VLOOKUP(D64,'ASE Target (Spares), FY 21-22'!$C$40:$M$69,11,0),"")</f>
        <v>0</v>
      </c>
      <c r="V64" s="30"/>
      <c r="W64" s="72" t="str">
        <f t="shared" si="38"/>
        <v/>
      </c>
      <c r="X64" s="28">
        <f>IFERROR(VLOOKUP(D64,'ASE Target (Spares), FY 21-22'!$C$40:$N$69,12,0),"")</f>
        <v>0</v>
      </c>
      <c r="Y64" s="28"/>
      <c r="Z64" s="91" t="str">
        <f t="shared" si="39"/>
        <v/>
      </c>
      <c r="AA64" s="30">
        <f>IFERROR(VLOOKUP(D64,'ASE Target (Spares), FY 21-22'!$C$40:$O$69,13,0),"")</f>
        <v>0</v>
      </c>
      <c r="AB64" s="30"/>
      <c r="AC64" s="72" t="str">
        <f t="shared" si="40"/>
        <v/>
      </c>
      <c r="AD64" s="28">
        <f>IFERROR(VLOOKUP(D64,'ASE Target (Spares), FY 21-22'!$C$40:$P$69,14,0),"")</f>
        <v>0</v>
      </c>
      <c r="AE64" s="28"/>
      <c r="AF64" s="28" t="str">
        <f t="shared" si="41"/>
        <v/>
      </c>
      <c r="AG64" s="30">
        <f>IFERROR(VLOOKUP(D64,'ASE Target (Spares), FY 21-22'!$C$40:$Q$69,15,0),"")</f>
        <v>0</v>
      </c>
      <c r="AH64" s="30"/>
      <c r="AI64" s="72" t="str">
        <f t="shared" si="42"/>
        <v/>
      </c>
      <c r="AJ64" s="28">
        <f>IFERROR(VLOOKUP(D64,'ASE Target (Spares), FY 21-22'!$C$40:$R$69,16,0),"")</f>
        <v>0</v>
      </c>
      <c r="AK64" s="28"/>
      <c r="AL64" s="91" t="str">
        <f t="shared" si="43"/>
        <v/>
      </c>
      <c r="AM64" s="30">
        <f>IFERROR(VLOOKUP(D64,'ASE Target (Spares), FY 21-22'!$C$40:$S$69,17,0),"")</f>
        <v>0</v>
      </c>
      <c r="AN64" s="30"/>
      <c r="AO64" s="72" t="str">
        <f t="shared" si="44"/>
        <v/>
      </c>
      <c r="AP64" s="32">
        <f t="shared" si="45"/>
        <v>0</v>
      </c>
      <c r="AQ64" s="32">
        <f t="shared" si="46"/>
        <v>0</v>
      </c>
      <c r="AR64" s="94" t="str">
        <f t="shared" si="47"/>
        <v/>
      </c>
    </row>
    <row r="65" spans="3:44" x14ac:dyDescent="0.25">
      <c r="C65" s="25" t="str">
        <f t="shared" ref="C65:E65" si="73">IF(C30=0,"",C30)</f>
        <v/>
      </c>
      <c r="D65" s="25" t="str">
        <f t="shared" si="73"/>
        <v>New-4</v>
      </c>
      <c r="E65" s="26" t="str">
        <f t="shared" si="73"/>
        <v/>
      </c>
      <c r="F65" s="28">
        <f>IFERROR(VLOOKUP(D65,'ASE Target (Spares), FY 21-22'!$C$40:$H$69,6,0),"")</f>
        <v>0</v>
      </c>
      <c r="G65" s="28"/>
      <c r="H65" s="91" t="str">
        <f t="shared" si="33"/>
        <v/>
      </c>
      <c r="I65" s="30">
        <f>IFERROR(VLOOKUP(D65,'ASE Target (Spares), FY 21-22'!$C$40:$I$69,7,0),"")</f>
        <v>0</v>
      </c>
      <c r="J65" s="30"/>
      <c r="K65" s="72" t="str">
        <f t="shared" si="34"/>
        <v/>
      </c>
      <c r="L65" s="28">
        <f>IFERROR(VLOOKUP(D65,'ASE Target (Spares), FY 21-22'!$C$40:$J$69,8,0),"")</f>
        <v>0</v>
      </c>
      <c r="M65" s="28"/>
      <c r="N65" s="91" t="str">
        <f t="shared" si="35"/>
        <v/>
      </c>
      <c r="O65" s="30">
        <f>IFERROR(VLOOKUP(D65,'ASE Target (Spares), FY 21-22'!$C$40:$K$69,9,0),"")</f>
        <v>0</v>
      </c>
      <c r="P65" s="30"/>
      <c r="Q65" s="72" t="str">
        <f t="shared" si="36"/>
        <v/>
      </c>
      <c r="R65" s="28">
        <f>IFERROR(VLOOKUP(D65,'ASE Target (Spares), FY 21-22'!$C$40:$L$69,10,0),"")</f>
        <v>0</v>
      </c>
      <c r="S65" s="28"/>
      <c r="T65" s="91" t="str">
        <f t="shared" si="37"/>
        <v/>
      </c>
      <c r="U65" s="30">
        <f>IFERROR(VLOOKUP(D65,'ASE Target (Spares), FY 21-22'!$C$40:$M$69,11,0),"")</f>
        <v>0</v>
      </c>
      <c r="V65" s="30"/>
      <c r="W65" s="72" t="str">
        <f t="shared" si="38"/>
        <v/>
      </c>
      <c r="X65" s="28">
        <f>IFERROR(VLOOKUP(D65,'ASE Target (Spares), FY 21-22'!$C$40:$N$69,12,0),"")</f>
        <v>0</v>
      </c>
      <c r="Y65" s="28"/>
      <c r="Z65" s="91" t="str">
        <f t="shared" si="39"/>
        <v/>
      </c>
      <c r="AA65" s="30">
        <f>IFERROR(VLOOKUP(D65,'ASE Target (Spares), FY 21-22'!$C$40:$O$69,13,0),"")</f>
        <v>0</v>
      </c>
      <c r="AB65" s="30"/>
      <c r="AC65" s="72" t="str">
        <f t="shared" si="40"/>
        <v/>
      </c>
      <c r="AD65" s="28">
        <f>IFERROR(VLOOKUP(D65,'ASE Target (Spares), FY 21-22'!$C$40:$P$69,14,0),"")</f>
        <v>0</v>
      </c>
      <c r="AE65" s="28"/>
      <c r="AF65" s="28" t="str">
        <f t="shared" si="41"/>
        <v/>
      </c>
      <c r="AG65" s="30">
        <f>IFERROR(VLOOKUP(D65,'ASE Target (Spares), FY 21-22'!$C$40:$Q$69,15,0),"")</f>
        <v>0</v>
      </c>
      <c r="AH65" s="30"/>
      <c r="AI65" s="72" t="str">
        <f t="shared" si="42"/>
        <v/>
      </c>
      <c r="AJ65" s="28">
        <f>IFERROR(VLOOKUP(D65,'ASE Target (Spares), FY 21-22'!$C$40:$R$69,16,0),"")</f>
        <v>0</v>
      </c>
      <c r="AK65" s="28"/>
      <c r="AL65" s="91" t="str">
        <f t="shared" si="43"/>
        <v/>
      </c>
      <c r="AM65" s="30">
        <f>IFERROR(VLOOKUP(D65,'ASE Target (Spares), FY 21-22'!$C$40:$S$69,17,0),"")</f>
        <v>0</v>
      </c>
      <c r="AN65" s="30"/>
      <c r="AO65" s="72" t="str">
        <f t="shared" si="44"/>
        <v/>
      </c>
      <c r="AP65" s="32">
        <f t="shared" si="45"/>
        <v>0</v>
      </c>
      <c r="AQ65" s="32">
        <f t="shared" si="46"/>
        <v>0</v>
      </c>
      <c r="AR65" s="94" t="str">
        <f t="shared" si="47"/>
        <v/>
      </c>
    </row>
    <row r="66" spans="3:44" x14ac:dyDescent="0.25">
      <c r="C66" s="25" t="str">
        <f t="shared" ref="C66:E66" si="74">IF(C31=0,"",C31)</f>
        <v>CTG</v>
      </c>
      <c r="D66" s="25" t="str">
        <f t="shared" si="74"/>
        <v xml:space="preserve">Sumon Sen </v>
      </c>
      <c r="E66" s="26" t="str">
        <f t="shared" si="74"/>
        <v>8041</v>
      </c>
      <c r="F66" s="28">
        <f>IFERROR(VLOOKUP(D66,'ASE Target (Spares), FY 21-22'!$C$40:$H$69,6,0),"")</f>
        <v>0</v>
      </c>
      <c r="G66" s="28"/>
      <c r="H66" s="91" t="str">
        <f t="shared" si="33"/>
        <v/>
      </c>
      <c r="I66" s="30">
        <f>IFERROR(VLOOKUP(D66,'ASE Target (Spares), FY 21-22'!$C$40:$I$69,7,0),"")</f>
        <v>0</v>
      </c>
      <c r="J66" s="30"/>
      <c r="K66" s="72" t="str">
        <f t="shared" si="34"/>
        <v/>
      </c>
      <c r="L66" s="28">
        <f>IFERROR(VLOOKUP(D66,'ASE Target (Spares), FY 21-22'!$C$40:$J$69,8,0),"")</f>
        <v>0</v>
      </c>
      <c r="M66" s="28"/>
      <c r="N66" s="91" t="str">
        <f t="shared" si="35"/>
        <v/>
      </c>
      <c r="O66" s="30">
        <f>IFERROR(VLOOKUP(D66,'ASE Target (Spares), FY 21-22'!$C$40:$K$69,9,0),"")</f>
        <v>0</v>
      </c>
      <c r="P66" s="30"/>
      <c r="Q66" s="72" t="str">
        <f t="shared" si="36"/>
        <v/>
      </c>
      <c r="R66" s="28">
        <f>IFERROR(VLOOKUP(D66,'ASE Target (Spares), FY 21-22'!$C$40:$L$69,10,0),"")</f>
        <v>0</v>
      </c>
      <c r="S66" s="28"/>
      <c r="T66" s="91" t="str">
        <f t="shared" si="37"/>
        <v/>
      </c>
      <c r="U66" s="30">
        <f>IFERROR(VLOOKUP(D66,'ASE Target (Spares), FY 21-22'!$C$40:$M$69,11,0),"")</f>
        <v>0</v>
      </c>
      <c r="V66" s="30"/>
      <c r="W66" s="72" t="str">
        <f t="shared" si="38"/>
        <v/>
      </c>
      <c r="X66" s="28">
        <f>IFERROR(VLOOKUP(D66,'ASE Target (Spares), FY 21-22'!$C$40:$N$69,12,0),"")</f>
        <v>0</v>
      </c>
      <c r="Y66" s="28"/>
      <c r="Z66" s="91" t="str">
        <f t="shared" si="39"/>
        <v/>
      </c>
      <c r="AA66" s="30">
        <f>IFERROR(VLOOKUP(D66,'ASE Target (Spares), FY 21-22'!$C$40:$O$69,13,0),"")</f>
        <v>202500</v>
      </c>
      <c r="AB66" s="30"/>
      <c r="AC66" s="72">
        <f t="shared" si="40"/>
        <v>0</v>
      </c>
      <c r="AD66" s="28">
        <f>IFERROR(VLOOKUP(D66,'ASE Target (Spares), FY 21-22'!$C$40:$P$69,14,0),"")</f>
        <v>405000</v>
      </c>
      <c r="AE66" s="28"/>
      <c r="AF66" s="28">
        <f t="shared" si="41"/>
        <v>0</v>
      </c>
      <c r="AG66" s="30">
        <f>IFERROR(VLOOKUP(D66,'ASE Target (Spares), FY 21-22'!$C$40:$Q$69,15,0),"")</f>
        <v>405000</v>
      </c>
      <c r="AH66" s="30"/>
      <c r="AI66" s="72">
        <f t="shared" si="42"/>
        <v>0</v>
      </c>
      <c r="AJ66" s="28">
        <f>IFERROR(VLOOKUP(D66,'ASE Target (Spares), FY 21-22'!$C$40:$R$69,16,0),"")</f>
        <v>405000</v>
      </c>
      <c r="AK66" s="28"/>
      <c r="AL66" s="91">
        <f t="shared" si="43"/>
        <v>0</v>
      </c>
      <c r="AM66" s="30">
        <f>IFERROR(VLOOKUP(D66,'ASE Target (Spares), FY 21-22'!$C$40:$S$69,17,0),"")</f>
        <v>405000</v>
      </c>
      <c r="AN66" s="30"/>
      <c r="AO66" s="72">
        <f t="shared" si="44"/>
        <v>0</v>
      </c>
      <c r="AP66" s="32">
        <f t="shared" si="45"/>
        <v>1822500</v>
      </c>
      <c r="AQ66" s="32">
        <f t="shared" si="46"/>
        <v>0</v>
      </c>
      <c r="AR66" s="94">
        <f t="shared" si="47"/>
        <v>0</v>
      </c>
    </row>
    <row r="67" spans="3:44" x14ac:dyDescent="0.25">
      <c r="C67" s="25" t="str">
        <f t="shared" ref="C67:E67" si="75">IF(C32=0,"",C32)</f>
        <v>CTG</v>
      </c>
      <c r="D67" s="25" t="str">
        <f t="shared" si="75"/>
        <v>Tapan Barua</v>
      </c>
      <c r="E67" s="26" t="str">
        <f t="shared" si="75"/>
        <v>1475</v>
      </c>
      <c r="F67" s="28">
        <f>IFERROR(VLOOKUP(D67,'ASE Target (Spares), FY 21-22'!$C$40:$H$69,6,0),"")</f>
        <v>0</v>
      </c>
      <c r="G67" s="28"/>
      <c r="H67" s="91" t="str">
        <f t="shared" si="33"/>
        <v/>
      </c>
      <c r="I67" s="30">
        <f>IFERROR(VLOOKUP(D67,'ASE Target (Spares), FY 21-22'!$C$40:$I$69,7,0),"")</f>
        <v>0</v>
      </c>
      <c r="J67" s="30"/>
      <c r="K67" s="72" t="str">
        <f t="shared" si="34"/>
        <v/>
      </c>
      <c r="L67" s="28">
        <f>IFERROR(VLOOKUP(D67,'ASE Target (Spares), FY 21-22'!$C$40:$J$69,8,0),"")</f>
        <v>0</v>
      </c>
      <c r="M67" s="28"/>
      <c r="N67" s="91" t="str">
        <f t="shared" si="35"/>
        <v/>
      </c>
      <c r="O67" s="30">
        <f>IFERROR(VLOOKUP(D67,'ASE Target (Spares), FY 21-22'!$C$40:$K$69,9,0),"")</f>
        <v>0</v>
      </c>
      <c r="P67" s="30"/>
      <c r="Q67" s="72" t="str">
        <f t="shared" si="36"/>
        <v/>
      </c>
      <c r="R67" s="28">
        <f>IFERROR(VLOOKUP(D67,'ASE Target (Spares), FY 21-22'!$C$40:$L$69,10,0),"")</f>
        <v>0</v>
      </c>
      <c r="S67" s="28"/>
      <c r="T67" s="91" t="str">
        <f t="shared" si="37"/>
        <v/>
      </c>
      <c r="U67" s="30">
        <f>IFERROR(VLOOKUP(D67,'ASE Target (Spares), FY 21-22'!$C$40:$M$69,11,0),"")</f>
        <v>0</v>
      </c>
      <c r="V67" s="30"/>
      <c r="W67" s="72" t="str">
        <f t="shared" si="38"/>
        <v/>
      </c>
      <c r="X67" s="28">
        <f>IFERROR(VLOOKUP(D67,'ASE Target (Spares), FY 21-22'!$C$40:$N$69,12,0),"")</f>
        <v>0</v>
      </c>
      <c r="Y67" s="28"/>
      <c r="Z67" s="91" t="str">
        <f t="shared" si="39"/>
        <v/>
      </c>
      <c r="AA67" s="30">
        <f>IFERROR(VLOOKUP(D67,'ASE Target (Spares), FY 21-22'!$C$40:$O$69,13,0),"")</f>
        <v>202500</v>
      </c>
      <c r="AB67" s="30"/>
      <c r="AC67" s="72">
        <f t="shared" si="40"/>
        <v>0</v>
      </c>
      <c r="AD67" s="28">
        <f>IFERROR(VLOOKUP(D67,'ASE Target (Spares), FY 21-22'!$C$40:$P$69,14,0),"")</f>
        <v>405000</v>
      </c>
      <c r="AE67" s="28"/>
      <c r="AF67" s="28">
        <f t="shared" si="41"/>
        <v>0</v>
      </c>
      <c r="AG67" s="30">
        <f>IFERROR(VLOOKUP(D67,'ASE Target (Spares), FY 21-22'!$C$40:$Q$69,15,0),"")</f>
        <v>405000</v>
      </c>
      <c r="AH67" s="30"/>
      <c r="AI67" s="72">
        <f t="shared" si="42"/>
        <v>0</v>
      </c>
      <c r="AJ67" s="28">
        <f>IFERROR(VLOOKUP(D67,'ASE Target (Spares), FY 21-22'!$C$40:$R$69,16,0),"")</f>
        <v>405000</v>
      </c>
      <c r="AK67" s="28"/>
      <c r="AL67" s="91">
        <f t="shared" si="43"/>
        <v>0</v>
      </c>
      <c r="AM67" s="30">
        <f>IFERROR(VLOOKUP(D67,'ASE Target (Spares), FY 21-22'!$C$40:$S$69,17,0),"")</f>
        <v>405000</v>
      </c>
      <c r="AN67" s="30"/>
      <c r="AO67" s="72">
        <f t="shared" si="44"/>
        <v>0</v>
      </c>
      <c r="AP67" s="32">
        <f t="shared" si="45"/>
        <v>1822500</v>
      </c>
      <c r="AQ67" s="32">
        <f t="shared" si="46"/>
        <v>0</v>
      </c>
      <c r="AR67" s="94">
        <f t="shared" si="47"/>
        <v>0</v>
      </c>
    </row>
    <row r="68" spans="3:44" x14ac:dyDescent="0.25">
      <c r="C68" s="25" t="str">
        <f t="shared" ref="C68:E68" si="76">IF(C33=0,"",C33)</f>
        <v>CTG</v>
      </c>
      <c r="D68" s="25" t="str">
        <f t="shared" si="76"/>
        <v>Sozol prince</v>
      </c>
      <c r="E68" s="26" t="str">
        <f t="shared" si="76"/>
        <v>6076</v>
      </c>
      <c r="F68" s="28">
        <f>IFERROR(VLOOKUP(D68,'ASE Target (Spares), FY 21-22'!$C$40:$H$69,6,0),"")</f>
        <v>0</v>
      </c>
      <c r="G68" s="28"/>
      <c r="H68" s="91" t="str">
        <f t="shared" si="33"/>
        <v/>
      </c>
      <c r="I68" s="30">
        <f>IFERROR(VLOOKUP(D68,'ASE Target (Spares), FY 21-22'!$C$40:$I$69,7,0),"")</f>
        <v>0</v>
      </c>
      <c r="J68" s="30"/>
      <c r="K68" s="72" t="str">
        <f t="shared" si="34"/>
        <v/>
      </c>
      <c r="L68" s="28">
        <f>IFERROR(VLOOKUP(D68,'ASE Target (Spares), FY 21-22'!$C$40:$J$69,8,0),"")</f>
        <v>0</v>
      </c>
      <c r="M68" s="28"/>
      <c r="N68" s="91" t="str">
        <f t="shared" si="35"/>
        <v/>
      </c>
      <c r="O68" s="30">
        <f>IFERROR(VLOOKUP(D68,'ASE Target (Spares), FY 21-22'!$C$40:$K$69,9,0),"")</f>
        <v>0</v>
      </c>
      <c r="P68" s="30"/>
      <c r="Q68" s="72" t="str">
        <f t="shared" si="36"/>
        <v/>
      </c>
      <c r="R68" s="28">
        <f>IFERROR(VLOOKUP(D68,'ASE Target (Spares), FY 21-22'!$C$40:$L$69,10,0),"")</f>
        <v>0</v>
      </c>
      <c r="S68" s="28"/>
      <c r="T68" s="91" t="str">
        <f t="shared" si="37"/>
        <v/>
      </c>
      <c r="U68" s="30">
        <f>IFERROR(VLOOKUP(D68,'ASE Target (Spares), FY 21-22'!$C$40:$M$69,11,0),"")</f>
        <v>0</v>
      </c>
      <c r="V68" s="30"/>
      <c r="W68" s="72" t="str">
        <f t="shared" si="38"/>
        <v/>
      </c>
      <c r="X68" s="28">
        <f>IFERROR(VLOOKUP(D68,'ASE Target (Spares), FY 21-22'!$C$40:$N$69,12,0),"")</f>
        <v>0</v>
      </c>
      <c r="Y68" s="28"/>
      <c r="Z68" s="91" t="str">
        <f t="shared" si="39"/>
        <v/>
      </c>
      <c r="AA68" s="30">
        <f>IFERROR(VLOOKUP(D68,'ASE Target (Spares), FY 21-22'!$C$40:$O$69,13,0),"")</f>
        <v>202500</v>
      </c>
      <c r="AB68" s="30"/>
      <c r="AC68" s="72">
        <f t="shared" si="40"/>
        <v>0</v>
      </c>
      <c r="AD68" s="28">
        <f>IFERROR(VLOOKUP(D68,'ASE Target (Spares), FY 21-22'!$C$40:$P$69,14,0),"")</f>
        <v>405000</v>
      </c>
      <c r="AE68" s="28"/>
      <c r="AF68" s="28">
        <f t="shared" si="41"/>
        <v>0</v>
      </c>
      <c r="AG68" s="30">
        <f>IFERROR(VLOOKUP(D68,'ASE Target (Spares), FY 21-22'!$C$40:$Q$69,15,0),"")</f>
        <v>405000</v>
      </c>
      <c r="AH68" s="30"/>
      <c r="AI68" s="72">
        <f t="shared" si="42"/>
        <v>0</v>
      </c>
      <c r="AJ68" s="28">
        <f>IFERROR(VLOOKUP(D68,'ASE Target (Spares), FY 21-22'!$C$40:$R$69,16,0),"")</f>
        <v>405000</v>
      </c>
      <c r="AK68" s="28"/>
      <c r="AL68" s="91">
        <f t="shared" si="43"/>
        <v>0</v>
      </c>
      <c r="AM68" s="30">
        <f>IFERROR(VLOOKUP(D68,'ASE Target (Spares), FY 21-22'!$C$40:$S$69,17,0),"")</f>
        <v>405000</v>
      </c>
      <c r="AN68" s="30"/>
      <c r="AO68" s="72">
        <f t="shared" si="44"/>
        <v>0</v>
      </c>
      <c r="AP68" s="32">
        <f t="shared" si="45"/>
        <v>1822500</v>
      </c>
      <c r="AQ68" s="32">
        <f t="shared" si="46"/>
        <v>0</v>
      </c>
      <c r="AR68" s="94">
        <f t="shared" si="47"/>
        <v>0</v>
      </c>
    </row>
    <row r="69" spans="3:44" x14ac:dyDescent="0.25">
      <c r="C69" s="25" t="str">
        <f t="shared" ref="C69:E69" si="77">IF(C34=0,"",C34)</f>
        <v/>
      </c>
      <c r="D69" s="25" t="str">
        <f t="shared" si="77"/>
        <v>New-5</v>
      </c>
      <c r="E69" s="26" t="str">
        <f t="shared" si="77"/>
        <v/>
      </c>
      <c r="F69" s="28">
        <f>IFERROR(VLOOKUP(D69,'ASE Target (Spares), FY 21-22'!$C$40:$H$69,6,0),"")</f>
        <v>0</v>
      </c>
      <c r="G69" s="28"/>
      <c r="H69" s="91" t="str">
        <f t="shared" si="33"/>
        <v/>
      </c>
      <c r="I69" s="30">
        <f>IFERROR(VLOOKUP(D69,'ASE Target (Spares), FY 21-22'!$C$40:$I$69,7,0),"")</f>
        <v>0</v>
      </c>
      <c r="J69" s="30"/>
      <c r="K69" s="72" t="str">
        <f t="shared" si="34"/>
        <v/>
      </c>
      <c r="L69" s="28">
        <f>IFERROR(VLOOKUP(D69,'ASE Target (Spares), FY 21-22'!$C$40:$J$69,8,0),"")</f>
        <v>0</v>
      </c>
      <c r="M69" s="28"/>
      <c r="N69" s="91" t="str">
        <f t="shared" si="35"/>
        <v/>
      </c>
      <c r="O69" s="30">
        <f>IFERROR(VLOOKUP(D69,'ASE Target (Spares), FY 21-22'!$C$40:$K$69,9,0),"")</f>
        <v>0</v>
      </c>
      <c r="P69" s="30"/>
      <c r="Q69" s="72" t="str">
        <f t="shared" si="36"/>
        <v/>
      </c>
      <c r="R69" s="28">
        <f>IFERROR(VLOOKUP(D69,'ASE Target (Spares), FY 21-22'!$C$40:$L$69,10,0),"")</f>
        <v>0</v>
      </c>
      <c r="S69" s="28"/>
      <c r="T69" s="91" t="str">
        <f t="shared" si="37"/>
        <v/>
      </c>
      <c r="U69" s="30">
        <f>IFERROR(VLOOKUP(D69,'ASE Target (Spares), FY 21-22'!$C$40:$M$69,11,0),"")</f>
        <v>0</v>
      </c>
      <c r="V69" s="30"/>
      <c r="W69" s="72" t="str">
        <f t="shared" si="38"/>
        <v/>
      </c>
      <c r="X69" s="28">
        <f>IFERROR(VLOOKUP(D69,'ASE Target (Spares), FY 21-22'!$C$40:$N$69,12,0),"")</f>
        <v>0</v>
      </c>
      <c r="Y69" s="28"/>
      <c r="Z69" s="91" t="str">
        <f t="shared" si="39"/>
        <v/>
      </c>
      <c r="AA69" s="30">
        <f>IFERROR(VLOOKUP(D69,'ASE Target (Spares), FY 21-22'!$C$40:$O$69,13,0),"")</f>
        <v>0</v>
      </c>
      <c r="AB69" s="30"/>
      <c r="AC69" s="72" t="str">
        <f t="shared" si="40"/>
        <v/>
      </c>
      <c r="AD69" s="28">
        <f>IFERROR(VLOOKUP(D69,'ASE Target (Spares), FY 21-22'!$C$40:$P$69,14,0),"")</f>
        <v>0</v>
      </c>
      <c r="AE69" s="28"/>
      <c r="AF69" s="28" t="str">
        <f t="shared" si="41"/>
        <v/>
      </c>
      <c r="AG69" s="30">
        <f>IFERROR(VLOOKUP(D69,'ASE Target (Spares), FY 21-22'!$C$40:$Q$69,15,0),"")</f>
        <v>0</v>
      </c>
      <c r="AH69" s="30"/>
      <c r="AI69" s="72" t="str">
        <f t="shared" si="42"/>
        <v/>
      </c>
      <c r="AJ69" s="28">
        <f>IFERROR(VLOOKUP(D69,'ASE Target (Spares), FY 21-22'!$C$40:$R$69,16,0),"")</f>
        <v>0</v>
      </c>
      <c r="AK69" s="28"/>
      <c r="AL69" s="91" t="str">
        <f t="shared" si="43"/>
        <v/>
      </c>
      <c r="AM69" s="30">
        <f>IFERROR(VLOOKUP(D69,'ASE Target (Spares), FY 21-22'!$C$40:$S$69,17,0),"")</f>
        <v>0</v>
      </c>
      <c r="AN69" s="30"/>
      <c r="AO69" s="72" t="str">
        <f t="shared" si="44"/>
        <v/>
      </c>
      <c r="AP69" s="32">
        <f t="shared" si="45"/>
        <v>0</v>
      </c>
      <c r="AQ69" s="32">
        <f t="shared" si="46"/>
        <v>0</v>
      </c>
      <c r="AR69" s="94" t="str">
        <f t="shared" si="47"/>
        <v/>
      </c>
    </row>
    <row r="70" spans="3:44" x14ac:dyDescent="0.25">
      <c r="C70" s="25" t="str">
        <f t="shared" ref="C70:E70" si="78">IF(C35=0,"",C35)</f>
        <v/>
      </c>
      <c r="D70" s="25" t="str">
        <f t="shared" si="78"/>
        <v>New-6</v>
      </c>
      <c r="E70" s="26" t="str">
        <f t="shared" si="78"/>
        <v/>
      </c>
      <c r="F70" s="28">
        <f>IFERROR(VLOOKUP(D70,'ASE Target (Spares), FY 21-22'!$C$40:$H$69,6,0),"")</f>
        <v>0</v>
      </c>
      <c r="G70" s="28"/>
      <c r="H70" s="91" t="str">
        <f t="shared" si="33"/>
        <v/>
      </c>
      <c r="I70" s="30">
        <f>IFERROR(VLOOKUP(D70,'ASE Target (Spares), FY 21-22'!$C$40:$I$69,7,0),"")</f>
        <v>0</v>
      </c>
      <c r="J70" s="30"/>
      <c r="K70" s="72" t="str">
        <f t="shared" si="34"/>
        <v/>
      </c>
      <c r="L70" s="28">
        <f>IFERROR(VLOOKUP(D70,'ASE Target (Spares), FY 21-22'!$C$40:$J$69,8,0),"")</f>
        <v>0</v>
      </c>
      <c r="M70" s="28"/>
      <c r="N70" s="91" t="str">
        <f t="shared" si="35"/>
        <v/>
      </c>
      <c r="O70" s="30">
        <f>IFERROR(VLOOKUP(D70,'ASE Target (Spares), FY 21-22'!$C$40:$K$69,9,0),"")</f>
        <v>0</v>
      </c>
      <c r="P70" s="30"/>
      <c r="Q70" s="72" t="str">
        <f t="shared" si="36"/>
        <v/>
      </c>
      <c r="R70" s="28">
        <f>IFERROR(VLOOKUP(D70,'ASE Target (Spares), FY 21-22'!$C$40:$L$69,10,0),"")</f>
        <v>0</v>
      </c>
      <c r="S70" s="28"/>
      <c r="T70" s="91" t="str">
        <f t="shared" si="37"/>
        <v/>
      </c>
      <c r="U70" s="30">
        <f>IFERROR(VLOOKUP(D70,'ASE Target (Spares), FY 21-22'!$C$40:$M$69,11,0),"")</f>
        <v>0</v>
      </c>
      <c r="V70" s="30"/>
      <c r="W70" s="72" t="str">
        <f t="shared" si="38"/>
        <v/>
      </c>
      <c r="X70" s="28">
        <f>IFERROR(VLOOKUP(D70,'ASE Target (Spares), FY 21-22'!$C$40:$N$69,12,0),"")</f>
        <v>0</v>
      </c>
      <c r="Y70" s="28"/>
      <c r="Z70" s="91" t="str">
        <f t="shared" si="39"/>
        <v/>
      </c>
      <c r="AA70" s="30">
        <f>IFERROR(VLOOKUP(D70,'ASE Target (Spares), FY 21-22'!$C$40:$O$69,13,0),"")</f>
        <v>0</v>
      </c>
      <c r="AB70" s="30"/>
      <c r="AC70" s="72" t="str">
        <f t="shared" si="40"/>
        <v/>
      </c>
      <c r="AD70" s="28">
        <f>IFERROR(VLOOKUP(D70,'ASE Target (Spares), FY 21-22'!$C$40:$P$69,14,0),"")</f>
        <v>0</v>
      </c>
      <c r="AE70" s="28"/>
      <c r="AF70" s="28" t="str">
        <f t="shared" si="41"/>
        <v/>
      </c>
      <c r="AG70" s="30">
        <f>IFERROR(VLOOKUP(D70,'ASE Target (Spares), FY 21-22'!$C$40:$Q$69,15,0),"")</f>
        <v>0</v>
      </c>
      <c r="AH70" s="30"/>
      <c r="AI70" s="72" t="str">
        <f t="shared" si="42"/>
        <v/>
      </c>
      <c r="AJ70" s="28">
        <f>IFERROR(VLOOKUP(D70,'ASE Target (Spares), FY 21-22'!$C$40:$R$69,16,0),"")</f>
        <v>0</v>
      </c>
      <c r="AK70" s="28"/>
      <c r="AL70" s="91" t="str">
        <f t="shared" si="43"/>
        <v/>
      </c>
      <c r="AM70" s="30">
        <f>IFERROR(VLOOKUP(D70,'ASE Target (Spares), FY 21-22'!$C$40:$S$69,17,0),"")</f>
        <v>0</v>
      </c>
      <c r="AN70" s="30"/>
      <c r="AO70" s="72" t="str">
        <f t="shared" si="44"/>
        <v/>
      </c>
      <c r="AP70" s="32">
        <f t="shared" si="45"/>
        <v>0</v>
      </c>
      <c r="AQ70" s="32">
        <f t="shared" si="46"/>
        <v>0</v>
      </c>
      <c r="AR70" s="94" t="str">
        <f t="shared" si="47"/>
        <v/>
      </c>
    </row>
    <row r="71" spans="3:44" x14ac:dyDescent="0.25">
      <c r="C71" s="25" t="str">
        <f t="shared" ref="C71:E71" si="79">IF(C36=0,"",C36)</f>
        <v/>
      </c>
      <c r="D71" s="25" t="str">
        <f t="shared" si="79"/>
        <v/>
      </c>
      <c r="E71" s="26" t="str">
        <f t="shared" si="79"/>
        <v/>
      </c>
      <c r="F71" s="28" t="str">
        <f>IFERROR(VLOOKUP(D71,'ASE Target (Spares), FY 21-22'!$C$40:$H$69,6,0),"")</f>
        <v/>
      </c>
      <c r="G71" s="28"/>
      <c r="H71" s="91" t="str">
        <f t="shared" si="33"/>
        <v/>
      </c>
      <c r="I71" s="30" t="str">
        <f>IFERROR(VLOOKUP(D71,'ASE Target (Spares), FY 21-22'!$C$40:$I$69,7,0),"")</f>
        <v/>
      </c>
      <c r="J71" s="30"/>
      <c r="K71" s="72" t="str">
        <f t="shared" si="34"/>
        <v/>
      </c>
      <c r="L71" s="28" t="str">
        <f>IFERROR(VLOOKUP(D71,'ASE Target (Spares), FY 21-22'!$C$40:$J$69,8,0),"")</f>
        <v/>
      </c>
      <c r="M71" s="28"/>
      <c r="N71" s="91" t="str">
        <f t="shared" si="35"/>
        <v/>
      </c>
      <c r="O71" s="30" t="str">
        <f>IFERROR(VLOOKUP(D71,'ASE Target (Spares), FY 21-22'!$C$40:$K$69,9,0),"")</f>
        <v/>
      </c>
      <c r="P71" s="30"/>
      <c r="Q71" s="72" t="str">
        <f t="shared" si="36"/>
        <v/>
      </c>
      <c r="R71" s="28" t="str">
        <f>IFERROR(VLOOKUP(D71,'ASE Target (Spares), FY 21-22'!$C$40:$L$69,10,0),"")</f>
        <v/>
      </c>
      <c r="S71" s="28"/>
      <c r="T71" s="91" t="str">
        <f t="shared" si="37"/>
        <v/>
      </c>
      <c r="U71" s="30" t="str">
        <f>IFERROR(VLOOKUP(D71,'ASE Target (Spares), FY 21-22'!$C$40:$M$69,11,0),"")</f>
        <v/>
      </c>
      <c r="V71" s="30"/>
      <c r="W71" s="72" t="str">
        <f t="shared" si="38"/>
        <v/>
      </c>
      <c r="X71" s="28" t="str">
        <f>IFERROR(VLOOKUP(D71,'ASE Target (Spares), FY 21-22'!$C$40:$N$69,12,0),"")</f>
        <v/>
      </c>
      <c r="Y71" s="28"/>
      <c r="Z71" s="91" t="str">
        <f t="shared" si="39"/>
        <v/>
      </c>
      <c r="AA71" s="30" t="str">
        <f>IFERROR(VLOOKUP(D71,'ASE Target (Spares), FY 21-22'!$C$40:$O$69,13,0),"")</f>
        <v/>
      </c>
      <c r="AB71" s="30"/>
      <c r="AC71" s="72" t="str">
        <f t="shared" si="40"/>
        <v/>
      </c>
      <c r="AD71" s="28" t="str">
        <f>IFERROR(VLOOKUP(D71,'ASE Target (Spares), FY 21-22'!$C$40:$P$69,14,0),"")</f>
        <v/>
      </c>
      <c r="AE71" s="28"/>
      <c r="AF71" s="28" t="str">
        <f t="shared" si="41"/>
        <v/>
      </c>
      <c r="AG71" s="30" t="str">
        <f>IFERROR(VLOOKUP(D71,'ASE Target (Spares), FY 21-22'!$C$40:$Q$69,15,0),"")</f>
        <v/>
      </c>
      <c r="AH71" s="30"/>
      <c r="AI71" s="72" t="str">
        <f t="shared" si="42"/>
        <v/>
      </c>
      <c r="AJ71" s="28" t="str">
        <f>IFERROR(VLOOKUP(D71,'ASE Target (Spares), FY 21-22'!$C$40:$R$69,16,0),"")</f>
        <v/>
      </c>
      <c r="AK71" s="28"/>
      <c r="AL71" s="91" t="str">
        <f t="shared" si="43"/>
        <v/>
      </c>
      <c r="AM71" s="30" t="str">
        <f>IFERROR(VLOOKUP(D71,'ASE Target (Spares), FY 21-22'!$C$40:$S$69,17,0),"")</f>
        <v/>
      </c>
      <c r="AN71" s="30"/>
      <c r="AO71" s="72" t="str">
        <f t="shared" si="44"/>
        <v/>
      </c>
      <c r="AP71" s="32" t="str">
        <f t="shared" si="45"/>
        <v/>
      </c>
      <c r="AQ71" s="32">
        <f t="shared" si="46"/>
        <v>0</v>
      </c>
      <c r="AR71" s="94" t="str">
        <f t="shared" si="47"/>
        <v/>
      </c>
    </row>
    <row r="72" spans="3:44" x14ac:dyDescent="0.25">
      <c r="C72" s="25"/>
      <c r="D72" s="25"/>
      <c r="E72" s="26"/>
      <c r="F72" s="28"/>
      <c r="G72" s="28"/>
      <c r="H72" s="91"/>
      <c r="I72" s="30"/>
      <c r="J72" s="30"/>
      <c r="K72" s="72"/>
      <c r="L72" s="28"/>
      <c r="M72" s="28"/>
      <c r="N72" s="91"/>
      <c r="O72" s="30"/>
      <c r="P72" s="30"/>
      <c r="Q72" s="72"/>
      <c r="R72" s="28"/>
      <c r="S72" s="28"/>
      <c r="T72" s="91"/>
      <c r="U72" s="30"/>
      <c r="V72" s="30"/>
      <c r="W72" s="72"/>
      <c r="X72" s="28"/>
      <c r="Y72" s="28"/>
      <c r="Z72" s="91"/>
      <c r="AA72" s="30"/>
      <c r="AB72" s="30"/>
      <c r="AC72" s="72"/>
      <c r="AD72" s="28"/>
      <c r="AE72" s="28"/>
      <c r="AF72" s="28"/>
      <c r="AG72" s="30"/>
      <c r="AH72" s="30"/>
      <c r="AI72" s="72"/>
      <c r="AJ72" s="28"/>
      <c r="AK72" s="28"/>
      <c r="AL72" s="91"/>
      <c r="AM72" s="30"/>
      <c r="AN72" s="30"/>
      <c r="AO72" s="72"/>
      <c r="AP72" s="32"/>
      <c r="AQ72" s="32"/>
      <c r="AR72" s="94"/>
    </row>
    <row r="73" spans="3:44" x14ac:dyDescent="0.25">
      <c r="C73" s="25"/>
      <c r="D73" s="25"/>
      <c r="E73" s="26"/>
      <c r="F73" s="28"/>
      <c r="G73" s="28"/>
      <c r="H73" s="91"/>
      <c r="I73" s="30"/>
      <c r="J73" s="30"/>
      <c r="K73" s="72"/>
      <c r="L73" s="28"/>
      <c r="M73" s="28"/>
      <c r="N73" s="91"/>
      <c r="O73" s="30"/>
      <c r="P73" s="30"/>
      <c r="Q73" s="72"/>
      <c r="R73" s="28"/>
      <c r="S73" s="28"/>
      <c r="T73" s="91"/>
      <c r="U73" s="30"/>
      <c r="V73" s="30"/>
      <c r="W73" s="72"/>
      <c r="X73" s="28"/>
      <c r="Y73" s="28"/>
      <c r="Z73" s="91"/>
      <c r="AA73" s="30"/>
      <c r="AB73" s="30"/>
      <c r="AC73" s="72"/>
      <c r="AD73" s="28"/>
      <c r="AE73" s="28"/>
      <c r="AF73" s="28"/>
      <c r="AG73" s="30"/>
      <c r="AH73" s="30"/>
      <c r="AI73" s="72"/>
      <c r="AJ73" s="28"/>
      <c r="AK73" s="28"/>
      <c r="AL73" s="91"/>
      <c r="AM73" s="30"/>
      <c r="AN73" s="30"/>
      <c r="AO73" s="72"/>
      <c r="AP73" s="32"/>
      <c r="AQ73" s="32"/>
      <c r="AR73" s="94"/>
    </row>
  </sheetData>
  <mergeCells count="36">
    <mergeCell ref="AJ40:AL40"/>
    <mergeCell ref="AM40:AO40"/>
    <mergeCell ref="AP40:AR40"/>
    <mergeCell ref="U40:W40"/>
    <mergeCell ref="X40:Z40"/>
    <mergeCell ref="AA40:AC40"/>
    <mergeCell ref="AD40:AF40"/>
    <mergeCell ref="AG40:AI40"/>
    <mergeCell ref="F40:H40"/>
    <mergeCell ref="I40:K40"/>
    <mergeCell ref="L40:N40"/>
    <mergeCell ref="O40:Q40"/>
    <mergeCell ref="R40:T40"/>
    <mergeCell ref="B39:E39"/>
    <mergeCell ref="B40:B41"/>
    <mergeCell ref="C40:C41"/>
    <mergeCell ref="D40:D41"/>
    <mergeCell ref="E40:E41"/>
    <mergeCell ref="B5:B6"/>
    <mergeCell ref="C5:C6"/>
    <mergeCell ref="D5:D6"/>
    <mergeCell ref="E5:E6"/>
    <mergeCell ref="B4:E4"/>
    <mergeCell ref="AP5:AR5"/>
    <mergeCell ref="AM5:AO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F40"/>
  <sheetViews>
    <sheetView showGridLines="0" topLeftCell="A6" zoomScaleNormal="100" workbookViewId="0">
      <selection activeCell="F25" sqref="F25"/>
    </sheetView>
  </sheetViews>
  <sheetFormatPr defaultRowHeight="15" x14ac:dyDescent="0.25"/>
  <cols>
    <col min="1" max="1" width="1.5703125" style="2" customWidth="1"/>
    <col min="2" max="2" width="9.5703125" style="1" customWidth="1"/>
    <col min="3" max="3" width="10.7109375" style="2" bestFit="1" customWidth="1"/>
    <col min="4" max="4" width="24.5703125" style="4" customWidth="1"/>
    <col min="5" max="5" width="12.140625" style="1" customWidth="1"/>
    <col min="6" max="6" width="59" style="114" customWidth="1"/>
    <col min="7" max="16384" width="9.140625" style="2"/>
  </cols>
  <sheetData>
    <row r="2" spans="2:6" ht="15.75" x14ac:dyDescent="0.25">
      <c r="B2" s="23" t="str">
        <f>'Monthly Summary (No Input)'!B2</f>
        <v>Month</v>
      </c>
      <c r="C2" s="24" t="str">
        <f>'Monthly Summary (No Input)'!C2</f>
        <v>Jul</v>
      </c>
      <c r="D2" s="11" t="s">
        <v>143</v>
      </c>
    </row>
    <row r="4" spans="2:6" ht="30" x14ac:dyDescent="0.25">
      <c r="B4" s="200" t="s">
        <v>144</v>
      </c>
      <c r="C4" s="201"/>
      <c r="D4" s="201"/>
      <c r="E4" s="202"/>
      <c r="F4" s="120" t="s">
        <v>148</v>
      </c>
    </row>
    <row r="5" spans="2:6" s="12" customFormat="1" x14ac:dyDescent="0.25">
      <c r="B5" s="196" t="str">
        <f>'ASE Target (Spares), FY 21-22'!A5</f>
        <v>Sl.</v>
      </c>
      <c r="C5" s="198" t="str">
        <f>'ASE Target (Spares), FY 21-22'!B5</f>
        <v>Wing</v>
      </c>
      <c r="D5" s="198" t="str">
        <f>'ASE Target (Spares), FY 21-22'!C5</f>
        <v>Name</v>
      </c>
      <c r="E5" s="196" t="str">
        <f>'ASE Target (Spares), FY 21-22'!D5</f>
        <v>ID</v>
      </c>
      <c r="F5" s="115" t="s">
        <v>145</v>
      </c>
    </row>
    <row r="6" spans="2:6" s="13" customFormat="1" x14ac:dyDescent="0.25">
      <c r="B6" s="197"/>
      <c r="C6" s="199"/>
      <c r="D6" s="199"/>
      <c r="E6" s="197"/>
      <c r="F6" s="115" t="s">
        <v>159</v>
      </c>
    </row>
    <row r="7" spans="2:6" x14ac:dyDescent="0.25">
      <c r="B7" s="15">
        <f>'ASE Target (Spares), FY 21-22'!A6</f>
        <v>1</v>
      </c>
      <c r="C7" s="25" t="str">
        <f>IF('ASE Target (Spares), FY 21-22'!B6=0,"",'ASE Target (Spares), FY 21-22'!B6)</f>
        <v>DSL-DHK</v>
      </c>
      <c r="D7" s="16" t="str">
        <f>IF('ASE Target (Spares), FY 21-22'!C6=0,"",'ASE Target (Spares), FY 21-22'!C6)</f>
        <v xml:space="preserve">Md. Shohidul </v>
      </c>
      <c r="E7" s="26">
        <f>IF('ASE Target (Spares), FY 21-22'!D6=0,"",'ASE Target (Spares), FY 21-22'!D6)</f>
        <v>1418</v>
      </c>
      <c r="F7" s="116">
        <v>120</v>
      </c>
    </row>
    <row r="8" spans="2:6" x14ac:dyDescent="0.25">
      <c r="B8" s="15">
        <f>'ASE Target (Spares), FY 21-22'!A7</f>
        <v>2</v>
      </c>
      <c r="C8" s="25" t="str">
        <f>IF('ASE Target (Spares), FY 21-22'!B7=0,"",'ASE Target (Spares), FY 21-22'!B7)</f>
        <v>DSL-DHK</v>
      </c>
      <c r="D8" s="16" t="str">
        <f>IF('ASE Target (Spares), FY 21-22'!C7=0,"",'ASE Target (Spares), FY 21-22'!C7)</f>
        <v>Sagar Chakrobarti</v>
      </c>
      <c r="E8" s="26">
        <f>IF('ASE Target (Spares), FY 21-22'!D7=0,"",'ASE Target (Spares), FY 21-22'!D7)</f>
        <v>2701</v>
      </c>
      <c r="F8" s="116"/>
    </row>
    <row r="9" spans="2:6" x14ac:dyDescent="0.25">
      <c r="B9" s="15">
        <f>'ASE Target (Spares), FY 21-22'!A8</f>
        <v>3</v>
      </c>
      <c r="C9" s="25" t="str">
        <f>IF('ASE Target (Spares), FY 21-22'!B8=0,"",'ASE Target (Spares), FY 21-22'!B8)</f>
        <v>DSL-DHK</v>
      </c>
      <c r="D9" s="16" t="str">
        <f>IF('ASE Target (Spares), FY 21-22'!C8=0,"",'ASE Target (Spares), FY 21-22'!C8)</f>
        <v>Md. Minhazul Islam</v>
      </c>
      <c r="E9" s="26">
        <f>IF('ASE Target (Spares), FY 21-22'!D8=0,"",'ASE Target (Spares), FY 21-22'!D8)</f>
        <v>2330</v>
      </c>
      <c r="F9" s="116"/>
    </row>
    <row r="10" spans="2:6" x14ac:dyDescent="0.25">
      <c r="B10" s="15">
        <f>'ASE Target (Spares), FY 21-22'!A9</f>
        <v>4</v>
      </c>
      <c r="C10" s="25" t="str">
        <f>IF('ASE Target (Spares), FY 21-22'!B9=0,"",'ASE Target (Spares), FY 21-22'!B9)</f>
        <v>DSL-DHK</v>
      </c>
      <c r="D10" s="16" t="str">
        <f>IF('ASE Target (Spares), FY 21-22'!C9=0,"",'ASE Target (Spares), FY 21-22'!C9)</f>
        <v>Md. Nazmul Hasan Titu</v>
      </c>
      <c r="E10" s="26">
        <f>IF('ASE Target (Spares), FY 21-22'!D9=0,"",'ASE Target (Spares), FY 21-22'!D9)</f>
        <v>2913</v>
      </c>
      <c r="F10" s="116">
        <v>429</v>
      </c>
    </row>
    <row r="11" spans="2:6" x14ac:dyDescent="0.25">
      <c r="B11" s="15">
        <f>'ASE Target (Spares), FY 21-22'!A10</f>
        <v>5</v>
      </c>
      <c r="C11" s="25" t="str">
        <f>IF('ASE Target (Spares), FY 21-22'!B10=0,"",'ASE Target (Spares), FY 21-22'!B10)</f>
        <v>DSL-DHK</v>
      </c>
      <c r="D11" s="16" t="str">
        <f>IF('ASE Target (Spares), FY 21-22'!C10=0,"",'ASE Target (Spares), FY 21-22'!C10)</f>
        <v>Md. Zahirul Islam</v>
      </c>
      <c r="E11" s="26">
        <f>IF('ASE Target (Spares), FY 21-22'!D10=0,"",'ASE Target (Spares), FY 21-22'!D10)</f>
        <v>2914</v>
      </c>
      <c r="F11" s="116">
        <v>300</v>
      </c>
    </row>
    <row r="12" spans="2:6" x14ac:dyDescent="0.25">
      <c r="B12" s="15">
        <f>'ASE Target (Spares), FY 21-22'!A11</f>
        <v>6</v>
      </c>
      <c r="C12" s="25" t="str">
        <f>IF('ASE Target (Spares), FY 21-22'!B11=0,"",'ASE Target (Spares), FY 21-22'!B11)</f>
        <v>DSL-DHK</v>
      </c>
      <c r="D12" s="16" t="str">
        <f>IF('ASE Target (Spares), FY 21-22'!C11=0,"",'ASE Target (Spares), FY 21-22'!C11)</f>
        <v>Md. Rakibul Hasan</v>
      </c>
      <c r="E12" s="26">
        <f>IF('ASE Target (Spares), FY 21-22'!D11=0,"",'ASE Target (Spares), FY 21-22'!D11)</f>
        <v>2927</v>
      </c>
      <c r="F12" s="116">
        <v>110</v>
      </c>
    </row>
    <row r="13" spans="2:6" x14ac:dyDescent="0.25">
      <c r="B13" s="15">
        <f>'ASE Target (Spares), FY 21-22'!A12</f>
        <v>7</v>
      </c>
      <c r="C13" s="25" t="str">
        <f>IF('ASE Target (Spares), FY 21-22'!B12=0,"",'ASE Target (Spares), FY 21-22'!B12)</f>
        <v>DSL-DHK</v>
      </c>
      <c r="D13" s="16" t="str">
        <f>IF('ASE Target (Spares), FY 21-22'!C12=0,"",'ASE Target (Spares), FY 21-22'!C12)</f>
        <v>Md Ariful Islam</v>
      </c>
      <c r="E13" s="26">
        <f>IF('ASE Target (Spares), FY 21-22'!D12=0,"",'ASE Target (Spares), FY 21-22'!D12)</f>
        <v>2699</v>
      </c>
      <c r="F13" s="116"/>
    </row>
    <row r="14" spans="2:6" x14ac:dyDescent="0.25">
      <c r="B14" s="15">
        <f>'ASE Target (Spares), FY 21-22'!A13</f>
        <v>8</v>
      </c>
      <c r="C14" s="25" t="str">
        <f>IF('ASE Target (Spares), FY 21-22'!B13=0,"",'ASE Target (Spares), FY 21-22'!B13)</f>
        <v>DSL-DHK</v>
      </c>
      <c r="D14" s="16" t="str">
        <f>IF('ASE Target (Spares), FY 21-22'!C13=0,"",'ASE Target (Spares), FY 21-22'!C13)</f>
        <v>Mohammad Jewel Rana</v>
      </c>
      <c r="E14" s="26" t="str">
        <f>IF('ASE Target (Spares), FY 21-22'!D13=0,"",'ASE Target (Spares), FY 21-22'!D13)</f>
        <v>3002</v>
      </c>
      <c r="F14" s="116">
        <v>120</v>
      </c>
    </row>
    <row r="15" spans="2:6" x14ac:dyDescent="0.25">
      <c r="B15" s="15">
        <f>'ASE Target (Spares), FY 21-22'!A14</f>
        <v>9</v>
      </c>
      <c r="C15" s="25" t="str">
        <f>IF('ASE Target (Spares), FY 21-22'!B14=0,"",'ASE Target (Spares), FY 21-22'!B14)</f>
        <v>DSL-DHK</v>
      </c>
      <c r="D15" s="16" t="str">
        <f>IF('ASE Target (Spares), FY 21-22'!C14=0,"",'ASE Target (Spares), FY 21-22'!C14)</f>
        <v>Faysal Ahmed</v>
      </c>
      <c r="E15" s="26" t="str">
        <f>IF('ASE Target (Spares), FY 21-22'!D14=0,"",'ASE Target (Spares), FY 21-22'!D14)</f>
        <v>3004</v>
      </c>
      <c r="F15" s="116">
        <v>100</v>
      </c>
    </row>
    <row r="16" spans="2:6" x14ac:dyDescent="0.25">
      <c r="B16" s="15">
        <f>'ASE Target (Spares), FY 21-22'!A15</f>
        <v>10</v>
      </c>
      <c r="C16" s="25" t="str">
        <f>IF('ASE Target (Spares), FY 21-22'!B15=0,"",'ASE Target (Spares), FY 21-22'!B15)</f>
        <v>DSL-DHK</v>
      </c>
      <c r="D16" s="16" t="str">
        <f>IF('ASE Target (Spares), FY 21-22'!C15=0,"",'ASE Target (Spares), FY 21-22'!C15)</f>
        <v>Rakibul Islam Razib</v>
      </c>
      <c r="E16" s="26" t="str">
        <f>IF('ASE Target (Spares), FY 21-22'!D15=0,"",'ASE Target (Spares), FY 21-22'!D15)</f>
        <v>3006</v>
      </c>
      <c r="F16" s="116">
        <v>200</v>
      </c>
    </row>
    <row r="17" spans="2:6" x14ac:dyDescent="0.25">
      <c r="B17" s="15">
        <f>'ASE Target (Spares), FY 21-22'!A16</f>
        <v>11</v>
      </c>
      <c r="C17" s="25" t="str">
        <f>IF('ASE Target (Spares), FY 21-22'!B16=0,"",'ASE Target (Spares), FY 21-22'!B16)</f>
        <v>DSL-DHK</v>
      </c>
      <c r="D17" s="16" t="str">
        <f>IF('ASE Target (Spares), FY 21-22'!C16=0,"",'ASE Target (Spares), FY 21-22'!C16)</f>
        <v>Ashraful Islam</v>
      </c>
      <c r="E17" s="26">
        <f>IF('ASE Target (Spares), FY 21-22'!D16=0,"",'ASE Target (Spares), FY 21-22'!D16)</f>
        <v>3003</v>
      </c>
      <c r="F17" s="116">
        <v>350</v>
      </c>
    </row>
    <row r="18" spans="2:6" x14ac:dyDescent="0.25">
      <c r="B18" s="15">
        <f>'ASE Target (Spares), FY 21-22'!A17</f>
        <v>12</v>
      </c>
      <c r="C18" s="25" t="str">
        <f>IF('ASE Target (Spares), FY 21-22'!B17=0,"",'ASE Target (Spares), FY 21-22'!B17)</f>
        <v>DSL-DHK</v>
      </c>
      <c r="D18" s="16" t="str">
        <f>IF('ASE Target (Spares), FY 21-22'!C17=0,"",'ASE Target (Spares), FY 21-22'!C17)</f>
        <v>Md. Rakibul Islam</v>
      </c>
      <c r="E18" s="26">
        <f>IF('ASE Target (Spares), FY 21-22'!D17=0,"",'ASE Target (Spares), FY 21-22'!D17)</f>
        <v>5690</v>
      </c>
      <c r="F18" s="116">
        <v>60</v>
      </c>
    </row>
    <row r="19" spans="2:6" x14ac:dyDescent="0.25">
      <c r="B19" s="15">
        <f>'ASE Target (Spares), FY 21-22'!A18</f>
        <v>13</v>
      </c>
      <c r="C19" s="25" t="str">
        <f>IF('ASE Target (Spares), FY 21-22'!B18=0,"",'ASE Target (Spares), FY 21-22'!B18)</f>
        <v>DSL-DHK</v>
      </c>
      <c r="D19" s="16" t="str">
        <f>IF('ASE Target (Spares), FY 21-22'!C18=0,"",'ASE Target (Spares), FY 21-22'!C18)</f>
        <v>Ohid Hasan Saikat</v>
      </c>
      <c r="E19" s="26">
        <f>IF('ASE Target (Spares), FY 21-22'!D18=0,"",'ASE Target (Spares), FY 21-22'!D18)</f>
        <v>5691</v>
      </c>
      <c r="F19" s="116"/>
    </row>
    <row r="20" spans="2:6" x14ac:dyDescent="0.25">
      <c r="B20" s="15">
        <f>'ASE Target (Spares), FY 21-22'!A19</f>
        <v>14</v>
      </c>
      <c r="C20" s="25" t="str">
        <f>IF('ASE Target (Spares), FY 21-22'!B19=0,"",'ASE Target (Spares), FY 21-22'!B19)</f>
        <v>DSL-DHK</v>
      </c>
      <c r="D20" s="16" t="str">
        <f>IF('ASE Target (Spares), FY 21-22'!C19=0,"",'ASE Target (Spares), FY 21-22'!C19)</f>
        <v>Abdullah Al Mahmud</v>
      </c>
      <c r="E20" s="26">
        <f>IF('ASE Target (Spares), FY 21-22'!D19=0,"",'ASE Target (Spares), FY 21-22'!D19)</f>
        <v>5692</v>
      </c>
      <c r="F20" s="116"/>
    </row>
    <row r="21" spans="2:6" x14ac:dyDescent="0.25">
      <c r="B21" s="15">
        <f>'ASE Target (Spares), FY 21-22'!A20</f>
        <v>15</v>
      </c>
      <c r="C21" s="25" t="str">
        <f>IF('ASE Target (Spares), FY 21-22'!B20=0,"",'ASE Target (Spares), FY 21-22'!B20)</f>
        <v>DSL-DHK</v>
      </c>
      <c r="D21" s="16" t="str">
        <f>IF('ASE Target (Spares), FY 21-22'!C20=0,"",'ASE Target (Spares), FY 21-22'!C20)</f>
        <v>Apurba Kumar Gain</v>
      </c>
      <c r="E21" s="26">
        <f>IF('ASE Target (Spares), FY 21-22'!D20=0,"",'ASE Target (Spares), FY 21-22'!D20)</f>
        <v>5927</v>
      </c>
      <c r="F21" s="116">
        <v>80</v>
      </c>
    </row>
    <row r="22" spans="2:6" x14ac:dyDescent="0.25">
      <c r="B22" s="15">
        <f>'ASE Target (Spares), FY 21-22'!A21</f>
        <v>16</v>
      </c>
      <c r="C22" s="25" t="str">
        <f>IF('ASE Target (Spares), FY 21-22'!B21=0,"",'ASE Target (Spares), FY 21-22'!B21)</f>
        <v>DSL-DHK</v>
      </c>
      <c r="D22" s="16" t="str">
        <f>IF('ASE Target (Spares), FY 21-22'!C21=0,"",'ASE Target (Spares), FY 21-22'!C21)</f>
        <v>Amirul Islam</v>
      </c>
      <c r="E22" s="26">
        <f>IF('ASE Target (Spares), FY 21-22'!D21=0,"",'ASE Target (Spares), FY 21-22'!D21)</f>
        <v>5928</v>
      </c>
      <c r="F22" s="116"/>
    </row>
    <row r="23" spans="2:6" x14ac:dyDescent="0.25">
      <c r="B23" s="15">
        <f>'ASE Target (Spares), FY 21-22'!A22</f>
        <v>17</v>
      </c>
      <c r="C23" s="25" t="str">
        <f>IF('ASE Target (Spares), FY 21-22'!B22=0,"",'ASE Target (Spares), FY 21-22'!B22)</f>
        <v>DSL-DHK</v>
      </c>
      <c r="D23" s="16" t="str">
        <f>IF('ASE Target (Spares), FY 21-22'!C22=0,"",'ASE Target (Spares), FY 21-22'!C22)</f>
        <v>Md. Jafor Ikbal</v>
      </c>
      <c r="E23" s="26">
        <f>IF('ASE Target (Spares), FY 21-22'!D22=0,"",'ASE Target (Spares), FY 21-22'!D22)</f>
        <v>5929</v>
      </c>
      <c r="F23" s="116"/>
    </row>
    <row r="24" spans="2:6" x14ac:dyDescent="0.25">
      <c r="B24" s="15">
        <f>'ASE Target (Spares), FY 21-22'!A23</f>
        <v>14</v>
      </c>
      <c r="C24" s="25" t="str">
        <f>IF('ASE Target (Spares), FY 21-22'!B23=0,"",'ASE Target (Spares), FY 21-22'!B23)</f>
        <v>DSL-DHK</v>
      </c>
      <c r="D24" s="16" t="str">
        <f>IF('ASE Target (Spares), FY 21-22'!C23=0,"",'ASE Target (Spares), FY 21-22'!C23)</f>
        <v>Md. Habibur Rahman</v>
      </c>
      <c r="E24" s="26">
        <f>IF('ASE Target (Spares), FY 21-22'!D23=0,"",'ASE Target (Spares), FY 21-22'!D23)</f>
        <v>6079</v>
      </c>
      <c r="F24" s="116">
        <v>80</v>
      </c>
    </row>
    <row r="25" spans="2:6" x14ac:dyDescent="0.25">
      <c r="B25" s="15">
        <f>'ASE Target (Spares), FY 21-22'!A24</f>
        <v>15</v>
      </c>
      <c r="C25" s="25" t="str">
        <f>IF('ASE Target (Spares), FY 21-22'!B24=0,"",'ASE Target (Spares), FY 21-22'!B24)</f>
        <v>DSL-DHK</v>
      </c>
      <c r="D25" s="16" t="str">
        <f>IF('ASE Target (Spares), FY 21-22'!C24=0,"",'ASE Target (Spares), FY 21-22'!C24)</f>
        <v>Ashikur Rahman</v>
      </c>
      <c r="E25" s="26">
        <f>IF('ASE Target (Spares), FY 21-22'!D24=0,"",'ASE Target (Spares), FY 21-22'!D24)</f>
        <v>6080</v>
      </c>
      <c r="F25" s="116"/>
    </row>
    <row r="26" spans="2:6" x14ac:dyDescent="0.25">
      <c r="B26" s="15">
        <f>'ASE Target (Spares), FY 21-22'!A25</f>
        <v>16</v>
      </c>
      <c r="C26" s="25" t="str">
        <f>IF('ASE Target (Spares), FY 21-22'!B25=0,"",'ASE Target (Spares), FY 21-22'!B25)</f>
        <v>DSL-DHK</v>
      </c>
      <c r="D26" s="16" t="str">
        <f>IF('ASE Target (Spares), FY 21-22'!C25=0,"",'ASE Target (Spares), FY 21-22'!C25)</f>
        <v>Md. Sujon Hossain</v>
      </c>
      <c r="E26" s="26">
        <f>IF('ASE Target (Spares), FY 21-22'!D25=0,"",'ASE Target (Spares), FY 21-22'!D25)</f>
        <v>6078</v>
      </c>
      <c r="F26" s="116"/>
    </row>
    <row r="27" spans="2:6" x14ac:dyDescent="0.25">
      <c r="B27" s="15">
        <f>'ASE Target (Spares), FY 21-22'!A26</f>
        <v>15</v>
      </c>
      <c r="C27" s="25" t="str">
        <f>IF('ASE Target (Spares), FY 21-22'!B26=0,"",'ASE Target (Spares), FY 21-22'!B26)</f>
        <v>DSL-DHK</v>
      </c>
      <c r="D27" s="16" t="str">
        <f>IF('ASE Target (Spares), FY 21-22'!C26=0,"",'ASE Target (Spares), FY 21-22'!C26)</f>
        <v xml:space="preserve">Md Jiaur Rahman </v>
      </c>
      <c r="E27" s="26" t="str">
        <f>IF('ASE Target (Spares), FY 21-22'!D26=0,"",'ASE Target (Spares), FY 21-22'!D26)</f>
        <v>0522</v>
      </c>
      <c r="F27" s="116"/>
    </row>
    <row r="28" spans="2:6" x14ac:dyDescent="0.25">
      <c r="B28" s="15">
        <f>'ASE Target (Spares), FY 21-22'!A27</f>
        <v>16</v>
      </c>
      <c r="C28" s="25" t="str">
        <f>IF('ASE Target (Spares), FY 21-22'!B27=0,"",'ASE Target (Spares), FY 21-22'!B27)</f>
        <v/>
      </c>
      <c r="D28" s="16" t="str">
        <f>IF('ASE Target (Spares), FY 21-22'!C27=0,"",'ASE Target (Spares), FY 21-22'!C27)</f>
        <v>New-2</v>
      </c>
      <c r="E28" s="26" t="str">
        <f>IF('ASE Target (Spares), FY 21-22'!D27=0,"",'ASE Target (Spares), FY 21-22'!D27)</f>
        <v/>
      </c>
      <c r="F28" s="116"/>
    </row>
    <row r="29" spans="2:6" x14ac:dyDescent="0.25">
      <c r="B29" s="15">
        <f>'ASE Target (Spares), FY 21-22'!A28</f>
        <v>17</v>
      </c>
      <c r="C29" s="25" t="str">
        <f>IF('ASE Target (Spares), FY 21-22'!B28=0,"",'ASE Target (Spares), FY 21-22'!B28)</f>
        <v/>
      </c>
      <c r="D29" s="16" t="str">
        <f>IF('ASE Target (Spares), FY 21-22'!C28=0,"",'ASE Target (Spares), FY 21-22'!C28)</f>
        <v>New-3</v>
      </c>
      <c r="E29" s="26" t="str">
        <f>IF('ASE Target (Spares), FY 21-22'!D28=0,"",'ASE Target (Spares), FY 21-22'!D28)</f>
        <v/>
      </c>
      <c r="F29" s="116"/>
    </row>
    <row r="30" spans="2:6" x14ac:dyDescent="0.25">
      <c r="B30" s="15">
        <f>'ASE Target (Spares), FY 21-22'!A29</f>
        <v>18</v>
      </c>
      <c r="C30" s="25" t="str">
        <f>IF('ASE Target (Spares), FY 21-22'!B29=0,"",'ASE Target (Spares), FY 21-22'!B29)</f>
        <v/>
      </c>
      <c r="D30" s="16" t="str">
        <f>IF('ASE Target (Spares), FY 21-22'!C29=0,"",'ASE Target (Spares), FY 21-22'!C29)</f>
        <v>New-4</v>
      </c>
      <c r="E30" s="26" t="str">
        <f>IF('ASE Target (Spares), FY 21-22'!D29=0,"",'ASE Target (Spares), FY 21-22'!D29)</f>
        <v/>
      </c>
      <c r="F30" s="116"/>
    </row>
    <row r="31" spans="2:6" x14ac:dyDescent="0.25">
      <c r="B31" s="15">
        <f>'ASE Target (Spares), FY 21-22'!A30</f>
        <v>19</v>
      </c>
      <c r="C31" s="25" t="str">
        <f>IF('ASE Target (Spares), FY 21-22'!B30=0,"",'ASE Target (Spares), FY 21-22'!B30)</f>
        <v>CTG</v>
      </c>
      <c r="D31" s="16" t="str">
        <f>IF('ASE Target (Spares), FY 21-22'!C30=0,"",'ASE Target (Spares), FY 21-22'!C30)</f>
        <v xml:space="preserve">Sumon Sen </v>
      </c>
      <c r="E31" s="26" t="str">
        <f>IF('ASE Target (Spares), FY 21-22'!D30=0,"",'ASE Target (Spares), FY 21-22'!D30)</f>
        <v>8041</v>
      </c>
      <c r="F31" s="116"/>
    </row>
    <row r="32" spans="2:6" x14ac:dyDescent="0.25">
      <c r="B32" s="15">
        <f>'ASE Target (Spares), FY 21-22'!A31</f>
        <v>20</v>
      </c>
      <c r="C32" s="25" t="str">
        <f>IF('ASE Target (Spares), FY 21-22'!B31=0,"",'ASE Target (Spares), FY 21-22'!B31)</f>
        <v>CTG</v>
      </c>
      <c r="D32" s="16" t="str">
        <f>IF('ASE Target (Spares), FY 21-22'!C31=0,"",'ASE Target (Spares), FY 21-22'!C31)</f>
        <v>Tapan Barua</v>
      </c>
      <c r="E32" s="26" t="str">
        <f>IF('ASE Target (Spares), FY 21-22'!D31=0,"",'ASE Target (Spares), FY 21-22'!D31)</f>
        <v>1475</v>
      </c>
      <c r="F32" s="116"/>
    </row>
    <row r="33" spans="2:6" x14ac:dyDescent="0.25">
      <c r="B33" s="15">
        <f>'ASE Target (Spares), FY 21-22'!A32</f>
        <v>21</v>
      </c>
      <c r="C33" s="25" t="str">
        <f>IF('ASE Target (Spares), FY 21-22'!B32=0,"",'ASE Target (Spares), FY 21-22'!B32)</f>
        <v>CTG</v>
      </c>
      <c r="D33" s="16" t="str">
        <f>IF('ASE Target (Spares), FY 21-22'!C32=0,"",'ASE Target (Spares), FY 21-22'!C32)</f>
        <v>Sozol prince</v>
      </c>
      <c r="E33" s="26" t="str">
        <f>IF('ASE Target (Spares), FY 21-22'!D32=0,"",'ASE Target (Spares), FY 21-22'!D32)</f>
        <v>6076</v>
      </c>
      <c r="F33" s="116"/>
    </row>
    <row r="34" spans="2:6" x14ac:dyDescent="0.25">
      <c r="B34" s="15">
        <f>'ASE Target (Spares), FY 21-22'!A33</f>
        <v>16</v>
      </c>
      <c r="C34" s="25" t="str">
        <f>IF('ASE Target (Spares), FY 21-22'!B33=0,"",'ASE Target (Spares), FY 21-22'!B33)</f>
        <v/>
      </c>
      <c r="D34" s="16" t="str">
        <f>IF('ASE Target (Spares), FY 21-22'!C33=0,"",'ASE Target (Spares), FY 21-22'!C33)</f>
        <v>New-5</v>
      </c>
      <c r="E34" s="26" t="str">
        <f>IF('ASE Target (Spares), FY 21-22'!D33=0,"",'ASE Target (Spares), FY 21-22'!D33)</f>
        <v/>
      </c>
      <c r="F34" s="116"/>
    </row>
    <row r="35" spans="2:6" x14ac:dyDescent="0.25">
      <c r="B35" s="15">
        <f>'ASE Target (Spares), FY 21-22'!A34</f>
        <v>17</v>
      </c>
      <c r="C35" s="25" t="str">
        <f>IF('ASE Target (Spares), FY 21-22'!B34=0,"",'ASE Target (Spares), FY 21-22'!B34)</f>
        <v/>
      </c>
      <c r="D35" s="16" t="str">
        <f>IF('ASE Target (Spares), FY 21-22'!C34=0,"",'ASE Target (Spares), FY 21-22'!C34)</f>
        <v>New-6</v>
      </c>
      <c r="E35" s="26" t="str">
        <f>IF('ASE Target (Spares), FY 21-22'!D34=0,"",'ASE Target (Spares), FY 21-22'!D34)</f>
        <v/>
      </c>
      <c r="F35" s="116"/>
    </row>
    <row r="36" spans="2:6" x14ac:dyDescent="0.25">
      <c r="B36" s="15">
        <f>'ASE Target (Spares), FY 21-22'!A35</f>
        <v>0</v>
      </c>
      <c r="C36" s="25" t="str">
        <f>IF('ASE Target (Spares), FY 21-22'!B35=0,"",'ASE Target (Spares), FY 21-22'!B35)</f>
        <v/>
      </c>
      <c r="D36" s="16" t="str">
        <f>IF('ASE Target (Spares), FY 21-22'!C35=0,"",'ASE Target (Spares), FY 21-22'!C35)</f>
        <v/>
      </c>
      <c r="E36" s="26" t="str">
        <f>IF('ASE Target (Spares), FY 21-22'!D35=0,"",'ASE Target (Spares), FY 21-22'!D35)</f>
        <v/>
      </c>
      <c r="F36" s="116"/>
    </row>
    <row r="37" spans="2:6" x14ac:dyDescent="0.25">
      <c r="B37" s="15">
        <f>'ASE Target (Spares), FY 21-22'!A35</f>
        <v>0</v>
      </c>
      <c r="C37" s="25" t="str">
        <f>IF('ASE Target (Spares), FY 21-22'!B35=0,"",'ASE Target (Spares), FY 21-22'!B35)</f>
        <v/>
      </c>
      <c r="D37" s="16" t="str">
        <f>IF('ASE Target (Spares), FY 21-22'!C35=0,"",'ASE Target (Spares), FY 21-22'!C35)</f>
        <v/>
      </c>
      <c r="E37" s="26" t="str">
        <f>IF('ASE Target (Spares), FY 21-22'!D35=0,"",'ASE Target (Spares), FY 21-22'!D35)</f>
        <v/>
      </c>
      <c r="F37" s="116"/>
    </row>
    <row r="38" spans="2:6" x14ac:dyDescent="0.25">
      <c r="B38" s="15">
        <f>'ASE Target (Spares), FY 21-22'!A36</f>
        <v>0</v>
      </c>
      <c r="C38" s="25" t="str">
        <f>IF('ASE Target (Spares), FY 21-22'!B36=0,"",'ASE Target (Spares), FY 21-22'!B36)</f>
        <v/>
      </c>
      <c r="D38" s="16" t="str">
        <f>IF('ASE Target (Spares), FY 21-22'!C36=0,"",'ASE Target (Spares), FY 21-22'!C36)</f>
        <v/>
      </c>
      <c r="E38" s="26" t="str">
        <f>IF('ASE Target (Spares), FY 21-22'!D36=0,"",'ASE Target (Spares), FY 21-22'!D36)</f>
        <v/>
      </c>
      <c r="F38" s="116"/>
    </row>
    <row r="39" spans="2:6" x14ac:dyDescent="0.25">
      <c r="B39" s="15">
        <f>'ASE Target (Spares), FY 21-22'!A37</f>
        <v>0</v>
      </c>
      <c r="C39" s="25" t="str">
        <f>IF('ASE Target (Spares), FY 21-22'!B37=0,"",'ASE Target (Spares), FY 21-22'!B37)</f>
        <v/>
      </c>
      <c r="D39" s="16" t="str">
        <f>IF('ASE Target (Spares), FY 21-22'!C37=0,"",'ASE Target (Spares), FY 21-22'!C37)</f>
        <v/>
      </c>
      <c r="E39" s="26" t="str">
        <f>IF('ASE Target (Spares), FY 21-22'!D37=0,"",'ASE Target (Spares), FY 21-22'!D37)</f>
        <v/>
      </c>
      <c r="F39" s="116"/>
    </row>
    <row r="40" spans="2:6" x14ac:dyDescent="0.25">
      <c r="B40" s="15">
        <f>'ASE Target (Spares), FY 21-22'!A38</f>
        <v>0</v>
      </c>
      <c r="C40" s="25" t="str">
        <f>IF('ASE Target (Spares), FY 21-22'!B38=0,"",'ASE Target (Spares), FY 21-22'!B38)</f>
        <v/>
      </c>
      <c r="D40" s="16" t="str">
        <f>IF('ASE Target (Spares), FY 21-22'!C38=0,"",'ASE Target (Spares), FY 21-22'!C38)</f>
        <v/>
      </c>
      <c r="E40" s="26" t="str">
        <f>IF('ASE Target (Spares), FY 21-22'!D38=0,"",'ASE Target (Spares), FY 21-22'!D38)</f>
        <v/>
      </c>
      <c r="F40" s="116"/>
    </row>
  </sheetData>
  <mergeCells count="5">
    <mergeCell ref="B4:E4"/>
    <mergeCell ref="B5:B6"/>
    <mergeCell ref="C5:C6"/>
    <mergeCell ref="D5:D6"/>
    <mergeCell ref="E5:E6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KI79"/>
  <sheetViews>
    <sheetView showGridLines="0" tabSelected="1" topLeftCell="AD1" zoomScaleNormal="100" workbookViewId="0">
      <pane ySplit="5" topLeftCell="A6" activePane="bottomLeft" state="frozen"/>
      <selection pane="bottomLeft" activeCell="AF1" sqref="AF1:AF1048576"/>
    </sheetView>
  </sheetViews>
  <sheetFormatPr defaultRowHeight="15" x14ac:dyDescent="0.25"/>
  <cols>
    <col min="1" max="1" width="1.5703125" customWidth="1"/>
    <col min="4" max="4" width="22.28515625" bestFit="1" customWidth="1"/>
    <col min="6" max="6" width="14.7109375" customWidth="1"/>
    <col min="7" max="7" width="15.7109375" customWidth="1"/>
    <col min="8" max="9" width="13.42578125" customWidth="1"/>
    <col min="10" max="11" width="12.85546875" customWidth="1"/>
    <col min="18" max="18" width="10.5703125" bestFit="1" customWidth="1"/>
    <col min="24" max="24" width="10.5703125" bestFit="1" customWidth="1"/>
    <col min="25" max="25" width="10.5703125" customWidth="1"/>
    <col min="30" max="30" width="10.5703125" bestFit="1" customWidth="1"/>
    <col min="31" max="31" width="10.5703125" customWidth="1"/>
    <col min="32" max="33" width="13.140625" customWidth="1"/>
    <col min="78" max="78" width="10.5703125" bestFit="1" customWidth="1"/>
  </cols>
  <sheetData>
    <row r="2" spans="2:295" ht="15.75" x14ac:dyDescent="0.25">
      <c r="B2" s="23" t="str">
        <f>'Monthly Summary (No Input)'!B2</f>
        <v>Month</v>
      </c>
      <c r="C2" s="24" t="str">
        <f>'Monthly Summary (No Input)'!C2</f>
        <v>Jul</v>
      </c>
      <c r="D2" s="11" t="s">
        <v>143</v>
      </c>
    </row>
    <row r="4" spans="2:295" s="119" customFormat="1" ht="18.75" x14ac:dyDescent="0.25">
      <c r="B4" s="200" t="s">
        <v>134</v>
      </c>
      <c r="C4" s="201"/>
      <c r="D4" s="201"/>
      <c r="E4" s="202"/>
      <c r="F4" s="11" t="s">
        <v>172</v>
      </c>
      <c r="G4" s="11" t="s">
        <v>172</v>
      </c>
      <c r="H4" s="118" t="s">
        <v>147</v>
      </c>
      <c r="I4" s="118" t="s">
        <v>147</v>
      </c>
      <c r="J4" s="118" t="s">
        <v>147</v>
      </c>
      <c r="K4" s="118" t="s">
        <v>147</v>
      </c>
      <c r="L4" s="118" t="s">
        <v>147</v>
      </c>
      <c r="M4" s="118" t="s">
        <v>147</v>
      </c>
      <c r="N4" s="118" t="s">
        <v>147</v>
      </c>
      <c r="O4" s="118" t="s">
        <v>147</v>
      </c>
      <c r="P4" s="118" t="s">
        <v>147</v>
      </c>
      <c r="Q4" s="118" t="s">
        <v>147</v>
      </c>
      <c r="R4" s="118" t="s">
        <v>147</v>
      </c>
      <c r="S4" s="118" t="s">
        <v>147</v>
      </c>
      <c r="T4" s="118" t="s">
        <v>147</v>
      </c>
      <c r="U4" s="118" t="s">
        <v>147</v>
      </c>
      <c r="V4" s="118" t="s">
        <v>147</v>
      </c>
      <c r="W4" s="118" t="s">
        <v>147</v>
      </c>
      <c r="X4" s="118" t="s">
        <v>147</v>
      </c>
      <c r="Y4" s="118" t="s">
        <v>147</v>
      </c>
      <c r="Z4" s="118" t="s">
        <v>147</v>
      </c>
      <c r="AA4" s="118" t="s">
        <v>147</v>
      </c>
      <c r="AB4" s="118" t="s">
        <v>147</v>
      </c>
      <c r="AC4" s="118" t="s">
        <v>147</v>
      </c>
      <c r="AD4" s="118" t="s">
        <v>147</v>
      </c>
      <c r="AE4" s="118" t="s">
        <v>147</v>
      </c>
      <c r="AF4" s="118" t="s">
        <v>147</v>
      </c>
      <c r="AG4" s="118" t="s">
        <v>147</v>
      </c>
      <c r="AH4" s="118" t="s">
        <v>147</v>
      </c>
      <c r="AI4" s="118" t="s">
        <v>147</v>
      </c>
      <c r="AJ4" s="118" t="s">
        <v>147</v>
      </c>
      <c r="AK4" s="118" t="s">
        <v>147</v>
      </c>
      <c r="AL4" s="118" t="s">
        <v>147</v>
      </c>
      <c r="AM4" s="118" t="s">
        <v>147</v>
      </c>
      <c r="AN4" s="118" t="s">
        <v>147</v>
      </c>
      <c r="AO4" s="118" t="s">
        <v>147</v>
      </c>
      <c r="AP4" s="118" t="s">
        <v>147</v>
      </c>
      <c r="AQ4" s="118" t="s">
        <v>147</v>
      </c>
      <c r="AR4" s="118" t="s">
        <v>147</v>
      </c>
      <c r="AS4" s="118" t="s">
        <v>147</v>
      </c>
      <c r="AT4" s="118" t="s">
        <v>147</v>
      </c>
      <c r="AU4" s="118" t="s">
        <v>147</v>
      </c>
      <c r="AV4" s="118" t="s">
        <v>147</v>
      </c>
      <c r="AW4" s="118" t="s">
        <v>147</v>
      </c>
      <c r="AX4" s="118" t="s">
        <v>147</v>
      </c>
      <c r="AY4" s="118" t="s">
        <v>147</v>
      </c>
      <c r="AZ4" s="118" t="s">
        <v>147</v>
      </c>
      <c r="BA4" s="118" t="s">
        <v>147</v>
      </c>
      <c r="BB4" s="118" t="s">
        <v>147</v>
      </c>
      <c r="BC4" s="118" t="s">
        <v>147</v>
      </c>
      <c r="BD4" s="118" t="s">
        <v>147</v>
      </c>
      <c r="BE4" s="118" t="s">
        <v>147</v>
      </c>
      <c r="BF4" s="118" t="s">
        <v>147</v>
      </c>
      <c r="BG4" s="118" t="s">
        <v>147</v>
      </c>
      <c r="BH4" s="118" t="s">
        <v>147</v>
      </c>
      <c r="BI4" s="118" t="s">
        <v>147</v>
      </c>
      <c r="BJ4" s="118" t="s">
        <v>147</v>
      </c>
      <c r="BK4" s="118" t="s">
        <v>147</v>
      </c>
      <c r="BL4" s="118" t="s">
        <v>147</v>
      </c>
      <c r="BM4" s="118" t="s">
        <v>147</v>
      </c>
      <c r="BN4" s="118" t="s">
        <v>147</v>
      </c>
      <c r="BO4" s="118" t="s">
        <v>147</v>
      </c>
      <c r="BP4" s="118" t="s">
        <v>147</v>
      </c>
      <c r="BQ4" s="118" t="s">
        <v>147</v>
      </c>
      <c r="BR4" s="118" t="s">
        <v>147</v>
      </c>
      <c r="BS4" s="118" t="s">
        <v>147</v>
      </c>
      <c r="BT4" s="118" t="s">
        <v>147</v>
      </c>
      <c r="BU4" s="118" t="s">
        <v>147</v>
      </c>
      <c r="BV4" s="118" t="s">
        <v>147</v>
      </c>
      <c r="BW4" s="118" t="s">
        <v>147</v>
      </c>
      <c r="BX4" s="118" t="s">
        <v>147</v>
      </c>
      <c r="BY4" s="118" t="s">
        <v>147</v>
      </c>
      <c r="BZ4" s="118" t="s">
        <v>147</v>
      </c>
      <c r="CA4" s="118" t="s">
        <v>147</v>
      </c>
      <c r="CB4" s="118" t="s">
        <v>147</v>
      </c>
      <c r="CC4" s="118" t="s">
        <v>147</v>
      </c>
      <c r="CD4" s="118" t="s">
        <v>147</v>
      </c>
      <c r="CE4" s="118" t="s">
        <v>147</v>
      </c>
      <c r="CF4" s="118" t="s">
        <v>147</v>
      </c>
      <c r="CG4" s="118" t="s">
        <v>147</v>
      </c>
      <c r="CH4" s="118" t="s">
        <v>147</v>
      </c>
      <c r="CI4" s="118" t="s">
        <v>147</v>
      </c>
      <c r="CJ4" s="118" t="s">
        <v>147</v>
      </c>
      <c r="CK4" s="118" t="s">
        <v>147</v>
      </c>
      <c r="CL4" s="118" t="s">
        <v>147</v>
      </c>
      <c r="CM4" s="118" t="s">
        <v>147</v>
      </c>
      <c r="CN4" s="118" t="s">
        <v>147</v>
      </c>
      <c r="CO4" s="118" t="s">
        <v>147</v>
      </c>
      <c r="CP4" s="118" t="s">
        <v>147</v>
      </c>
      <c r="CQ4" s="118" t="s">
        <v>147</v>
      </c>
      <c r="CR4" s="118" t="s">
        <v>147</v>
      </c>
      <c r="CS4" s="118" t="s">
        <v>147</v>
      </c>
      <c r="CT4" s="118" t="s">
        <v>147</v>
      </c>
      <c r="CU4" s="118" t="s">
        <v>147</v>
      </c>
      <c r="CV4" s="118" t="s">
        <v>147</v>
      </c>
      <c r="CW4" s="118" t="s">
        <v>147</v>
      </c>
      <c r="CX4" s="118" t="s">
        <v>147</v>
      </c>
      <c r="CY4" s="118" t="s">
        <v>147</v>
      </c>
      <c r="CZ4" s="118" t="s">
        <v>147</v>
      </c>
      <c r="DA4" s="118" t="s">
        <v>147</v>
      </c>
      <c r="DB4" s="118" t="s">
        <v>147</v>
      </c>
      <c r="DC4" s="118" t="s">
        <v>147</v>
      </c>
      <c r="DD4" s="118" t="s">
        <v>147</v>
      </c>
      <c r="DE4" s="118" t="s">
        <v>147</v>
      </c>
      <c r="DF4" s="118" t="s">
        <v>147</v>
      </c>
      <c r="DG4" s="118" t="s">
        <v>147</v>
      </c>
      <c r="DH4" s="118" t="s">
        <v>147</v>
      </c>
      <c r="DI4" s="118" t="s">
        <v>147</v>
      </c>
      <c r="DJ4" s="118" t="s">
        <v>147</v>
      </c>
      <c r="DK4" s="118" t="s">
        <v>147</v>
      </c>
      <c r="DL4" s="118" t="s">
        <v>147</v>
      </c>
      <c r="DM4" s="118" t="s">
        <v>147</v>
      </c>
      <c r="DN4" s="118" t="s">
        <v>147</v>
      </c>
      <c r="DO4" s="118" t="s">
        <v>147</v>
      </c>
      <c r="DP4" s="118" t="s">
        <v>147</v>
      </c>
      <c r="DQ4" s="118" t="s">
        <v>147</v>
      </c>
      <c r="DR4" s="118" t="s">
        <v>147</v>
      </c>
      <c r="DS4" s="118" t="s">
        <v>147</v>
      </c>
      <c r="DT4" s="118" t="s">
        <v>147</v>
      </c>
      <c r="DU4" s="118" t="s">
        <v>147</v>
      </c>
      <c r="DV4" s="118" t="s">
        <v>147</v>
      </c>
      <c r="DW4" s="118" t="s">
        <v>147</v>
      </c>
      <c r="DX4" s="118" t="s">
        <v>147</v>
      </c>
      <c r="DY4" s="118" t="s">
        <v>147</v>
      </c>
      <c r="DZ4" s="118" t="s">
        <v>147</v>
      </c>
      <c r="EA4" s="118" t="s">
        <v>147</v>
      </c>
      <c r="EB4" s="118" t="s">
        <v>147</v>
      </c>
      <c r="EC4" s="118" t="s">
        <v>147</v>
      </c>
      <c r="ED4" s="118" t="s">
        <v>147</v>
      </c>
      <c r="EE4" s="118" t="s">
        <v>147</v>
      </c>
      <c r="EF4" s="118" t="s">
        <v>147</v>
      </c>
      <c r="EG4" s="118" t="s">
        <v>147</v>
      </c>
      <c r="EH4" s="118" t="s">
        <v>147</v>
      </c>
      <c r="EI4" s="118" t="s">
        <v>147</v>
      </c>
      <c r="EJ4" s="118" t="s">
        <v>147</v>
      </c>
      <c r="EK4" s="118" t="s">
        <v>147</v>
      </c>
      <c r="EL4" s="118" t="s">
        <v>147</v>
      </c>
      <c r="EM4" s="118" t="s">
        <v>147</v>
      </c>
      <c r="EN4" s="118" t="s">
        <v>147</v>
      </c>
      <c r="EO4" s="118" t="s">
        <v>147</v>
      </c>
      <c r="EP4" s="118" t="s">
        <v>147</v>
      </c>
      <c r="EQ4" s="118" t="s">
        <v>147</v>
      </c>
      <c r="ER4" s="118" t="s">
        <v>147</v>
      </c>
      <c r="ES4" s="118" t="s">
        <v>147</v>
      </c>
      <c r="ET4" s="118" t="s">
        <v>147</v>
      </c>
      <c r="EU4" s="118" t="s">
        <v>147</v>
      </c>
      <c r="EV4" s="118" t="s">
        <v>147</v>
      </c>
      <c r="EW4" s="118" t="s">
        <v>147</v>
      </c>
      <c r="EX4" s="118" t="s">
        <v>147</v>
      </c>
      <c r="EY4" s="118" t="s">
        <v>147</v>
      </c>
      <c r="EZ4" s="118" t="s">
        <v>147</v>
      </c>
      <c r="FA4" s="118" t="s">
        <v>147</v>
      </c>
      <c r="FB4" s="118" t="s">
        <v>147</v>
      </c>
      <c r="FC4" s="118" t="s">
        <v>147</v>
      </c>
      <c r="FD4" s="118" t="s">
        <v>147</v>
      </c>
      <c r="FE4" s="118" t="s">
        <v>147</v>
      </c>
      <c r="FF4" s="118" t="s">
        <v>147</v>
      </c>
      <c r="FG4" s="118" t="s">
        <v>147</v>
      </c>
      <c r="FH4" s="118" t="s">
        <v>147</v>
      </c>
      <c r="FI4" s="118" t="s">
        <v>147</v>
      </c>
      <c r="FJ4" s="118" t="s">
        <v>147</v>
      </c>
      <c r="FK4" s="118" t="s">
        <v>147</v>
      </c>
      <c r="FL4" s="118" t="s">
        <v>147</v>
      </c>
      <c r="FM4" s="118" t="s">
        <v>147</v>
      </c>
      <c r="FN4" s="118" t="s">
        <v>147</v>
      </c>
      <c r="FO4" s="118" t="s">
        <v>147</v>
      </c>
      <c r="FP4" s="118" t="s">
        <v>147</v>
      </c>
      <c r="FQ4" s="118" t="s">
        <v>147</v>
      </c>
      <c r="FR4" s="118" t="s">
        <v>147</v>
      </c>
      <c r="FS4" s="118" t="s">
        <v>147</v>
      </c>
      <c r="FT4" s="118" t="s">
        <v>147</v>
      </c>
      <c r="FU4" s="118" t="s">
        <v>147</v>
      </c>
      <c r="FV4" s="118" t="s">
        <v>147</v>
      </c>
      <c r="FW4" s="118" t="s">
        <v>147</v>
      </c>
      <c r="FX4" s="118" t="s">
        <v>147</v>
      </c>
      <c r="FY4" s="118" t="s">
        <v>147</v>
      </c>
      <c r="FZ4" s="118" t="s">
        <v>147</v>
      </c>
      <c r="GA4" s="118" t="s">
        <v>147</v>
      </c>
      <c r="GB4" s="118" t="s">
        <v>147</v>
      </c>
      <c r="GC4" s="118" t="s">
        <v>147</v>
      </c>
      <c r="GD4" s="118" t="s">
        <v>147</v>
      </c>
      <c r="GE4" s="118" t="s">
        <v>147</v>
      </c>
      <c r="GF4" s="118" t="s">
        <v>147</v>
      </c>
      <c r="GG4" s="118" t="s">
        <v>147</v>
      </c>
      <c r="GH4" s="118" t="s">
        <v>147</v>
      </c>
      <c r="GI4" s="118" t="s">
        <v>147</v>
      </c>
      <c r="GJ4" s="118" t="s">
        <v>147</v>
      </c>
      <c r="GK4" s="118" t="s">
        <v>147</v>
      </c>
      <c r="GL4" s="118" t="s">
        <v>147</v>
      </c>
      <c r="GM4" s="118" t="s">
        <v>147</v>
      </c>
      <c r="GN4" s="118" t="s">
        <v>147</v>
      </c>
      <c r="GO4" s="118" t="s">
        <v>147</v>
      </c>
      <c r="GP4" s="118" t="s">
        <v>147</v>
      </c>
      <c r="GQ4" s="118" t="s">
        <v>147</v>
      </c>
      <c r="GR4" s="118" t="s">
        <v>147</v>
      </c>
      <c r="GS4" s="118" t="s">
        <v>147</v>
      </c>
      <c r="GT4" s="118" t="s">
        <v>147</v>
      </c>
      <c r="GU4" s="118" t="s">
        <v>147</v>
      </c>
      <c r="GV4" s="118" t="s">
        <v>147</v>
      </c>
      <c r="GW4" s="118" t="s">
        <v>147</v>
      </c>
      <c r="GX4" s="118" t="s">
        <v>147</v>
      </c>
      <c r="GY4" s="118" t="s">
        <v>147</v>
      </c>
      <c r="GZ4" s="118" t="s">
        <v>147</v>
      </c>
      <c r="HA4" s="118" t="s">
        <v>147</v>
      </c>
      <c r="HB4" s="118" t="s">
        <v>147</v>
      </c>
      <c r="HC4" s="118" t="s">
        <v>147</v>
      </c>
      <c r="HD4" s="118" t="s">
        <v>147</v>
      </c>
      <c r="HE4" s="118" t="s">
        <v>147</v>
      </c>
      <c r="HF4" s="118" t="s">
        <v>147</v>
      </c>
      <c r="HG4" s="118" t="s">
        <v>147</v>
      </c>
      <c r="HH4" s="118" t="s">
        <v>147</v>
      </c>
      <c r="HI4" s="118" t="s">
        <v>147</v>
      </c>
      <c r="HJ4" s="118" t="s">
        <v>147</v>
      </c>
      <c r="HK4" s="118" t="s">
        <v>147</v>
      </c>
      <c r="HL4" s="118" t="s">
        <v>147</v>
      </c>
      <c r="HM4" s="118" t="s">
        <v>147</v>
      </c>
      <c r="HN4" s="118" t="s">
        <v>147</v>
      </c>
      <c r="HO4" s="118" t="s">
        <v>147</v>
      </c>
      <c r="HP4" s="118" t="s">
        <v>147</v>
      </c>
      <c r="HQ4" s="118" t="s">
        <v>147</v>
      </c>
      <c r="HR4" s="118" t="s">
        <v>147</v>
      </c>
      <c r="HS4" s="118" t="s">
        <v>147</v>
      </c>
      <c r="HT4" s="118" t="s">
        <v>147</v>
      </c>
      <c r="HU4" s="118" t="s">
        <v>147</v>
      </c>
      <c r="HV4" s="118" t="s">
        <v>147</v>
      </c>
      <c r="HW4" s="118" t="s">
        <v>147</v>
      </c>
      <c r="HX4" s="118" t="s">
        <v>147</v>
      </c>
      <c r="HY4" s="118" t="s">
        <v>147</v>
      </c>
      <c r="HZ4" s="118" t="s">
        <v>147</v>
      </c>
      <c r="IA4" s="118" t="s">
        <v>147</v>
      </c>
      <c r="IB4" s="118" t="s">
        <v>147</v>
      </c>
      <c r="IC4" s="118" t="s">
        <v>147</v>
      </c>
      <c r="ID4" s="118" t="s">
        <v>147</v>
      </c>
      <c r="IE4" s="118" t="s">
        <v>147</v>
      </c>
      <c r="IF4" s="118" t="s">
        <v>147</v>
      </c>
      <c r="IG4" s="118" t="s">
        <v>147</v>
      </c>
      <c r="IH4" s="118" t="s">
        <v>147</v>
      </c>
      <c r="II4" s="118" t="s">
        <v>147</v>
      </c>
      <c r="IJ4" s="118" t="s">
        <v>147</v>
      </c>
      <c r="IK4" s="118" t="s">
        <v>147</v>
      </c>
      <c r="IL4" s="118" t="s">
        <v>147</v>
      </c>
      <c r="IM4" s="118" t="s">
        <v>147</v>
      </c>
      <c r="IN4" s="118" t="s">
        <v>147</v>
      </c>
      <c r="IO4" s="118" t="s">
        <v>147</v>
      </c>
      <c r="IP4" s="118" t="s">
        <v>147</v>
      </c>
      <c r="IQ4" s="118" t="s">
        <v>147</v>
      </c>
      <c r="IR4" s="118" t="s">
        <v>147</v>
      </c>
      <c r="IS4" s="118" t="s">
        <v>147</v>
      </c>
      <c r="IT4" s="118" t="s">
        <v>147</v>
      </c>
      <c r="IU4" s="118" t="s">
        <v>147</v>
      </c>
      <c r="IV4" s="118" t="s">
        <v>147</v>
      </c>
      <c r="IW4" s="118" t="s">
        <v>147</v>
      </c>
      <c r="IX4" s="118" t="s">
        <v>147</v>
      </c>
      <c r="IY4" s="118" t="s">
        <v>147</v>
      </c>
      <c r="IZ4" s="118" t="s">
        <v>147</v>
      </c>
      <c r="JA4" s="118" t="s">
        <v>147</v>
      </c>
      <c r="JB4" s="118" t="s">
        <v>147</v>
      </c>
      <c r="JC4" s="118" t="s">
        <v>147</v>
      </c>
      <c r="JD4" s="118" t="s">
        <v>147</v>
      </c>
      <c r="JE4" s="118" t="s">
        <v>147</v>
      </c>
      <c r="JF4" s="118" t="s">
        <v>147</v>
      </c>
      <c r="JG4" s="118" t="s">
        <v>147</v>
      </c>
      <c r="JH4" s="118" t="s">
        <v>147</v>
      </c>
      <c r="JI4" s="118" t="s">
        <v>147</v>
      </c>
      <c r="JJ4" s="118" t="s">
        <v>147</v>
      </c>
      <c r="JK4" s="118" t="s">
        <v>147</v>
      </c>
      <c r="JL4" s="118" t="s">
        <v>147</v>
      </c>
      <c r="JM4" s="118" t="s">
        <v>147</v>
      </c>
      <c r="JN4" s="118" t="s">
        <v>147</v>
      </c>
      <c r="JO4" s="118" t="s">
        <v>147</v>
      </c>
      <c r="JP4" s="118" t="s">
        <v>147</v>
      </c>
      <c r="JQ4" s="118" t="s">
        <v>147</v>
      </c>
      <c r="JR4" s="118" t="s">
        <v>147</v>
      </c>
      <c r="JS4" s="118" t="s">
        <v>147</v>
      </c>
      <c r="JT4" s="118" t="s">
        <v>147</v>
      </c>
      <c r="JU4" s="118" t="s">
        <v>147</v>
      </c>
      <c r="JV4" s="118" t="s">
        <v>147</v>
      </c>
      <c r="JW4" s="118" t="s">
        <v>147</v>
      </c>
      <c r="JX4" s="118" t="s">
        <v>147</v>
      </c>
      <c r="JY4" s="118" t="s">
        <v>147</v>
      </c>
      <c r="JZ4" s="118" t="s">
        <v>147</v>
      </c>
      <c r="KA4" s="118" t="s">
        <v>147</v>
      </c>
      <c r="KB4" s="118" t="s">
        <v>147</v>
      </c>
      <c r="KC4" s="118" t="s">
        <v>147</v>
      </c>
      <c r="KD4" s="118" t="s">
        <v>147</v>
      </c>
      <c r="KE4" s="118" t="s">
        <v>147</v>
      </c>
      <c r="KF4" s="118" t="s">
        <v>147</v>
      </c>
      <c r="KG4" s="118" t="s">
        <v>147</v>
      </c>
      <c r="KH4" s="118" t="s">
        <v>147</v>
      </c>
      <c r="KI4" s="118" t="s">
        <v>147</v>
      </c>
    </row>
    <row r="5" spans="2:295" s="101" customFormat="1" ht="35.25" customHeight="1" x14ac:dyDescent="0.25">
      <c r="B5" s="97" t="str">
        <f>'ASE Target (Spares), FY 21-22'!A5</f>
        <v>Sl.</v>
      </c>
      <c r="C5" s="98" t="str">
        <f>'ASE Target (Spares), FY 21-22'!B5</f>
        <v>Wing</v>
      </c>
      <c r="D5" s="98" t="str">
        <f>'ASE Target (Spares), FY 21-22'!C5</f>
        <v>Name</v>
      </c>
      <c r="E5" s="97" t="str">
        <f>'ASE Target (Spares), FY 21-22'!D5</f>
        <v>ID</v>
      </c>
      <c r="F5" s="109" t="s">
        <v>126</v>
      </c>
      <c r="G5" s="108" t="s">
        <v>131</v>
      </c>
      <c r="H5" s="100" t="s">
        <v>125</v>
      </c>
      <c r="I5" s="107" t="s">
        <v>130</v>
      </c>
      <c r="J5" s="100" t="s">
        <v>125</v>
      </c>
      <c r="K5" s="107" t="s">
        <v>130</v>
      </c>
      <c r="L5" s="100" t="s">
        <v>125</v>
      </c>
      <c r="M5" s="107" t="s">
        <v>130</v>
      </c>
      <c r="N5" s="100" t="s">
        <v>125</v>
      </c>
      <c r="O5" s="107" t="s">
        <v>130</v>
      </c>
      <c r="P5" s="100" t="s">
        <v>125</v>
      </c>
      <c r="Q5" s="107" t="s">
        <v>130</v>
      </c>
      <c r="R5" s="100" t="s">
        <v>125</v>
      </c>
      <c r="S5" s="107" t="s">
        <v>130</v>
      </c>
      <c r="T5" s="100" t="s">
        <v>125</v>
      </c>
      <c r="U5" s="107" t="s">
        <v>130</v>
      </c>
      <c r="V5" s="100" t="s">
        <v>125</v>
      </c>
      <c r="W5" s="107" t="s">
        <v>130</v>
      </c>
      <c r="X5" s="100" t="s">
        <v>125</v>
      </c>
      <c r="Y5" s="107" t="s">
        <v>130</v>
      </c>
      <c r="Z5" s="100" t="s">
        <v>125</v>
      </c>
      <c r="AA5" s="107" t="s">
        <v>130</v>
      </c>
      <c r="AB5" s="100" t="s">
        <v>125</v>
      </c>
      <c r="AC5" s="107" t="s">
        <v>130</v>
      </c>
      <c r="AD5" s="100" t="s">
        <v>125</v>
      </c>
      <c r="AE5" s="107" t="s">
        <v>130</v>
      </c>
      <c r="AF5" s="100" t="s">
        <v>125</v>
      </c>
      <c r="AG5" s="107" t="s">
        <v>130</v>
      </c>
      <c r="AH5" s="100" t="s">
        <v>125</v>
      </c>
      <c r="AI5" s="107" t="s">
        <v>130</v>
      </c>
      <c r="AJ5" s="100" t="s">
        <v>125</v>
      </c>
      <c r="AK5" s="107" t="s">
        <v>130</v>
      </c>
      <c r="AL5" s="100" t="s">
        <v>125</v>
      </c>
      <c r="AM5" s="107" t="s">
        <v>130</v>
      </c>
      <c r="AN5" s="100" t="s">
        <v>125</v>
      </c>
      <c r="AO5" s="107" t="s">
        <v>130</v>
      </c>
      <c r="AP5" s="100" t="s">
        <v>125</v>
      </c>
      <c r="AQ5" s="107" t="s">
        <v>130</v>
      </c>
      <c r="AR5" s="100" t="s">
        <v>125</v>
      </c>
      <c r="AS5" s="107" t="s">
        <v>130</v>
      </c>
      <c r="AT5" s="100" t="s">
        <v>125</v>
      </c>
      <c r="AU5" s="107" t="s">
        <v>130</v>
      </c>
      <c r="AV5" s="100" t="s">
        <v>125</v>
      </c>
      <c r="AW5" s="107" t="s">
        <v>130</v>
      </c>
      <c r="AX5" s="100" t="s">
        <v>125</v>
      </c>
      <c r="AY5" s="107" t="s">
        <v>130</v>
      </c>
      <c r="AZ5" s="100" t="s">
        <v>125</v>
      </c>
      <c r="BA5" s="107" t="s">
        <v>130</v>
      </c>
      <c r="BB5" s="100" t="s">
        <v>125</v>
      </c>
      <c r="BC5" s="107" t="s">
        <v>130</v>
      </c>
      <c r="BD5" s="100" t="s">
        <v>125</v>
      </c>
      <c r="BE5" s="107" t="s">
        <v>130</v>
      </c>
      <c r="BF5" s="100" t="s">
        <v>125</v>
      </c>
      <c r="BG5" s="107" t="s">
        <v>130</v>
      </c>
      <c r="BH5" s="100" t="s">
        <v>125</v>
      </c>
      <c r="BI5" s="107" t="s">
        <v>130</v>
      </c>
      <c r="BJ5" s="100" t="s">
        <v>125</v>
      </c>
      <c r="BK5" s="107" t="s">
        <v>130</v>
      </c>
      <c r="BL5" s="100" t="s">
        <v>125</v>
      </c>
      <c r="BM5" s="107" t="s">
        <v>130</v>
      </c>
      <c r="BN5" s="100" t="s">
        <v>125</v>
      </c>
      <c r="BO5" s="107" t="s">
        <v>130</v>
      </c>
      <c r="BP5" s="100" t="s">
        <v>125</v>
      </c>
      <c r="BQ5" s="107" t="s">
        <v>130</v>
      </c>
      <c r="BR5" s="100" t="s">
        <v>125</v>
      </c>
      <c r="BS5" s="107" t="s">
        <v>130</v>
      </c>
      <c r="BT5" s="100" t="s">
        <v>125</v>
      </c>
      <c r="BU5" s="107" t="s">
        <v>130</v>
      </c>
      <c r="BV5" s="100" t="s">
        <v>125</v>
      </c>
      <c r="BW5" s="107" t="s">
        <v>130</v>
      </c>
      <c r="BX5" s="100" t="s">
        <v>125</v>
      </c>
      <c r="BY5" s="107" t="s">
        <v>130</v>
      </c>
      <c r="BZ5" s="100" t="s">
        <v>125</v>
      </c>
      <c r="CA5" s="107" t="s">
        <v>130</v>
      </c>
      <c r="CB5" s="100" t="s">
        <v>125</v>
      </c>
      <c r="CC5" s="107" t="s">
        <v>130</v>
      </c>
      <c r="CD5" s="100" t="s">
        <v>125</v>
      </c>
      <c r="CE5" s="107" t="s">
        <v>130</v>
      </c>
      <c r="CF5" s="100" t="s">
        <v>125</v>
      </c>
      <c r="CG5" s="107" t="s">
        <v>130</v>
      </c>
      <c r="CH5" s="100" t="s">
        <v>125</v>
      </c>
      <c r="CI5" s="107" t="s">
        <v>130</v>
      </c>
      <c r="CJ5" s="100" t="s">
        <v>125</v>
      </c>
      <c r="CK5" s="107" t="s">
        <v>130</v>
      </c>
      <c r="CL5" s="100" t="s">
        <v>125</v>
      </c>
      <c r="CM5" s="107" t="s">
        <v>130</v>
      </c>
      <c r="CN5" s="100" t="s">
        <v>125</v>
      </c>
      <c r="CO5" s="107" t="s">
        <v>130</v>
      </c>
      <c r="CP5" s="100" t="s">
        <v>125</v>
      </c>
      <c r="CQ5" s="107" t="s">
        <v>130</v>
      </c>
      <c r="CR5" s="100" t="s">
        <v>125</v>
      </c>
      <c r="CS5" s="107" t="s">
        <v>130</v>
      </c>
      <c r="CT5" s="100" t="s">
        <v>125</v>
      </c>
      <c r="CU5" s="107" t="s">
        <v>130</v>
      </c>
      <c r="CV5" s="100" t="s">
        <v>125</v>
      </c>
      <c r="CW5" s="107" t="s">
        <v>130</v>
      </c>
      <c r="CX5" s="100" t="s">
        <v>125</v>
      </c>
      <c r="CY5" s="107" t="s">
        <v>130</v>
      </c>
      <c r="CZ5" s="100" t="s">
        <v>125</v>
      </c>
      <c r="DA5" s="107" t="s">
        <v>130</v>
      </c>
      <c r="DB5" s="100" t="s">
        <v>125</v>
      </c>
      <c r="DC5" s="107" t="s">
        <v>130</v>
      </c>
      <c r="DD5" s="100" t="s">
        <v>125</v>
      </c>
      <c r="DE5" s="107" t="s">
        <v>130</v>
      </c>
      <c r="DF5" s="100" t="s">
        <v>125</v>
      </c>
      <c r="DG5" s="107" t="s">
        <v>130</v>
      </c>
      <c r="DH5" s="100" t="s">
        <v>125</v>
      </c>
      <c r="DI5" s="107" t="s">
        <v>130</v>
      </c>
      <c r="DJ5" s="100" t="s">
        <v>125</v>
      </c>
      <c r="DK5" s="107" t="s">
        <v>130</v>
      </c>
      <c r="DL5" s="100" t="s">
        <v>125</v>
      </c>
      <c r="DM5" s="107" t="s">
        <v>130</v>
      </c>
      <c r="DN5" s="100" t="s">
        <v>125</v>
      </c>
      <c r="DO5" s="107" t="s">
        <v>130</v>
      </c>
      <c r="DP5" s="100" t="s">
        <v>125</v>
      </c>
      <c r="DQ5" s="107" t="s">
        <v>130</v>
      </c>
      <c r="DR5" s="100" t="s">
        <v>125</v>
      </c>
      <c r="DS5" s="107" t="s">
        <v>130</v>
      </c>
      <c r="DT5" s="100" t="s">
        <v>125</v>
      </c>
      <c r="DU5" s="107" t="s">
        <v>130</v>
      </c>
      <c r="DV5" s="100" t="s">
        <v>125</v>
      </c>
      <c r="DW5" s="107" t="s">
        <v>130</v>
      </c>
      <c r="DX5" s="100" t="s">
        <v>125</v>
      </c>
      <c r="DY5" s="107" t="s">
        <v>130</v>
      </c>
      <c r="DZ5" s="100" t="s">
        <v>125</v>
      </c>
      <c r="EA5" s="107" t="s">
        <v>130</v>
      </c>
      <c r="EB5" s="100" t="s">
        <v>125</v>
      </c>
      <c r="EC5" s="107" t="s">
        <v>130</v>
      </c>
      <c r="ED5" s="100" t="s">
        <v>125</v>
      </c>
      <c r="EE5" s="107" t="s">
        <v>130</v>
      </c>
      <c r="EF5" s="100" t="s">
        <v>125</v>
      </c>
      <c r="EG5" s="107" t="s">
        <v>130</v>
      </c>
      <c r="EH5" s="100" t="s">
        <v>125</v>
      </c>
      <c r="EI5" s="107" t="s">
        <v>130</v>
      </c>
      <c r="EJ5" s="100" t="s">
        <v>125</v>
      </c>
      <c r="EK5" s="107" t="s">
        <v>130</v>
      </c>
      <c r="EL5" s="100" t="s">
        <v>125</v>
      </c>
      <c r="EM5" s="107" t="s">
        <v>130</v>
      </c>
      <c r="EN5" s="100" t="s">
        <v>125</v>
      </c>
      <c r="EO5" s="107" t="s">
        <v>130</v>
      </c>
      <c r="EP5" s="100" t="s">
        <v>125</v>
      </c>
      <c r="EQ5" s="107" t="s">
        <v>130</v>
      </c>
      <c r="ER5" s="100" t="s">
        <v>125</v>
      </c>
      <c r="ES5" s="107" t="s">
        <v>130</v>
      </c>
      <c r="ET5" s="100" t="s">
        <v>125</v>
      </c>
      <c r="EU5" s="107" t="s">
        <v>130</v>
      </c>
      <c r="EV5" s="100" t="s">
        <v>125</v>
      </c>
      <c r="EW5" s="107" t="s">
        <v>130</v>
      </c>
      <c r="EX5" s="100" t="s">
        <v>125</v>
      </c>
      <c r="EY5" s="107" t="s">
        <v>130</v>
      </c>
      <c r="EZ5" s="100" t="s">
        <v>125</v>
      </c>
      <c r="FA5" s="107" t="s">
        <v>130</v>
      </c>
      <c r="FB5" s="100" t="s">
        <v>125</v>
      </c>
      <c r="FC5" s="107" t="s">
        <v>130</v>
      </c>
      <c r="FD5" s="100" t="s">
        <v>125</v>
      </c>
      <c r="FE5" s="107" t="s">
        <v>130</v>
      </c>
      <c r="FF5" s="100" t="s">
        <v>125</v>
      </c>
      <c r="FG5" s="107" t="s">
        <v>130</v>
      </c>
      <c r="FH5" s="100" t="s">
        <v>125</v>
      </c>
      <c r="FI5" s="107" t="s">
        <v>130</v>
      </c>
      <c r="FJ5" s="100" t="s">
        <v>125</v>
      </c>
      <c r="FK5" s="107" t="s">
        <v>130</v>
      </c>
      <c r="FL5" s="100" t="s">
        <v>125</v>
      </c>
      <c r="FM5" s="107" t="s">
        <v>130</v>
      </c>
      <c r="FN5" s="100" t="s">
        <v>125</v>
      </c>
      <c r="FO5" s="107" t="s">
        <v>130</v>
      </c>
      <c r="FP5" s="100" t="s">
        <v>125</v>
      </c>
      <c r="FQ5" s="107" t="s">
        <v>130</v>
      </c>
      <c r="FR5" s="100" t="s">
        <v>125</v>
      </c>
      <c r="FS5" s="107" t="s">
        <v>130</v>
      </c>
      <c r="FT5" s="100" t="s">
        <v>125</v>
      </c>
      <c r="FU5" s="107" t="s">
        <v>130</v>
      </c>
      <c r="FV5" s="100" t="s">
        <v>125</v>
      </c>
      <c r="FW5" s="107" t="s">
        <v>130</v>
      </c>
      <c r="FX5" s="100" t="s">
        <v>125</v>
      </c>
      <c r="FY5" s="107" t="s">
        <v>130</v>
      </c>
      <c r="FZ5" s="100" t="s">
        <v>125</v>
      </c>
      <c r="GA5" s="107" t="s">
        <v>130</v>
      </c>
      <c r="GB5" s="100" t="s">
        <v>125</v>
      </c>
      <c r="GC5" s="107" t="s">
        <v>130</v>
      </c>
      <c r="GD5" s="100" t="s">
        <v>125</v>
      </c>
      <c r="GE5" s="107" t="s">
        <v>130</v>
      </c>
      <c r="GF5" s="100" t="s">
        <v>125</v>
      </c>
      <c r="GG5" s="107" t="s">
        <v>130</v>
      </c>
      <c r="GH5" s="100" t="s">
        <v>125</v>
      </c>
      <c r="GI5" s="107" t="s">
        <v>130</v>
      </c>
      <c r="GJ5" s="100" t="s">
        <v>125</v>
      </c>
      <c r="GK5" s="107" t="s">
        <v>130</v>
      </c>
      <c r="GL5" s="100" t="s">
        <v>125</v>
      </c>
      <c r="GM5" s="107" t="s">
        <v>130</v>
      </c>
      <c r="GN5" s="100" t="s">
        <v>125</v>
      </c>
      <c r="GO5" s="107" t="s">
        <v>130</v>
      </c>
      <c r="GP5" s="100" t="s">
        <v>125</v>
      </c>
      <c r="GQ5" s="107" t="s">
        <v>130</v>
      </c>
      <c r="GR5" s="100" t="s">
        <v>125</v>
      </c>
      <c r="GS5" s="107" t="s">
        <v>130</v>
      </c>
      <c r="GT5" s="100" t="s">
        <v>125</v>
      </c>
      <c r="GU5" s="107" t="s">
        <v>130</v>
      </c>
      <c r="GV5" s="100" t="s">
        <v>125</v>
      </c>
      <c r="GW5" s="107" t="s">
        <v>130</v>
      </c>
      <c r="GX5" s="100" t="s">
        <v>125</v>
      </c>
      <c r="GY5" s="107" t="s">
        <v>130</v>
      </c>
      <c r="GZ5" s="100" t="s">
        <v>125</v>
      </c>
      <c r="HA5" s="107" t="s">
        <v>130</v>
      </c>
      <c r="HB5" s="100" t="s">
        <v>125</v>
      </c>
      <c r="HC5" s="107" t="s">
        <v>130</v>
      </c>
      <c r="HD5" s="100" t="s">
        <v>125</v>
      </c>
      <c r="HE5" s="107" t="s">
        <v>130</v>
      </c>
      <c r="HF5" s="100" t="s">
        <v>125</v>
      </c>
      <c r="HG5" s="107" t="s">
        <v>130</v>
      </c>
      <c r="HH5" s="100" t="s">
        <v>125</v>
      </c>
      <c r="HI5" s="107" t="s">
        <v>130</v>
      </c>
      <c r="HJ5" s="100" t="s">
        <v>125</v>
      </c>
      <c r="HK5" s="107" t="s">
        <v>130</v>
      </c>
      <c r="HL5" s="100" t="s">
        <v>125</v>
      </c>
      <c r="HM5" s="107" t="s">
        <v>130</v>
      </c>
      <c r="HN5" s="100" t="s">
        <v>125</v>
      </c>
      <c r="HO5" s="107" t="s">
        <v>130</v>
      </c>
      <c r="HP5" s="100" t="s">
        <v>125</v>
      </c>
      <c r="HQ5" s="107" t="s">
        <v>130</v>
      </c>
      <c r="HR5" s="100" t="s">
        <v>125</v>
      </c>
      <c r="HS5" s="107" t="s">
        <v>130</v>
      </c>
      <c r="HT5" s="100" t="s">
        <v>125</v>
      </c>
      <c r="HU5" s="107" t="s">
        <v>130</v>
      </c>
      <c r="HV5" s="100" t="s">
        <v>125</v>
      </c>
      <c r="HW5" s="107" t="s">
        <v>130</v>
      </c>
      <c r="HX5" s="100" t="s">
        <v>125</v>
      </c>
      <c r="HY5" s="107" t="s">
        <v>130</v>
      </c>
      <c r="HZ5" s="100" t="s">
        <v>125</v>
      </c>
      <c r="IA5" s="107" t="s">
        <v>130</v>
      </c>
      <c r="IB5" s="100" t="s">
        <v>125</v>
      </c>
      <c r="IC5" s="107" t="s">
        <v>130</v>
      </c>
      <c r="ID5" s="100" t="s">
        <v>125</v>
      </c>
      <c r="IE5" s="107" t="s">
        <v>130</v>
      </c>
      <c r="IF5" s="100" t="s">
        <v>125</v>
      </c>
      <c r="IG5" s="107" t="s">
        <v>130</v>
      </c>
      <c r="IH5" s="100" t="s">
        <v>125</v>
      </c>
      <c r="II5" s="107" t="s">
        <v>130</v>
      </c>
      <c r="IJ5" s="100" t="s">
        <v>125</v>
      </c>
      <c r="IK5" s="107" t="s">
        <v>130</v>
      </c>
      <c r="IL5" s="100" t="s">
        <v>125</v>
      </c>
      <c r="IM5" s="107" t="s">
        <v>130</v>
      </c>
      <c r="IN5" s="100" t="s">
        <v>125</v>
      </c>
      <c r="IO5" s="107" t="s">
        <v>130</v>
      </c>
      <c r="IP5" s="100" t="s">
        <v>125</v>
      </c>
      <c r="IQ5" s="107" t="s">
        <v>130</v>
      </c>
      <c r="IR5" s="100" t="s">
        <v>125</v>
      </c>
      <c r="IS5" s="107" t="s">
        <v>130</v>
      </c>
      <c r="IT5" s="100" t="s">
        <v>125</v>
      </c>
      <c r="IU5" s="107" t="s">
        <v>130</v>
      </c>
      <c r="IV5" s="100" t="s">
        <v>125</v>
      </c>
      <c r="IW5" s="107" t="s">
        <v>130</v>
      </c>
      <c r="IX5" s="100" t="s">
        <v>125</v>
      </c>
      <c r="IY5" s="107" t="s">
        <v>130</v>
      </c>
      <c r="IZ5" s="100" t="s">
        <v>125</v>
      </c>
      <c r="JA5" s="107" t="s">
        <v>130</v>
      </c>
      <c r="JB5" s="100" t="s">
        <v>125</v>
      </c>
      <c r="JC5" s="107" t="s">
        <v>130</v>
      </c>
      <c r="JD5" s="100" t="s">
        <v>125</v>
      </c>
      <c r="JE5" s="107" t="s">
        <v>130</v>
      </c>
      <c r="JF5" s="100" t="s">
        <v>125</v>
      </c>
      <c r="JG5" s="107" t="s">
        <v>130</v>
      </c>
      <c r="JH5" s="100" t="s">
        <v>125</v>
      </c>
      <c r="JI5" s="107" t="s">
        <v>130</v>
      </c>
      <c r="JJ5" s="100" t="s">
        <v>125</v>
      </c>
      <c r="JK5" s="107" t="s">
        <v>130</v>
      </c>
      <c r="JL5" s="100" t="s">
        <v>125</v>
      </c>
      <c r="JM5" s="107" t="s">
        <v>130</v>
      </c>
      <c r="JN5" s="100" t="s">
        <v>125</v>
      </c>
      <c r="JO5" s="107" t="s">
        <v>130</v>
      </c>
      <c r="JP5" s="100" t="s">
        <v>125</v>
      </c>
      <c r="JQ5" s="107" t="s">
        <v>130</v>
      </c>
      <c r="JR5" s="100" t="s">
        <v>125</v>
      </c>
      <c r="JS5" s="107" t="s">
        <v>130</v>
      </c>
      <c r="JT5" s="100" t="s">
        <v>125</v>
      </c>
      <c r="JU5" s="107" t="s">
        <v>130</v>
      </c>
      <c r="JV5" s="100" t="s">
        <v>125</v>
      </c>
      <c r="JW5" s="107" t="s">
        <v>130</v>
      </c>
      <c r="JX5" s="100" t="s">
        <v>125</v>
      </c>
      <c r="JY5" s="107" t="s">
        <v>130</v>
      </c>
      <c r="JZ5" s="100" t="s">
        <v>125</v>
      </c>
      <c r="KA5" s="107" t="s">
        <v>130</v>
      </c>
      <c r="KB5" s="100" t="s">
        <v>125</v>
      </c>
      <c r="KC5" s="107" t="s">
        <v>130</v>
      </c>
      <c r="KD5" s="100" t="s">
        <v>125</v>
      </c>
      <c r="KE5" s="107" t="s">
        <v>130</v>
      </c>
      <c r="KF5" s="100" t="s">
        <v>125</v>
      </c>
      <c r="KG5" s="107" t="s">
        <v>130</v>
      </c>
      <c r="KH5" s="100" t="s">
        <v>125</v>
      </c>
      <c r="KI5" s="107" t="s">
        <v>130</v>
      </c>
    </row>
    <row r="6" spans="2:295" x14ac:dyDescent="0.25">
      <c r="B6" s="15">
        <f>'ASE Target (Spares), FY 21-22'!A6</f>
        <v>1</v>
      </c>
      <c r="C6" s="110" t="str">
        <f>'ASE Target vs Ach(Spares)(Inpt)'!C7</f>
        <v>DSL-DHK</v>
      </c>
      <c r="D6" s="110" t="str">
        <f>'ASE Target vs Ach(Spares)(Inpt)'!D7</f>
        <v xml:space="preserve">Md. Shohidul </v>
      </c>
      <c r="E6" s="111">
        <f>'ASE Target vs Ach(Spares)(Inpt)'!E7</f>
        <v>1418</v>
      </c>
      <c r="F6" s="112">
        <f>H6+J6+L6+N6+P6+R6+T6+V6+X6+Z6+AB6+AD6+AF6+AH6+AJ6+AL6+AN6+AP6+AR6+AT6+AV6+AX6+AZ6+BB6+BD6+BF6+BH6+BJ6+BL6+BN6+BP6+BR6+BT6+BV6+BX6+BZ6+CB6+CD6+CF6+CH6+CJ6+CL6+CM6+CO6+CQ6+CS6+CU6+CW6+CY6+DB6+DD6+DF6+DH6+DJ6+DL6+DN6+DP6+DR6+DT6+DV6+DX6+DZ6+EB6+ED6+EF6+EH6+EJ6+EL6+EN6+EP6+ER6+ET6+EV6+EX6+EZ6+FB6+FD6+FF6+FH6+FJ6+FL6+FN6+FP6+FR6+FT6+FV6+FX6+FZ6+GB6+GD6+GF6+GH6+GJ6+GL6+GN6+GP6+GR6+GT6+GV6+GX6+GZ6+HB6+HD6+HF6+HH6+HJ6+HL6+HN6+HP6+HR6+HT6+HV6+HX6+HZ6+IB6+ID6+IF6+IH6+IJ6+IL6+IN6+IP6+IR6+IT6+IV6+IX6+IZ6+JB6+JD6+JF6+JH6+JJ6+JL6+JN6+JP6+JR6+JT6+JV6+JX6+JZ6+KB6+KD6+KF6+KH6</f>
        <v>202901</v>
      </c>
      <c r="G6" s="112">
        <f>I6+K6+M6+O6+Q6+S6+U6+W6+Y6+AA6+AC6+AE6+AG6+AI6+AK6+AM6+AO6+AQ6+AS6+AU6+AW6+AY6+BA6+BC6+BE6+BG6+BI6+BK6+BM6+BO6+BQ6+BS6+BU6+BW6+BY6+CA6+CC6+CE6+CG6+CI6+CK6+CM6+CN6+CP6+CR6+CT6+CV6+CX6+CZ6+DC6+DE6+DG6+DI6+DK6+DM6+DO6+DQ6+DS6+DU6+DW6+DY6+EA6+EC6+EE6+EG6+EI6+EK6+EM6+EO6+EQ6+ES6+EU6+EW6+EY6+FA6+FC6+FE6+FG6+FI6+FK6+FM6+FO6+FQ6+FS6+FU6+FW6+FY6+GA6+GC6+GE6+GG6+GI6+GK6+GM6+GO6+GQ6+GS6+GU6+GW6+GY6+HA6+HC6+HE6+HG6+HI6+HK6+HM6+HO6+HQ6+HS6+HU6+HW6+HY6+IA6+IC6+IE6+IG6+II6+IK6+IM6+IO6+IQ6+IS6+IU6+IW6+IY6+JA6+JC6+JE6+JG6+JI6+JK6+JM6+JO6+JQ6+JS6+JU6+JW6+JY6+KA6+KC6+KE6+KG6+KI6</f>
        <v>0</v>
      </c>
      <c r="H6" s="85">
        <v>2000</v>
      </c>
      <c r="I6" s="85"/>
      <c r="J6" s="85">
        <v>2000</v>
      </c>
      <c r="K6" s="85"/>
      <c r="L6" s="85">
        <v>4000</v>
      </c>
      <c r="M6" s="85"/>
      <c r="N6" s="85">
        <v>4000</v>
      </c>
      <c r="O6" s="85"/>
      <c r="P6" s="85">
        <v>3863</v>
      </c>
      <c r="Q6" s="85"/>
      <c r="R6" s="85">
        <v>3000</v>
      </c>
      <c r="S6" s="85"/>
      <c r="T6" s="85">
        <v>3000</v>
      </c>
      <c r="U6" s="85"/>
      <c r="V6" s="85">
        <v>12000</v>
      </c>
      <c r="W6" s="85"/>
      <c r="X6" s="85">
        <v>8000</v>
      </c>
      <c r="Y6" s="85"/>
      <c r="Z6" s="85">
        <v>13000</v>
      </c>
      <c r="AA6" s="85"/>
      <c r="AB6" s="85">
        <v>32175</v>
      </c>
      <c r="AC6" s="85"/>
      <c r="AD6" s="85">
        <v>10691</v>
      </c>
      <c r="AE6" s="85"/>
      <c r="AF6" s="85">
        <v>10691</v>
      </c>
      <c r="AG6" s="85"/>
      <c r="AH6" s="85">
        <v>3000</v>
      </c>
      <c r="AI6" s="85"/>
      <c r="AJ6" s="85">
        <v>3000</v>
      </c>
      <c r="AK6" s="85"/>
      <c r="AL6" s="85">
        <v>15000</v>
      </c>
      <c r="AM6" s="85"/>
      <c r="AN6" s="85">
        <v>12500</v>
      </c>
      <c r="AO6" s="85"/>
      <c r="AP6" s="85">
        <v>2000</v>
      </c>
      <c r="AQ6" s="85"/>
      <c r="AR6" s="85">
        <v>3564</v>
      </c>
      <c r="AS6" s="85"/>
      <c r="AT6" s="85">
        <v>8749</v>
      </c>
      <c r="AU6" s="85"/>
      <c r="AV6" s="85">
        <v>3340</v>
      </c>
      <c r="AW6" s="85"/>
      <c r="AX6" s="85">
        <v>1000</v>
      </c>
      <c r="AY6" s="85"/>
      <c r="AZ6" s="85">
        <v>35273</v>
      </c>
      <c r="BA6" s="85"/>
      <c r="BB6" s="85">
        <v>7055</v>
      </c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O6" s="85"/>
      <c r="CQ6" s="85"/>
      <c r="CS6" s="85"/>
      <c r="CU6" s="85"/>
      <c r="CW6" s="85"/>
      <c r="CY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5"/>
      <c r="GB6" s="85"/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5"/>
      <c r="GN6" s="85"/>
      <c r="GO6" s="85"/>
      <c r="GP6" s="85"/>
      <c r="GQ6" s="85"/>
      <c r="GR6" s="85"/>
      <c r="GS6" s="85"/>
      <c r="GT6" s="85"/>
      <c r="GU6" s="85"/>
      <c r="GV6" s="85"/>
      <c r="GW6" s="85"/>
      <c r="GX6" s="85"/>
      <c r="GY6" s="85"/>
      <c r="GZ6" s="85"/>
      <c r="HA6" s="85"/>
      <c r="HB6" s="85"/>
      <c r="HC6" s="85"/>
      <c r="HD6" s="85"/>
      <c r="HE6" s="85"/>
      <c r="HF6" s="85"/>
      <c r="HG6" s="85"/>
      <c r="HH6" s="85"/>
      <c r="HI6" s="85"/>
      <c r="HJ6" s="85"/>
      <c r="HK6" s="85"/>
      <c r="HL6" s="85"/>
      <c r="HM6" s="85"/>
      <c r="HN6" s="85"/>
      <c r="HO6" s="85"/>
      <c r="HP6" s="85"/>
      <c r="HQ6" s="85"/>
      <c r="HR6" s="85"/>
      <c r="HS6" s="85"/>
      <c r="HT6" s="85"/>
      <c r="HU6" s="85"/>
      <c r="HV6" s="85"/>
      <c r="HW6" s="85"/>
      <c r="HX6" s="85"/>
      <c r="HY6" s="85"/>
      <c r="HZ6" s="85"/>
      <c r="IA6" s="85"/>
      <c r="IB6" s="85"/>
      <c r="IC6" s="85"/>
      <c r="ID6" s="85"/>
      <c r="IE6" s="85"/>
      <c r="IF6" s="85"/>
      <c r="IG6" s="85"/>
      <c r="IH6" s="85"/>
      <c r="II6" s="85"/>
      <c r="IJ6" s="85"/>
      <c r="IK6" s="85"/>
      <c r="IL6" s="85"/>
      <c r="IM6" s="85"/>
      <c r="IN6" s="85"/>
      <c r="IO6" s="85"/>
      <c r="IP6" s="85"/>
      <c r="IQ6" s="85"/>
      <c r="IR6" s="85"/>
      <c r="IS6" s="85"/>
      <c r="IT6" s="85"/>
      <c r="IU6" s="85"/>
      <c r="IV6" s="85"/>
      <c r="IW6" s="85"/>
      <c r="IX6" s="85"/>
      <c r="IY6" s="85"/>
      <c r="IZ6" s="85"/>
      <c r="JA6" s="85"/>
      <c r="JB6" s="85"/>
      <c r="JC6" s="85"/>
      <c r="JD6" s="85"/>
      <c r="JE6" s="85"/>
      <c r="JF6" s="85"/>
      <c r="JG6" s="85"/>
      <c r="JH6" s="85"/>
      <c r="JI6" s="85"/>
      <c r="JJ6" s="85"/>
      <c r="JK6" s="85"/>
      <c r="JL6" s="85"/>
      <c r="JM6" s="85"/>
      <c r="JN6" s="85"/>
      <c r="JO6" s="85"/>
      <c r="JP6" s="85"/>
      <c r="JQ6" s="85"/>
      <c r="JR6" s="85"/>
      <c r="JS6" s="85"/>
      <c r="JT6" s="85"/>
      <c r="JU6" s="85"/>
      <c r="JV6" s="85"/>
      <c r="JW6" s="85"/>
      <c r="JX6" s="85"/>
      <c r="JY6" s="85"/>
      <c r="JZ6" s="85"/>
      <c r="KA6" s="85"/>
      <c r="KB6" s="85"/>
      <c r="KC6" s="85"/>
      <c r="KD6" s="85"/>
      <c r="KE6" s="85"/>
      <c r="KF6" s="85"/>
      <c r="KG6" s="85"/>
      <c r="KH6" s="85"/>
      <c r="KI6" s="85"/>
    </row>
    <row r="7" spans="2:295" x14ac:dyDescent="0.25">
      <c r="B7" s="15">
        <f>'ASE Target (Spares), FY 21-22'!A7</f>
        <v>2</v>
      </c>
      <c r="C7" s="110" t="str">
        <f>'ASE Target vs Ach(Spares)(Inpt)'!C8</f>
        <v>DSL-DHK</v>
      </c>
      <c r="D7" s="110" t="str">
        <f>'ASE Target vs Ach(Spares)(Inpt)'!D8</f>
        <v>Sagar Chakrobarti</v>
      </c>
      <c r="E7" s="111">
        <f>'ASE Target vs Ach(Spares)(Inpt)'!E8</f>
        <v>2701</v>
      </c>
      <c r="F7" s="112">
        <f t="shared" ref="F7:F34" si="0">H7+J7+L7+N7+P7+R7+T7+V7+X7+Z7+AB7+AD7+AF7+AH7+AJ7+AL7+AN7+AP7+AR7+AT7+AV7+AX7+AZ7+BB7+BD7+BF7+BH7+BJ7+BL7+BN7+BP7+BR7+BT7+BV7+BX7+BZ7+CB7+CD7+CF7+CH7+CJ7+CL7+CM7+CO7+CQ7+CS7+CU7+CW7+CY7+DB7+DD7+DF7+DH7+DJ7+DL7+DN7+DP7+DR7+DT7+DV7+DX7+DZ7+EB7+ED7+EF7+EH7+EJ7+EL7+EN7+EP7+ER7+ET7+EV7+EX7+EZ7+FB7+FD7+FF7+FH7+FJ7+FL7+FN7+FP7+FR7+FT7+FV7+FX7+FZ7+GB7+GD7+GF7+GH7+GJ7+GL7+GN7+GP7+GR7+GT7+GV7+GX7+GZ7+HB7+HD7+HF7+HH7+HJ7+HL7+HN7+HP7+HR7+HT7+HV7+HX7+HZ7+IB7+ID7+IF7+IH7+IJ7+IL7+IN7+IP7+IR7+IT7+IV7+IX7+IZ7+JB7+JD7+JF7+JH7+JJ7+JL7+JN7+JP7+JR7+JT7+JV7+JX7+JZ7+KB7+KD7+KF7+KH7</f>
        <v>0</v>
      </c>
      <c r="G7" s="112">
        <f t="shared" ref="G7:G34" si="1">I7+K7+M7+O7+Q7+S7+U7+W7+Y7+AA7+AC7+AE7+AG7+AI7+AK7+AM7+AO7+AQ7+AS7+AU7+AW7+AY7+BA7+BC7+BE7+BG7+BI7+BK7+BM7+BO7+BQ7+BS7+BU7+BW7+BY7+CA7+CC7+CE7+CG7+CI7+CK7+CM7+CN7+CP7+CR7+CT7+CV7+CX7+CZ7+DC7+DE7+DG7+DI7+DK7+DM7+DO7+DQ7+DS7+DU7+DW7+DY7+EA7+EC7+EE7+EG7+EI7+EK7+EM7+EO7+EQ7+ES7+EU7+EW7+EY7+FA7+FC7+FE7+FG7+FI7+FK7+FM7+FO7+FQ7+FS7+FU7+FW7+FY7+GA7+GC7+GE7+GG7+GI7+GK7+GM7+GO7+GQ7+GS7+GU7+GW7+GY7+HA7+HC7+HE7+HG7+HI7+HK7+HM7+HO7+HQ7+HS7+HU7+HW7+HY7+IA7+IC7+IE7+IG7+II7+IK7+IM7+IO7+IQ7+IS7+IU7+IW7+IY7+JA7+JC7+JE7+JG7+JI7+JK7+JM7+JO7+JQ7+JS7+JU7+JW7+JY7+KA7+KC7+KE7+KG7+KI7</f>
        <v>0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  <c r="FU7" s="85"/>
      <c r="FV7" s="85"/>
      <c r="FW7" s="85"/>
      <c r="FX7" s="85"/>
      <c r="FY7" s="85"/>
      <c r="FZ7" s="85"/>
      <c r="GA7" s="85"/>
      <c r="GB7" s="85"/>
      <c r="GC7" s="85"/>
      <c r="GD7" s="85"/>
      <c r="GE7" s="85"/>
      <c r="GF7" s="85"/>
      <c r="GG7" s="85"/>
      <c r="GH7" s="85"/>
      <c r="GI7" s="85"/>
      <c r="GJ7" s="85"/>
      <c r="GK7" s="85"/>
      <c r="GL7" s="85"/>
      <c r="GM7" s="85"/>
      <c r="GN7" s="85"/>
      <c r="GO7" s="85"/>
      <c r="GP7" s="85"/>
      <c r="GQ7" s="85"/>
      <c r="GR7" s="85"/>
      <c r="GS7" s="85"/>
      <c r="GT7" s="85"/>
      <c r="GU7" s="85"/>
      <c r="GV7" s="85"/>
      <c r="GW7" s="85"/>
      <c r="GX7" s="85"/>
      <c r="GY7" s="85"/>
      <c r="GZ7" s="85"/>
      <c r="HA7" s="85"/>
      <c r="HB7" s="85"/>
      <c r="HC7" s="85"/>
      <c r="HD7" s="85"/>
      <c r="HE7" s="85"/>
      <c r="HF7" s="85"/>
      <c r="HG7" s="85"/>
      <c r="HH7" s="85"/>
      <c r="HI7" s="85"/>
      <c r="HJ7" s="85"/>
      <c r="HK7" s="85"/>
      <c r="HL7" s="85"/>
      <c r="HM7" s="85"/>
      <c r="HN7" s="85"/>
      <c r="HO7" s="85"/>
      <c r="HP7" s="85"/>
      <c r="HQ7" s="85"/>
      <c r="HR7" s="85"/>
      <c r="HS7" s="85"/>
      <c r="HT7" s="85"/>
      <c r="HU7" s="85"/>
      <c r="HV7" s="85"/>
      <c r="HW7" s="85"/>
      <c r="HX7" s="85"/>
      <c r="HY7" s="85"/>
      <c r="HZ7" s="85"/>
      <c r="IA7" s="85"/>
      <c r="IB7" s="85"/>
      <c r="IC7" s="85"/>
      <c r="ID7" s="85"/>
      <c r="IE7" s="85"/>
      <c r="IF7" s="85"/>
      <c r="IG7" s="85"/>
      <c r="IH7" s="85"/>
      <c r="II7" s="85"/>
      <c r="IJ7" s="85"/>
      <c r="IK7" s="85"/>
      <c r="IL7" s="85"/>
      <c r="IM7" s="85"/>
      <c r="IN7" s="85"/>
      <c r="IO7" s="85"/>
      <c r="IP7" s="85"/>
      <c r="IQ7" s="85"/>
      <c r="IR7" s="85"/>
      <c r="IS7" s="85"/>
      <c r="IT7" s="85"/>
      <c r="IU7" s="85"/>
      <c r="IV7" s="85"/>
      <c r="IW7" s="85"/>
      <c r="IX7" s="85"/>
      <c r="IY7" s="85"/>
      <c r="IZ7" s="85"/>
      <c r="JA7" s="85"/>
      <c r="JB7" s="85"/>
      <c r="JC7" s="85"/>
      <c r="JD7" s="85"/>
      <c r="JE7" s="85"/>
      <c r="JF7" s="85"/>
      <c r="JG7" s="85"/>
      <c r="JH7" s="85"/>
      <c r="JI7" s="85"/>
      <c r="JJ7" s="85"/>
      <c r="JK7" s="85"/>
      <c r="JL7" s="85"/>
      <c r="JM7" s="85"/>
      <c r="JN7" s="85"/>
      <c r="JO7" s="85"/>
      <c r="JP7" s="85"/>
      <c r="JQ7" s="85"/>
      <c r="JR7" s="85"/>
      <c r="JS7" s="85"/>
      <c r="JT7" s="85"/>
      <c r="JU7" s="85"/>
      <c r="JV7" s="85"/>
      <c r="JW7" s="85"/>
      <c r="JX7" s="85"/>
      <c r="JY7" s="85"/>
      <c r="JZ7" s="85"/>
      <c r="KA7" s="85"/>
      <c r="KB7" s="85"/>
      <c r="KC7" s="85"/>
      <c r="KD7" s="85"/>
      <c r="KE7" s="85"/>
      <c r="KF7" s="85"/>
      <c r="KG7" s="85"/>
      <c r="KH7" s="85"/>
      <c r="KI7" s="85"/>
    </row>
    <row r="8" spans="2:295" x14ac:dyDescent="0.25">
      <c r="B8" s="15">
        <f>'ASE Target (Spares), FY 21-22'!A8</f>
        <v>3</v>
      </c>
      <c r="C8" s="110" t="str">
        <f>'ASE Target vs Ach(Spares)(Inpt)'!C9</f>
        <v>DSL-DHK</v>
      </c>
      <c r="D8" s="110" t="str">
        <f>'ASE Target vs Ach(Spares)(Inpt)'!D9</f>
        <v>Md. Minhazul Islam</v>
      </c>
      <c r="E8" s="111">
        <f>'ASE Target vs Ach(Spares)(Inpt)'!E9</f>
        <v>2330</v>
      </c>
      <c r="F8" s="112">
        <f t="shared" si="0"/>
        <v>0</v>
      </c>
      <c r="G8" s="112">
        <f t="shared" si="1"/>
        <v>0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  <c r="FU8" s="85"/>
      <c r="FV8" s="85"/>
      <c r="FW8" s="85"/>
      <c r="FX8" s="85"/>
      <c r="FY8" s="85"/>
      <c r="FZ8" s="85"/>
      <c r="GA8" s="85"/>
      <c r="GB8" s="85"/>
      <c r="GC8" s="85"/>
      <c r="GD8" s="85"/>
      <c r="GE8" s="85"/>
      <c r="GF8" s="85"/>
      <c r="GG8" s="85"/>
      <c r="GH8" s="85"/>
      <c r="GI8" s="85"/>
      <c r="GJ8" s="85"/>
      <c r="GK8" s="85"/>
      <c r="GL8" s="85"/>
      <c r="GM8" s="85"/>
      <c r="GN8" s="85"/>
      <c r="GO8" s="85"/>
      <c r="GP8" s="85"/>
      <c r="GQ8" s="85"/>
      <c r="GR8" s="85"/>
      <c r="GS8" s="85"/>
      <c r="GT8" s="85"/>
      <c r="GU8" s="85"/>
      <c r="GV8" s="85"/>
      <c r="GW8" s="85"/>
      <c r="GX8" s="85"/>
      <c r="GY8" s="85"/>
      <c r="GZ8" s="85"/>
      <c r="HA8" s="85"/>
      <c r="HB8" s="85"/>
      <c r="HC8" s="85"/>
      <c r="HD8" s="85"/>
      <c r="HE8" s="85"/>
      <c r="HF8" s="85"/>
      <c r="HG8" s="85"/>
      <c r="HH8" s="85"/>
      <c r="HI8" s="85"/>
      <c r="HJ8" s="85"/>
      <c r="HK8" s="85"/>
      <c r="HL8" s="85"/>
      <c r="HM8" s="85"/>
      <c r="HN8" s="85"/>
      <c r="HO8" s="85"/>
      <c r="HP8" s="85"/>
      <c r="HQ8" s="85"/>
      <c r="HR8" s="85"/>
      <c r="HS8" s="85"/>
      <c r="HT8" s="85"/>
      <c r="HU8" s="85"/>
      <c r="HV8" s="85"/>
      <c r="HW8" s="85"/>
      <c r="HX8" s="85"/>
      <c r="HY8" s="85"/>
      <c r="HZ8" s="85"/>
      <c r="IA8" s="85"/>
      <c r="IB8" s="85"/>
      <c r="IC8" s="85"/>
      <c r="ID8" s="85"/>
      <c r="IE8" s="85"/>
      <c r="IF8" s="85"/>
      <c r="IG8" s="85"/>
      <c r="IH8" s="85"/>
      <c r="II8" s="85"/>
      <c r="IJ8" s="85"/>
      <c r="IK8" s="85"/>
      <c r="IL8" s="85"/>
      <c r="IM8" s="85"/>
      <c r="IN8" s="85"/>
      <c r="IO8" s="85"/>
      <c r="IP8" s="85"/>
      <c r="IQ8" s="85"/>
      <c r="IR8" s="85"/>
      <c r="IS8" s="85"/>
      <c r="IT8" s="85"/>
      <c r="IU8" s="85"/>
      <c r="IV8" s="85"/>
      <c r="IW8" s="85"/>
      <c r="IX8" s="85"/>
      <c r="IY8" s="85"/>
      <c r="IZ8" s="85"/>
      <c r="JA8" s="85"/>
      <c r="JB8" s="85"/>
      <c r="JC8" s="85"/>
      <c r="JD8" s="85"/>
      <c r="JE8" s="85"/>
      <c r="JF8" s="85"/>
      <c r="JG8" s="85"/>
      <c r="JH8" s="85"/>
      <c r="JI8" s="85"/>
      <c r="JJ8" s="85"/>
      <c r="JK8" s="85"/>
      <c r="JL8" s="85"/>
      <c r="JM8" s="85"/>
      <c r="JN8" s="85"/>
      <c r="JO8" s="85"/>
      <c r="JP8" s="85"/>
      <c r="JQ8" s="85"/>
      <c r="JR8" s="85"/>
      <c r="JS8" s="85"/>
      <c r="JT8" s="85"/>
      <c r="JU8" s="85"/>
      <c r="JV8" s="85"/>
      <c r="JW8" s="85"/>
      <c r="JX8" s="85"/>
      <c r="JY8" s="85"/>
      <c r="JZ8" s="85"/>
      <c r="KA8" s="85"/>
      <c r="KB8" s="85"/>
      <c r="KC8" s="85"/>
      <c r="KD8" s="85"/>
      <c r="KE8" s="85"/>
      <c r="KF8" s="85"/>
      <c r="KG8" s="85"/>
      <c r="KH8" s="85"/>
      <c r="KI8" s="85"/>
    </row>
    <row r="9" spans="2:295" x14ac:dyDescent="0.25">
      <c r="B9" s="15">
        <f>'ASE Target (Spares), FY 21-22'!A9</f>
        <v>4</v>
      </c>
      <c r="C9" s="110" t="str">
        <f>'ASE Target vs Ach(Spares)(Inpt)'!C10</f>
        <v>DSL-DHK</v>
      </c>
      <c r="D9" s="110" t="str">
        <f>'ASE Target vs Ach(Spares)(Inpt)'!D10</f>
        <v>Md. Nazmul Hasan Titu</v>
      </c>
      <c r="E9" s="111">
        <f>'ASE Target vs Ach(Spares)(Inpt)'!E10</f>
        <v>2913</v>
      </c>
      <c r="F9" s="112">
        <f t="shared" si="0"/>
        <v>131824</v>
      </c>
      <c r="G9" s="112">
        <f t="shared" si="1"/>
        <v>0</v>
      </c>
      <c r="H9" s="85">
        <v>3000</v>
      </c>
      <c r="J9" s="85">
        <v>3990</v>
      </c>
      <c r="K9" s="85"/>
      <c r="L9" s="85">
        <v>3000</v>
      </c>
      <c r="M9" s="85"/>
      <c r="N9" s="85">
        <v>3500</v>
      </c>
      <c r="O9" s="85"/>
      <c r="P9" s="85">
        <v>8182</v>
      </c>
      <c r="Q9" s="85"/>
      <c r="R9" s="85">
        <v>12000</v>
      </c>
      <c r="S9" s="85"/>
      <c r="T9" s="85">
        <v>18000</v>
      </c>
      <c r="U9" s="85"/>
      <c r="V9" s="85">
        <v>40000</v>
      </c>
      <c r="W9" s="85"/>
      <c r="X9" s="85">
        <v>6716</v>
      </c>
      <c r="Y9" s="85"/>
      <c r="Z9" s="85">
        <v>6136</v>
      </c>
      <c r="AA9" s="85"/>
      <c r="AB9" s="85">
        <v>4500</v>
      </c>
      <c r="AC9" s="85"/>
      <c r="AD9" s="85">
        <v>3900</v>
      </c>
      <c r="AE9" s="85"/>
      <c r="AF9" s="85">
        <v>3900</v>
      </c>
      <c r="AG9" s="85"/>
      <c r="AH9" s="85">
        <v>5000</v>
      </c>
      <c r="AI9" s="85"/>
      <c r="AJ9" s="85">
        <v>5000</v>
      </c>
      <c r="AK9" s="85"/>
      <c r="AL9" s="85">
        <v>5000</v>
      </c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85"/>
      <c r="GG9" s="85"/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  <c r="HC9" s="85"/>
      <c r="HD9" s="85"/>
      <c r="HE9" s="85"/>
      <c r="HF9" s="85"/>
      <c r="HG9" s="85"/>
      <c r="HH9" s="85"/>
      <c r="HI9" s="85"/>
      <c r="HJ9" s="85"/>
      <c r="HK9" s="85"/>
      <c r="HL9" s="85"/>
      <c r="HM9" s="85"/>
      <c r="HN9" s="85"/>
      <c r="HO9" s="85"/>
      <c r="HP9" s="85"/>
      <c r="HQ9" s="85"/>
      <c r="HR9" s="85"/>
      <c r="HS9" s="85"/>
      <c r="HT9" s="85"/>
      <c r="HU9" s="85"/>
      <c r="HV9" s="85"/>
      <c r="HW9" s="85"/>
      <c r="HX9" s="85"/>
      <c r="HY9" s="85"/>
      <c r="HZ9" s="85"/>
      <c r="IA9" s="85"/>
      <c r="IB9" s="85"/>
      <c r="IC9" s="85"/>
      <c r="ID9" s="85"/>
      <c r="IE9" s="85"/>
      <c r="IF9" s="85"/>
      <c r="IG9" s="85"/>
      <c r="IH9" s="85"/>
      <c r="II9" s="85"/>
      <c r="IJ9" s="85"/>
      <c r="IK9" s="85"/>
      <c r="IL9" s="85"/>
      <c r="IM9" s="85"/>
      <c r="IN9" s="85"/>
      <c r="IO9" s="85"/>
      <c r="IP9" s="85"/>
      <c r="IQ9" s="85"/>
      <c r="IR9" s="85"/>
      <c r="IS9" s="85"/>
      <c r="IT9" s="85"/>
      <c r="IU9" s="85"/>
      <c r="IV9" s="85"/>
      <c r="IW9" s="85"/>
      <c r="IX9" s="85"/>
      <c r="IY9" s="85"/>
      <c r="IZ9" s="85"/>
      <c r="JA9" s="85"/>
      <c r="JB9" s="85"/>
      <c r="JC9" s="85"/>
      <c r="JD9" s="85"/>
      <c r="JE9" s="85"/>
      <c r="JF9" s="85"/>
      <c r="JG9" s="85"/>
      <c r="JH9" s="85"/>
      <c r="JI9" s="85"/>
      <c r="JJ9" s="85"/>
      <c r="JK9" s="85"/>
      <c r="JL9" s="85"/>
      <c r="JM9" s="85"/>
      <c r="JN9" s="85"/>
      <c r="JO9" s="85"/>
      <c r="JP9" s="85"/>
      <c r="JQ9" s="85"/>
      <c r="JR9" s="85"/>
      <c r="JS9" s="85"/>
      <c r="JT9" s="85"/>
      <c r="JU9" s="85"/>
      <c r="JV9" s="85"/>
      <c r="JW9" s="85"/>
      <c r="JX9" s="85"/>
      <c r="JY9" s="85"/>
      <c r="JZ9" s="85"/>
      <c r="KA9" s="85"/>
      <c r="KB9" s="85"/>
      <c r="KC9" s="85"/>
      <c r="KD9" s="85"/>
      <c r="KE9" s="85"/>
      <c r="KF9" s="85"/>
      <c r="KG9" s="85"/>
      <c r="KH9" s="85"/>
      <c r="KI9" s="85"/>
    </row>
    <row r="10" spans="2:295" x14ac:dyDescent="0.25">
      <c r="B10" s="15">
        <f>'ASE Target (Spares), FY 21-22'!A10</f>
        <v>5</v>
      </c>
      <c r="C10" s="110" t="str">
        <f>'ASE Target vs Ach(Spares)(Inpt)'!C11</f>
        <v>DSL-DHK</v>
      </c>
      <c r="D10" s="110" t="str">
        <f>'ASE Target vs Ach(Spares)(Inpt)'!D11</f>
        <v>Md. Zahirul Islam</v>
      </c>
      <c r="E10" s="111">
        <f>'ASE Target vs Ach(Spares)(Inpt)'!E11</f>
        <v>2914</v>
      </c>
      <c r="F10" s="112">
        <f t="shared" si="0"/>
        <v>186389</v>
      </c>
      <c r="G10" s="112">
        <f t="shared" si="1"/>
        <v>0</v>
      </c>
      <c r="H10" s="85">
        <v>4000</v>
      </c>
      <c r="I10" s="85"/>
      <c r="J10" s="85">
        <v>4000</v>
      </c>
      <c r="K10" s="85"/>
      <c r="L10" s="85">
        <v>4000</v>
      </c>
      <c r="M10" s="85"/>
      <c r="N10" s="85">
        <v>4000</v>
      </c>
      <c r="O10" s="85"/>
      <c r="P10" s="85">
        <v>6000</v>
      </c>
      <c r="Q10" s="85"/>
      <c r="R10" s="85">
        <v>11345</v>
      </c>
      <c r="S10" s="85"/>
      <c r="T10" s="85">
        <v>25637</v>
      </c>
      <c r="U10" s="85"/>
      <c r="V10" s="85">
        <v>10254</v>
      </c>
      <c r="W10" s="85"/>
      <c r="X10" s="85">
        <v>4000</v>
      </c>
      <c r="Y10" s="85"/>
      <c r="Z10" s="85">
        <v>6000</v>
      </c>
      <c r="AA10" s="85"/>
      <c r="AB10" s="85">
        <v>6000</v>
      </c>
      <c r="AC10" s="85"/>
      <c r="AD10" s="85">
        <v>6000</v>
      </c>
      <c r="AE10" s="85"/>
      <c r="AF10" s="85">
        <v>6000</v>
      </c>
      <c r="AG10" s="85"/>
      <c r="AH10" s="85">
        <v>6000</v>
      </c>
      <c r="AI10" s="85"/>
      <c r="AJ10" s="85">
        <v>5000</v>
      </c>
      <c r="AK10" s="85"/>
      <c r="AL10" s="85">
        <v>9000</v>
      </c>
      <c r="AM10" s="85"/>
      <c r="AN10" s="85">
        <v>10000</v>
      </c>
      <c r="AO10" s="85"/>
      <c r="AP10" s="85">
        <v>20000</v>
      </c>
      <c r="AQ10" s="85"/>
      <c r="AR10" s="85">
        <v>10000</v>
      </c>
      <c r="AS10" s="85"/>
      <c r="AT10" s="85">
        <v>6000</v>
      </c>
      <c r="AU10" s="85"/>
      <c r="AV10" s="85">
        <v>15000</v>
      </c>
      <c r="AW10" s="85"/>
      <c r="AX10" s="85">
        <v>6000</v>
      </c>
      <c r="AY10" s="85"/>
      <c r="AZ10" s="85">
        <v>2153</v>
      </c>
      <c r="BA10" s="85"/>
      <c r="BB10" s="85"/>
      <c r="BC10" s="85"/>
      <c r="BD10" s="85"/>
      <c r="BE10" s="85"/>
      <c r="BG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  <c r="HC10" s="85"/>
      <c r="HD10" s="85"/>
      <c r="HE10" s="85"/>
      <c r="HF10" s="85"/>
      <c r="HG10" s="85"/>
      <c r="HH10" s="85"/>
      <c r="HI10" s="85"/>
      <c r="HJ10" s="85"/>
      <c r="HK10" s="85"/>
      <c r="HL10" s="85"/>
      <c r="HM10" s="85"/>
      <c r="HN10" s="85"/>
      <c r="HO10" s="85"/>
      <c r="HP10" s="85"/>
      <c r="HQ10" s="85"/>
      <c r="HR10" s="85"/>
      <c r="HS10" s="85"/>
      <c r="HT10" s="85"/>
      <c r="HU10" s="85"/>
      <c r="HV10" s="85"/>
      <c r="HW10" s="85"/>
      <c r="HX10" s="85"/>
      <c r="HY10" s="85"/>
      <c r="HZ10" s="85"/>
      <c r="IA10" s="85"/>
      <c r="IB10" s="85"/>
      <c r="IC10" s="85"/>
      <c r="ID10" s="85"/>
      <c r="IE10" s="85"/>
      <c r="IF10" s="85"/>
      <c r="IG10" s="85"/>
      <c r="IH10" s="85"/>
      <c r="II10" s="85"/>
      <c r="IJ10" s="85"/>
      <c r="IK10" s="85"/>
      <c r="IL10" s="85"/>
      <c r="IM10" s="85"/>
      <c r="IN10" s="85"/>
      <c r="IO10" s="85"/>
      <c r="IP10" s="85"/>
      <c r="IQ10" s="85"/>
      <c r="IR10" s="85"/>
      <c r="IS10" s="85"/>
      <c r="IT10" s="85"/>
      <c r="IU10" s="85"/>
      <c r="IV10" s="85"/>
      <c r="IW10" s="85"/>
      <c r="IX10" s="85"/>
      <c r="IY10" s="85"/>
      <c r="IZ10" s="85"/>
      <c r="JA10" s="85"/>
      <c r="JB10" s="85"/>
      <c r="JC10" s="85"/>
      <c r="JD10" s="85"/>
      <c r="JE10" s="85"/>
      <c r="JF10" s="85"/>
      <c r="JG10" s="85"/>
      <c r="JH10" s="85"/>
      <c r="JI10" s="85"/>
      <c r="JJ10" s="85"/>
      <c r="JK10" s="85"/>
      <c r="JL10" s="85"/>
      <c r="JM10" s="85"/>
      <c r="JN10" s="85"/>
      <c r="JO10" s="85"/>
      <c r="JP10" s="85"/>
      <c r="JQ10" s="85"/>
      <c r="JR10" s="85"/>
      <c r="JS10" s="85"/>
      <c r="JT10" s="85"/>
      <c r="JU10" s="85"/>
      <c r="JV10" s="85"/>
      <c r="JW10" s="85"/>
      <c r="JX10" s="85"/>
      <c r="JY10" s="85"/>
      <c r="JZ10" s="85"/>
      <c r="KA10" s="85"/>
      <c r="KB10" s="85"/>
      <c r="KC10" s="85"/>
      <c r="KD10" s="85"/>
      <c r="KE10" s="85"/>
      <c r="KF10" s="85"/>
      <c r="KG10" s="85"/>
      <c r="KH10" s="85"/>
      <c r="KI10" s="85"/>
    </row>
    <row r="11" spans="2:295" x14ac:dyDescent="0.25">
      <c r="B11" s="15">
        <f>'ASE Target (Spares), FY 21-22'!A11</f>
        <v>6</v>
      </c>
      <c r="C11" s="110" t="str">
        <f>'ASE Target vs Ach(Spares)(Inpt)'!C12</f>
        <v>DSL-DHK</v>
      </c>
      <c r="D11" s="110" t="str">
        <f>'ASE Target vs Ach(Spares)(Inpt)'!D12</f>
        <v>Md. Rakibul Hasan</v>
      </c>
      <c r="E11" s="111">
        <f>'ASE Target vs Ach(Spares)(Inpt)'!E12</f>
        <v>2927</v>
      </c>
      <c r="F11" s="112">
        <f t="shared" si="0"/>
        <v>184700</v>
      </c>
      <c r="G11" s="112">
        <f t="shared" si="1"/>
        <v>9554</v>
      </c>
      <c r="H11" s="85">
        <v>3000</v>
      </c>
      <c r="I11" s="85"/>
      <c r="J11" s="85">
        <v>10000</v>
      </c>
      <c r="K11" s="85"/>
      <c r="L11" s="85">
        <v>110000</v>
      </c>
      <c r="M11" s="85"/>
      <c r="N11" s="85">
        <v>31700</v>
      </c>
      <c r="O11" s="85"/>
      <c r="P11" s="85">
        <v>15000</v>
      </c>
      <c r="Q11" s="85"/>
      <c r="R11" s="85">
        <v>7500</v>
      </c>
      <c r="S11" s="85"/>
      <c r="T11" s="85">
        <v>7500</v>
      </c>
      <c r="U11" s="85">
        <v>6600</v>
      </c>
      <c r="V11" s="85"/>
      <c r="W11" s="85">
        <v>1181</v>
      </c>
      <c r="X11" s="85"/>
      <c r="Y11" s="85">
        <v>1773</v>
      </c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85"/>
      <c r="HG11" s="85"/>
      <c r="HH11" s="85"/>
      <c r="HI11" s="85"/>
      <c r="HJ11" s="85"/>
      <c r="HK11" s="85"/>
      <c r="HL11" s="85"/>
      <c r="HM11" s="85"/>
      <c r="HN11" s="85"/>
      <c r="HO11" s="85"/>
      <c r="HP11" s="85"/>
      <c r="HQ11" s="85"/>
      <c r="HR11" s="85"/>
      <c r="HS11" s="85"/>
      <c r="HT11" s="85"/>
      <c r="HU11" s="85"/>
      <c r="HV11" s="85"/>
      <c r="HW11" s="85"/>
      <c r="HX11" s="85"/>
      <c r="HY11" s="85"/>
      <c r="HZ11" s="85"/>
      <c r="IA11" s="85"/>
      <c r="IB11" s="85"/>
      <c r="IC11" s="85"/>
      <c r="ID11" s="85"/>
      <c r="IE11" s="85"/>
      <c r="IF11" s="85"/>
      <c r="IG11" s="85"/>
      <c r="IH11" s="85"/>
      <c r="II11" s="85"/>
      <c r="IJ11" s="85"/>
      <c r="IK11" s="85"/>
      <c r="IL11" s="85"/>
      <c r="IM11" s="85"/>
      <c r="IN11" s="85"/>
      <c r="IO11" s="85"/>
      <c r="IP11" s="85"/>
      <c r="IQ11" s="85"/>
      <c r="IR11" s="85"/>
      <c r="IS11" s="85"/>
      <c r="IT11" s="85"/>
      <c r="IU11" s="85"/>
      <c r="IV11" s="85"/>
      <c r="IW11" s="85"/>
      <c r="IX11" s="85"/>
      <c r="IY11" s="85"/>
      <c r="IZ11" s="85"/>
      <c r="JA11" s="85"/>
      <c r="JB11" s="85"/>
      <c r="JC11" s="85"/>
      <c r="JD11" s="85"/>
      <c r="JE11" s="85"/>
      <c r="JF11" s="85"/>
      <c r="JG11" s="85"/>
      <c r="JH11" s="85"/>
      <c r="JI11" s="85"/>
      <c r="JJ11" s="85"/>
      <c r="JK11" s="85"/>
      <c r="JL11" s="85"/>
      <c r="JM11" s="85"/>
      <c r="JN11" s="85"/>
      <c r="JO11" s="85"/>
      <c r="JP11" s="85"/>
      <c r="JQ11" s="85"/>
      <c r="JR11" s="85"/>
      <c r="JS11" s="85"/>
      <c r="JT11" s="85"/>
      <c r="JU11" s="85"/>
      <c r="JV11" s="85"/>
      <c r="JW11" s="85"/>
      <c r="JX11" s="85"/>
      <c r="JY11" s="85"/>
      <c r="JZ11" s="85"/>
      <c r="KA11" s="85"/>
      <c r="KB11" s="85"/>
      <c r="KC11" s="85"/>
      <c r="KD11" s="85"/>
      <c r="KE11" s="85"/>
      <c r="KF11" s="85"/>
      <c r="KG11" s="85"/>
      <c r="KH11" s="85"/>
      <c r="KI11" s="85"/>
    </row>
    <row r="12" spans="2:295" x14ac:dyDescent="0.25">
      <c r="B12" s="15">
        <f>'ASE Target (Spares), FY 21-22'!A12</f>
        <v>7</v>
      </c>
      <c r="C12" s="110" t="str">
        <f>'ASE Target vs Ach(Spares)(Inpt)'!C13</f>
        <v>DSL-DHK</v>
      </c>
      <c r="D12" s="110" t="str">
        <f>'ASE Target vs Ach(Spares)(Inpt)'!D13</f>
        <v>Md Ariful Islam</v>
      </c>
      <c r="E12" s="111">
        <f>'ASE Target vs Ach(Spares)(Inpt)'!E13</f>
        <v>2699</v>
      </c>
      <c r="F12" s="112">
        <f t="shared" si="0"/>
        <v>0</v>
      </c>
      <c r="G12" s="112">
        <f t="shared" si="1"/>
        <v>0</v>
      </c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  <c r="HC12" s="85"/>
      <c r="HD12" s="85"/>
      <c r="HE12" s="85"/>
      <c r="HF12" s="85"/>
      <c r="HG12" s="85"/>
      <c r="HH12" s="85"/>
      <c r="HI12" s="85"/>
      <c r="HJ12" s="85"/>
      <c r="HK12" s="85"/>
      <c r="HL12" s="85"/>
      <c r="HM12" s="85"/>
      <c r="HN12" s="85"/>
      <c r="HO12" s="85"/>
      <c r="HP12" s="85"/>
      <c r="HQ12" s="85"/>
      <c r="HR12" s="85"/>
      <c r="HS12" s="85"/>
      <c r="HT12" s="85"/>
      <c r="HU12" s="85"/>
      <c r="HV12" s="85"/>
      <c r="HW12" s="85"/>
      <c r="HX12" s="85"/>
      <c r="HY12" s="85"/>
      <c r="HZ12" s="85"/>
      <c r="IA12" s="85"/>
      <c r="IB12" s="85"/>
      <c r="IC12" s="85"/>
      <c r="ID12" s="85"/>
      <c r="IE12" s="85"/>
      <c r="IF12" s="85"/>
      <c r="IG12" s="85"/>
      <c r="IH12" s="85"/>
      <c r="II12" s="85"/>
      <c r="IJ12" s="85"/>
      <c r="IK12" s="85"/>
      <c r="IL12" s="85"/>
      <c r="IM12" s="85"/>
      <c r="IN12" s="85"/>
      <c r="IO12" s="85"/>
      <c r="IP12" s="85"/>
      <c r="IQ12" s="85"/>
      <c r="IR12" s="85"/>
      <c r="IS12" s="85"/>
      <c r="IT12" s="85"/>
      <c r="IU12" s="85"/>
      <c r="IV12" s="85"/>
      <c r="IW12" s="85"/>
      <c r="IX12" s="85"/>
      <c r="IY12" s="85"/>
      <c r="IZ12" s="85"/>
      <c r="JA12" s="85"/>
      <c r="JB12" s="85"/>
      <c r="JC12" s="85"/>
      <c r="JD12" s="85"/>
      <c r="JE12" s="85"/>
      <c r="JF12" s="85"/>
      <c r="JG12" s="85"/>
      <c r="JH12" s="85"/>
      <c r="JI12" s="85"/>
      <c r="JJ12" s="85"/>
      <c r="JK12" s="85"/>
      <c r="JL12" s="85"/>
      <c r="JM12" s="85"/>
      <c r="JN12" s="85"/>
      <c r="JO12" s="85"/>
      <c r="JP12" s="85"/>
      <c r="JQ12" s="85"/>
      <c r="JR12" s="85"/>
      <c r="JS12" s="85"/>
      <c r="JT12" s="85"/>
      <c r="JU12" s="85"/>
      <c r="JV12" s="85"/>
      <c r="JW12" s="85"/>
      <c r="JX12" s="85"/>
      <c r="JY12" s="85"/>
      <c r="JZ12" s="85"/>
      <c r="KA12" s="85"/>
      <c r="KB12" s="85"/>
      <c r="KC12" s="85"/>
      <c r="KD12" s="85"/>
      <c r="KE12" s="85"/>
      <c r="KF12" s="85"/>
      <c r="KG12" s="85"/>
      <c r="KH12" s="85"/>
      <c r="KI12" s="85"/>
    </row>
    <row r="13" spans="2:295" x14ac:dyDescent="0.25">
      <c r="B13" s="15">
        <f>'ASE Target (Spares), FY 21-22'!A13</f>
        <v>8</v>
      </c>
      <c r="C13" s="110" t="str">
        <f>'ASE Target vs Ach(Spares)(Inpt)'!C14</f>
        <v>DSL-DHK</v>
      </c>
      <c r="D13" s="110" t="str">
        <f>'ASE Target vs Ach(Spares)(Inpt)'!D14</f>
        <v>Mohammad Jewel Rana</v>
      </c>
      <c r="E13" s="111" t="str">
        <f>'ASE Target vs Ach(Spares)(Inpt)'!E14</f>
        <v>3002</v>
      </c>
      <c r="F13" s="112">
        <f t="shared" si="0"/>
        <v>77596</v>
      </c>
      <c r="G13" s="112">
        <f t="shared" si="1"/>
        <v>0</v>
      </c>
      <c r="H13" s="85">
        <v>27273</v>
      </c>
      <c r="I13" s="85"/>
      <c r="J13" s="85">
        <v>15000</v>
      </c>
      <c r="K13" s="85"/>
      <c r="L13" s="85">
        <v>9000</v>
      </c>
      <c r="M13" s="85"/>
      <c r="N13" s="85">
        <v>8791</v>
      </c>
      <c r="O13" s="85"/>
      <c r="P13" s="85">
        <v>4000</v>
      </c>
      <c r="Q13" s="85"/>
      <c r="R13" s="85">
        <v>9000</v>
      </c>
      <c r="S13" s="85"/>
      <c r="T13" s="85">
        <v>4532</v>
      </c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  <c r="HC13" s="85"/>
      <c r="HD13" s="85"/>
      <c r="HE13" s="85"/>
      <c r="HF13" s="85"/>
      <c r="HG13" s="85"/>
      <c r="HH13" s="85"/>
      <c r="HI13" s="85"/>
      <c r="HJ13" s="85"/>
      <c r="HK13" s="85"/>
      <c r="HL13" s="85"/>
      <c r="HM13" s="85"/>
      <c r="HN13" s="85"/>
      <c r="HO13" s="85"/>
      <c r="HP13" s="85"/>
      <c r="HQ13" s="85"/>
      <c r="HR13" s="85"/>
      <c r="HS13" s="85"/>
      <c r="HT13" s="85"/>
      <c r="HU13" s="85"/>
      <c r="HV13" s="85"/>
      <c r="HW13" s="85"/>
      <c r="HX13" s="85"/>
      <c r="HY13" s="85"/>
      <c r="HZ13" s="85"/>
      <c r="IA13" s="85"/>
      <c r="IB13" s="85"/>
      <c r="IC13" s="85"/>
      <c r="ID13" s="85"/>
      <c r="IE13" s="85"/>
      <c r="IF13" s="85"/>
      <c r="IG13" s="85"/>
      <c r="IH13" s="85"/>
      <c r="II13" s="85"/>
      <c r="IJ13" s="85"/>
      <c r="IK13" s="85"/>
      <c r="IL13" s="85"/>
      <c r="IM13" s="85"/>
      <c r="IN13" s="85"/>
      <c r="IO13" s="85"/>
      <c r="IP13" s="85"/>
      <c r="IQ13" s="85"/>
      <c r="IR13" s="85"/>
      <c r="IS13" s="85"/>
      <c r="IT13" s="85"/>
      <c r="IU13" s="85"/>
      <c r="IV13" s="85"/>
      <c r="IW13" s="85"/>
      <c r="IX13" s="85"/>
      <c r="IY13" s="85"/>
      <c r="IZ13" s="85"/>
      <c r="JA13" s="85"/>
      <c r="JB13" s="85"/>
      <c r="JC13" s="85"/>
      <c r="JD13" s="85"/>
      <c r="JE13" s="85"/>
      <c r="JF13" s="85"/>
      <c r="JG13" s="85"/>
      <c r="JH13" s="85"/>
      <c r="JI13" s="85"/>
      <c r="JJ13" s="85"/>
      <c r="JK13" s="85"/>
      <c r="JL13" s="85"/>
      <c r="JM13" s="85"/>
      <c r="JN13" s="85"/>
      <c r="JO13" s="85"/>
      <c r="JP13" s="85"/>
      <c r="JQ13" s="85"/>
      <c r="JR13" s="85"/>
      <c r="JS13" s="85"/>
      <c r="JT13" s="85"/>
      <c r="JU13" s="85"/>
      <c r="JV13" s="85"/>
      <c r="JW13" s="85"/>
      <c r="JX13" s="85"/>
      <c r="JY13" s="85"/>
      <c r="JZ13" s="85"/>
      <c r="KA13" s="85"/>
      <c r="KB13" s="85"/>
      <c r="KC13" s="85"/>
      <c r="KD13" s="85"/>
      <c r="KE13" s="85"/>
      <c r="KF13" s="85"/>
      <c r="KG13" s="85"/>
      <c r="KH13" s="85"/>
      <c r="KI13" s="85"/>
    </row>
    <row r="14" spans="2:295" x14ac:dyDescent="0.25">
      <c r="B14" s="15">
        <f>'ASE Target (Spares), FY 21-22'!A14</f>
        <v>9</v>
      </c>
      <c r="C14" s="110" t="str">
        <f>'ASE Target vs Ach(Spares)(Inpt)'!C15</f>
        <v>DSL-DHK</v>
      </c>
      <c r="D14" s="110" t="str">
        <f>'ASE Target vs Ach(Spares)(Inpt)'!D15</f>
        <v>Faysal Ahmed</v>
      </c>
      <c r="E14" s="111" t="str">
        <f>'ASE Target vs Ach(Spares)(Inpt)'!E15</f>
        <v>3004</v>
      </c>
      <c r="F14" s="112">
        <f t="shared" si="0"/>
        <v>194107</v>
      </c>
      <c r="G14" s="112">
        <f t="shared" si="1"/>
        <v>223322</v>
      </c>
      <c r="H14" s="85">
        <v>10000</v>
      </c>
      <c r="I14" s="85"/>
      <c r="J14" s="85">
        <v>15100</v>
      </c>
      <c r="K14" s="85"/>
      <c r="L14" s="85">
        <v>83334</v>
      </c>
      <c r="M14" s="85"/>
      <c r="N14" s="85">
        <v>47455</v>
      </c>
      <c r="O14" s="85"/>
      <c r="P14" s="85">
        <v>15100</v>
      </c>
      <c r="Q14" s="85"/>
      <c r="R14" s="85">
        <v>18118</v>
      </c>
      <c r="S14" s="85"/>
      <c r="T14" s="85">
        <v>5000</v>
      </c>
      <c r="U14" s="85">
        <v>117014</v>
      </c>
      <c r="V14" s="85"/>
      <c r="W14" s="85">
        <v>88075</v>
      </c>
      <c r="X14" s="85"/>
      <c r="Y14" s="85">
        <v>15250</v>
      </c>
      <c r="Z14" s="85"/>
      <c r="AA14" s="85">
        <v>1644</v>
      </c>
      <c r="AB14" s="85"/>
      <c r="AC14" s="85">
        <v>1339</v>
      </c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/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/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/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/>
      <c r="HX14" s="85"/>
      <c r="HY14" s="85"/>
      <c r="HZ14" s="85"/>
      <c r="IA14" s="85"/>
      <c r="IB14" s="85"/>
      <c r="IC14" s="85"/>
      <c r="ID14" s="85"/>
      <c r="IE14" s="85"/>
      <c r="IF14" s="85"/>
      <c r="IG14" s="85"/>
      <c r="IH14" s="85"/>
      <c r="II14" s="85"/>
      <c r="IJ14" s="85"/>
      <c r="IK14" s="85"/>
      <c r="IL14" s="85"/>
      <c r="IM14" s="85"/>
      <c r="IN14" s="85"/>
      <c r="IO14" s="85"/>
      <c r="IP14" s="85"/>
      <c r="IQ14" s="85"/>
      <c r="IR14" s="85"/>
      <c r="IS14" s="85"/>
      <c r="IT14" s="85"/>
      <c r="IU14" s="85"/>
      <c r="IV14" s="85"/>
      <c r="IW14" s="85"/>
      <c r="IX14" s="85"/>
      <c r="IY14" s="85"/>
      <c r="IZ14" s="85"/>
      <c r="JA14" s="85"/>
      <c r="JB14" s="85"/>
      <c r="JC14" s="85"/>
      <c r="JD14" s="85"/>
      <c r="JE14" s="85"/>
      <c r="JF14" s="85"/>
      <c r="JG14" s="85"/>
      <c r="JH14" s="85"/>
      <c r="JI14" s="85"/>
      <c r="JJ14" s="85"/>
      <c r="JK14" s="85"/>
      <c r="JL14" s="85"/>
      <c r="JM14" s="85"/>
      <c r="JN14" s="85"/>
      <c r="JO14" s="85"/>
      <c r="JP14" s="85"/>
      <c r="JQ14" s="85"/>
      <c r="JR14" s="85"/>
      <c r="JS14" s="85"/>
      <c r="JT14" s="85"/>
      <c r="JU14" s="85"/>
      <c r="JV14" s="85"/>
      <c r="JW14" s="85"/>
      <c r="JX14" s="85"/>
      <c r="JY14" s="85"/>
      <c r="JZ14" s="85"/>
      <c r="KA14" s="85"/>
      <c r="KB14" s="85"/>
      <c r="KC14" s="85"/>
      <c r="KD14" s="85"/>
      <c r="KE14" s="85"/>
      <c r="KF14" s="85"/>
      <c r="KG14" s="85"/>
      <c r="KH14" s="85"/>
      <c r="KI14" s="85"/>
    </row>
    <row r="15" spans="2:295" x14ac:dyDescent="0.25">
      <c r="B15" s="15">
        <f>'ASE Target (Spares), FY 21-22'!A15</f>
        <v>10</v>
      </c>
      <c r="C15" s="110" t="str">
        <f>'ASE Target vs Ach(Spares)(Inpt)'!C16</f>
        <v>DSL-DHK</v>
      </c>
      <c r="D15" s="110" t="str">
        <f>'ASE Target vs Ach(Spares)(Inpt)'!D16</f>
        <v>Rakibul Islam Razib</v>
      </c>
      <c r="E15" s="111" t="str">
        <f>'ASE Target vs Ach(Spares)(Inpt)'!E16</f>
        <v>3006</v>
      </c>
      <c r="F15" s="112">
        <f t="shared" si="0"/>
        <v>112059</v>
      </c>
      <c r="G15" s="112">
        <f t="shared" si="1"/>
        <v>0</v>
      </c>
      <c r="H15" s="85">
        <v>4000</v>
      </c>
      <c r="I15" s="85"/>
      <c r="J15" s="85">
        <v>3341</v>
      </c>
      <c r="K15" s="85"/>
      <c r="L15" s="85">
        <v>3500</v>
      </c>
      <c r="M15" s="85"/>
      <c r="N15" s="85">
        <v>1500</v>
      </c>
      <c r="O15" s="85"/>
      <c r="P15" s="85">
        <v>1500</v>
      </c>
      <c r="Q15" s="85"/>
      <c r="R15" s="85">
        <v>1500</v>
      </c>
      <c r="S15" s="85"/>
      <c r="T15" s="85">
        <v>2000</v>
      </c>
      <c r="U15" s="85"/>
      <c r="V15" s="85">
        <v>2000</v>
      </c>
      <c r="W15" s="85"/>
      <c r="X15" s="85">
        <v>2500</v>
      </c>
      <c r="Y15" s="85"/>
      <c r="Z15" s="85">
        <v>2500</v>
      </c>
      <c r="AA15" s="85"/>
      <c r="AB15" s="85">
        <v>2500</v>
      </c>
      <c r="AC15" s="85"/>
      <c r="AD15" s="85">
        <v>2500</v>
      </c>
      <c r="AE15" s="85"/>
      <c r="AF15" s="85">
        <v>6600</v>
      </c>
      <c r="AG15" s="85"/>
      <c r="AH15" s="85">
        <v>6600</v>
      </c>
      <c r="AI15" s="85"/>
      <c r="AJ15" s="85">
        <v>1500</v>
      </c>
      <c r="AK15" s="85"/>
      <c r="AL15" s="85">
        <v>1500</v>
      </c>
      <c r="AM15" s="85"/>
      <c r="AN15" s="85">
        <v>1500</v>
      </c>
      <c r="AO15" s="85"/>
      <c r="AP15" s="85">
        <v>1500</v>
      </c>
      <c r="AQ15" s="85"/>
      <c r="AR15" s="85">
        <v>2000</v>
      </c>
      <c r="AS15" s="85"/>
      <c r="AT15" s="85">
        <v>2000</v>
      </c>
      <c r="AU15" s="85"/>
      <c r="AV15" s="85">
        <v>2000</v>
      </c>
      <c r="AW15" s="85"/>
      <c r="AX15" s="85">
        <v>2000</v>
      </c>
      <c r="AY15" s="85"/>
      <c r="AZ15" s="85">
        <v>2000</v>
      </c>
      <c r="BA15" s="85"/>
      <c r="BB15" s="85">
        <v>2000</v>
      </c>
      <c r="BC15" s="85"/>
      <c r="BD15" s="85">
        <v>2000</v>
      </c>
      <c r="BE15" s="85"/>
      <c r="BF15" s="85">
        <v>2000</v>
      </c>
      <c r="BG15" s="85"/>
      <c r="BH15" s="85">
        <v>2000</v>
      </c>
      <c r="BI15" s="85"/>
      <c r="BJ15" s="85">
        <v>2000</v>
      </c>
      <c r="BK15" s="85"/>
      <c r="BL15" s="85">
        <v>18518</v>
      </c>
      <c r="BM15" s="85"/>
      <c r="BN15" s="85">
        <v>12500</v>
      </c>
      <c r="BO15" s="85"/>
      <c r="BP15" s="85">
        <v>12500</v>
      </c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  <c r="GS15" s="85"/>
      <c r="GT15" s="85"/>
      <c r="GU15" s="85"/>
      <c r="GV15" s="85"/>
      <c r="GW15" s="85"/>
      <c r="GX15" s="85"/>
      <c r="GY15" s="85"/>
      <c r="GZ15" s="85"/>
      <c r="HA15" s="85"/>
      <c r="HB15" s="85"/>
      <c r="HC15" s="85"/>
      <c r="HD15" s="85"/>
      <c r="HE15" s="85"/>
      <c r="HF15" s="85"/>
      <c r="HG15" s="85"/>
      <c r="HH15" s="85"/>
      <c r="HI15" s="85"/>
      <c r="HJ15" s="85"/>
      <c r="HK15" s="85"/>
      <c r="HL15" s="85"/>
      <c r="HM15" s="85"/>
      <c r="HN15" s="85"/>
      <c r="HO15" s="85"/>
      <c r="HP15" s="85"/>
      <c r="HQ15" s="85"/>
      <c r="HR15" s="85"/>
      <c r="HS15" s="85"/>
      <c r="HT15" s="85"/>
      <c r="HU15" s="85"/>
      <c r="HV15" s="85"/>
      <c r="HW15" s="85"/>
      <c r="HX15" s="85"/>
      <c r="HY15" s="85"/>
      <c r="HZ15" s="85"/>
      <c r="IA15" s="85"/>
      <c r="IB15" s="85"/>
      <c r="IC15" s="85"/>
      <c r="ID15" s="85"/>
      <c r="IE15" s="85"/>
      <c r="IF15" s="85"/>
      <c r="IG15" s="85"/>
      <c r="IH15" s="85"/>
      <c r="II15" s="85"/>
      <c r="IJ15" s="85"/>
      <c r="IK15" s="85"/>
      <c r="IL15" s="85"/>
      <c r="IM15" s="85"/>
      <c r="IN15" s="85"/>
      <c r="IO15" s="85"/>
      <c r="IP15" s="85"/>
      <c r="IQ15" s="85"/>
      <c r="IR15" s="85"/>
      <c r="IS15" s="85"/>
      <c r="IT15" s="85"/>
      <c r="IU15" s="85"/>
      <c r="IV15" s="85"/>
      <c r="IW15" s="85"/>
      <c r="IX15" s="85"/>
      <c r="IY15" s="85"/>
      <c r="IZ15" s="85"/>
      <c r="JA15" s="85"/>
      <c r="JB15" s="85"/>
      <c r="JC15" s="85"/>
      <c r="JD15" s="85"/>
      <c r="JE15" s="85"/>
      <c r="JF15" s="85"/>
      <c r="JG15" s="85"/>
      <c r="JH15" s="85"/>
      <c r="JI15" s="85"/>
      <c r="JJ15" s="85"/>
      <c r="JK15" s="85"/>
      <c r="JL15" s="85"/>
      <c r="JM15" s="85"/>
      <c r="JN15" s="85"/>
      <c r="JO15" s="85"/>
      <c r="JP15" s="85"/>
      <c r="JQ15" s="85"/>
      <c r="JR15" s="85"/>
      <c r="JS15" s="85"/>
      <c r="JT15" s="85"/>
      <c r="JU15" s="85"/>
      <c r="JV15" s="85"/>
      <c r="JW15" s="85"/>
      <c r="JX15" s="85"/>
      <c r="JY15" s="85"/>
      <c r="JZ15" s="85"/>
      <c r="KA15" s="85"/>
      <c r="KB15" s="85"/>
      <c r="KC15" s="85"/>
      <c r="KD15" s="85"/>
      <c r="KE15" s="85"/>
      <c r="KF15" s="85"/>
      <c r="KG15" s="85"/>
      <c r="KH15" s="85"/>
      <c r="KI15" s="85"/>
    </row>
    <row r="16" spans="2:295" x14ac:dyDescent="0.25">
      <c r="B16" s="15">
        <f>'ASE Target (Spares), FY 21-22'!A9</f>
        <v>4</v>
      </c>
      <c r="C16" s="110" t="str">
        <f>'ASE Target vs Ach(Spares)(Inpt)'!C17</f>
        <v>DSL-DHK</v>
      </c>
      <c r="D16" s="110" t="str">
        <f>'ASE Target vs Ach(Spares)(Inpt)'!D17</f>
        <v>Ashraful Islam</v>
      </c>
      <c r="E16" s="111">
        <f>'ASE Target vs Ach(Spares)(Inpt)'!E17</f>
        <v>3003</v>
      </c>
      <c r="F16" s="112">
        <f t="shared" si="0"/>
        <v>259519</v>
      </c>
      <c r="G16" s="112">
        <f t="shared" si="1"/>
        <v>0</v>
      </c>
      <c r="H16" s="85">
        <v>15000</v>
      </c>
      <c r="I16" s="85"/>
      <c r="J16" s="85">
        <v>100000</v>
      </c>
      <c r="K16" s="85"/>
      <c r="L16" s="85">
        <v>18684</v>
      </c>
      <c r="M16" s="85"/>
      <c r="N16" s="85">
        <v>10000</v>
      </c>
      <c r="O16" s="85"/>
      <c r="P16" s="85">
        <v>58407</v>
      </c>
      <c r="Q16" s="85"/>
      <c r="R16" s="85">
        <v>15520</v>
      </c>
      <c r="S16" s="85"/>
      <c r="T16" s="85">
        <v>7652</v>
      </c>
      <c r="U16" s="85"/>
      <c r="V16" s="85">
        <v>2604</v>
      </c>
      <c r="W16" s="85"/>
      <c r="X16" s="85">
        <v>3907</v>
      </c>
      <c r="Y16" s="85"/>
      <c r="Z16" s="85">
        <v>5972</v>
      </c>
      <c r="AA16" s="85"/>
      <c r="AB16" s="85">
        <v>2389</v>
      </c>
      <c r="AC16" s="85"/>
      <c r="AD16" s="85">
        <v>1182</v>
      </c>
      <c r="AE16" s="85"/>
      <c r="AF16" s="85">
        <v>5046</v>
      </c>
      <c r="AG16" s="85"/>
      <c r="AH16" s="85">
        <v>5046</v>
      </c>
      <c r="AI16" s="85"/>
      <c r="AJ16" s="85">
        <v>8110</v>
      </c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  <c r="GS16" s="85"/>
      <c r="GT16" s="85"/>
      <c r="GU16" s="85"/>
      <c r="GV16" s="85"/>
      <c r="GW16" s="85"/>
      <c r="GX16" s="85"/>
      <c r="GY16" s="85"/>
      <c r="GZ16" s="85"/>
      <c r="HA16" s="85"/>
      <c r="HB16" s="85"/>
      <c r="HC16" s="85"/>
      <c r="HD16" s="85"/>
      <c r="HE16" s="85"/>
      <c r="HF16" s="85"/>
      <c r="HG16" s="85"/>
      <c r="HH16" s="85"/>
      <c r="HI16" s="85"/>
      <c r="HJ16" s="85"/>
      <c r="HK16" s="85"/>
      <c r="HL16" s="85"/>
      <c r="HM16" s="85"/>
      <c r="HN16" s="85"/>
      <c r="HO16" s="85"/>
      <c r="HP16" s="85"/>
      <c r="HQ16" s="85"/>
      <c r="HR16" s="85"/>
      <c r="HS16" s="85"/>
      <c r="HT16" s="85"/>
      <c r="HU16" s="85"/>
      <c r="HV16" s="85"/>
      <c r="HW16" s="85"/>
      <c r="HX16" s="85"/>
      <c r="HY16" s="85"/>
      <c r="HZ16" s="85"/>
      <c r="IA16" s="85"/>
      <c r="IB16" s="85"/>
      <c r="IC16" s="85"/>
      <c r="ID16" s="85"/>
      <c r="IE16" s="85"/>
      <c r="IF16" s="85"/>
      <c r="IG16" s="85"/>
      <c r="IH16" s="85"/>
      <c r="II16" s="85"/>
      <c r="IJ16" s="85"/>
      <c r="IK16" s="85"/>
      <c r="IL16" s="85"/>
      <c r="IM16" s="85"/>
      <c r="IN16" s="85"/>
      <c r="IO16" s="85"/>
      <c r="IP16" s="85"/>
      <c r="IQ16" s="85"/>
      <c r="IR16" s="85"/>
      <c r="IS16" s="85"/>
      <c r="IT16" s="85"/>
      <c r="IU16" s="85"/>
      <c r="IV16" s="85"/>
      <c r="IW16" s="85"/>
      <c r="IX16" s="85"/>
      <c r="IY16" s="85"/>
      <c r="IZ16" s="85"/>
      <c r="JA16" s="85"/>
      <c r="JB16" s="85"/>
      <c r="JC16" s="85"/>
      <c r="JD16" s="85"/>
      <c r="JE16" s="85"/>
      <c r="JF16" s="85"/>
      <c r="JG16" s="85"/>
      <c r="JH16" s="85"/>
      <c r="JI16" s="85"/>
      <c r="JJ16" s="85"/>
      <c r="JK16" s="85"/>
      <c r="JL16" s="85"/>
      <c r="JM16" s="85"/>
      <c r="JN16" s="85"/>
      <c r="JO16" s="85"/>
      <c r="JP16" s="85"/>
      <c r="JQ16" s="85"/>
      <c r="JR16" s="85"/>
      <c r="JS16" s="85"/>
      <c r="JT16" s="85"/>
      <c r="JU16" s="85"/>
      <c r="JV16" s="85"/>
      <c r="JW16" s="85"/>
      <c r="JX16" s="85"/>
      <c r="JY16" s="85"/>
      <c r="JZ16" s="85"/>
      <c r="KA16" s="85"/>
      <c r="KB16" s="85"/>
      <c r="KC16" s="85"/>
      <c r="KD16" s="85"/>
      <c r="KE16" s="85"/>
      <c r="KF16" s="85"/>
      <c r="KG16" s="85"/>
      <c r="KH16" s="85"/>
      <c r="KI16" s="85"/>
    </row>
    <row r="17" spans="2:295" x14ac:dyDescent="0.25">
      <c r="B17" s="15">
        <f>'ASE Target (Spares), FY 21-22'!A10</f>
        <v>5</v>
      </c>
      <c r="C17" s="110" t="str">
        <f>'ASE Target vs Ach(Spares)(Inpt)'!C18</f>
        <v>DSL-DHK</v>
      </c>
      <c r="D17" s="110" t="str">
        <f>'ASE Target vs Ach(Spares)(Inpt)'!D18</f>
        <v>Md. Rakibul Islam</v>
      </c>
      <c r="E17" s="111">
        <f>'ASE Target vs Ach(Spares)(Inpt)'!E18</f>
        <v>5690</v>
      </c>
      <c r="F17" s="112">
        <f t="shared" si="0"/>
        <v>0</v>
      </c>
      <c r="G17" s="112">
        <f t="shared" si="1"/>
        <v>0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  <c r="FU17" s="85"/>
      <c r="FV17" s="85"/>
      <c r="FW17" s="85"/>
      <c r="FX17" s="85"/>
      <c r="FY17" s="85"/>
      <c r="FZ17" s="85"/>
      <c r="GA17" s="85"/>
      <c r="GB17" s="85"/>
      <c r="GC17" s="85"/>
      <c r="GD17" s="85"/>
      <c r="GE17" s="85"/>
      <c r="GF17" s="85"/>
      <c r="GG17" s="85"/>
      <c r="GH17" s="85"/>
      <c r="GI17" s="85"/>
      <c r="GJ17" s="85"/>
      <c r="GK17" s="85"/>
      <c r="GL17" s="85"/>
      <c r="GM17" s="85"/>
      <c r="GN17" s="85"/>
      <c r="GO17" s="85"/>
      <c r="GP17" s="85"/>
      <c r="GQ17" s="85"/>
      <c r="GR17" s="85"/>
      <c r="GS17" s="85"/>
      <c r="GT17" s="85"/>
      <c r="GU17" s="85"/>
      <c r="GV17" s="85"/>
      <c r="GW17" s="85"/>
      <c r="GX17" s="85"/>
      <c r="GY17" s="85"/>
      <c r="GZ17" s="85"/>
      <c r="HA17" s="85"/>
      <c r="HB17" s="85"/>
      <c r="HC17" s="85"/>
      <c r="HD17" s="85"/>
      <c r="HE17" s="85"/>
      <c r="HF17" s="85"/>
      <c r="HG17" s="85"/>
      <c r="HH17" s="85"/>
      <c r="HI17" s="85"/>
      <c r="HJ17" s="85"/>
      <c r="HK17" s="85"/>
      <c r="HL17" s="85"/>
      <c r="HM17" s="85"/>
      <c r="HN17" s="85"/>
      <c r="HO17" s="85"/>
      <c r="HP17" s="85"/>
      <c r="HQ17" s="85"/>
      <c r="HR17" s="85"/>
      <c r="HS17" s="85"/>
      <c r="HT17" s="85"/>
      <c r="HU17" s="85"/>
      <c r="HV17" s="85"/>
      <c r="HW17" s="85"/>
      <c r="HX17" s="85"/>
      <c r="HY17" s="85"/>
      <c r="HZ17" s="85"/>
      <c r="IA17" s="85"/>
      <c r="IB17" s="85"/>
      <c r="IC17" s="85"/>
      <c r="ID17" s="85"/>
      <c r="IE17" s="85"/>
      <c r="IF17" s="85"/>
      <c r="IG17" s="85"/>
      <c r="IH17" s="85"/>
      <c r="II17" s="85"/>
      <c r="IJ17" s="85"/>
      <c r="IK17" s="85"/>
      <c r="IL17" s="85"/>
      <c r="IM17" s="85"/>
      <c r="IN17" s="85"/>
      <c r="IO17" s="85"/>
      <c r="IP17" s="85"/>
      <c r="IQ17" s="85"/>
      <c r="IR17" s="85"/>
      <c r="IS17" s="85"/>
      <c r="IT17" s="85"/>
      <c r="IU17" s="85"/>
      <c r="IV17" s="85"/>
      <c r="IW17" s="85"/>
      <c r="IX17" s="85"/>
      <c r="IY17" s="85"/>
      <c r="IZ17" s="85"/>
      <c r="JA17" s="85"/>
      <c r="JB17" s="85"/>
      <c r="JC17" s="85"/>
      <c r="JD17" s="85"/>
      <c r="JE17" s="85"/>
      <c r="JF17" s="85"/>
      <c r="JG17" s="85"/>
      <c r="JH17" s="85"/>
      <c r="JI17" s="85"/>
      <c r="JJ17" s="85"/>
      <c r="JK17" s="85"/>
      <c r="JL17" s="85"/>
      <c r="JM17" s="85"/>
      <c r="JN17" s="85"/>
      <c r="JO17" s="85"/>
      <c r="JP17" s="85"/>
      <c r="JQ17" s="85"/>
      <c r="JR17" s="85"/>
      <c r="JS17" s="85"/>
      <c r="JT17" s="85"/>
      <c r="JU17" s="85"/>
      <c r="JV17" s="85"/>
      <c r="JW17" s="85"/>
      <c r="JX17" s="85"/>
      <c r="JY17" s="85"/>
      <c r="JZ17" s="85"/>
      <c r="KA17" s="85"/>
      <c r="KB17" s="85"/>
      <c r="KC17" s="85"/>
      <c r="KD17" s="85"/>
      <c r="KE17" s="85"/>
      <c r="KF17" s="85"/>
      <c r="KG17" s="85"/>
      <c r="KH17" s="85"/>
      <c r="KI17" s="85"/>
    </row>
    <row r="18" spans="2:295" x14ac:dyDescent="0.25">
      <c r="B18" s="15">
        <f>'ASE Target (Spares), FY 21-22'!A11</f>
        <v>6</v>
      </c>
      <c r="C18" s="110" t="str">
        <f>'ASE Target vs Ach(Spares)(Inpt)'!C19</f>
        <v>DSL-DHK</v>
      </c>
      <c r="D18" s="110" t="str">
        <f>'ASE Target vs Ach(Spares)(Inpt)'!D19</f>
        <v>Ohid Hasan Saikat</v>
      </c>
      <c r="E18" s="111">
        <f>'ASE Target vs Ach(Spares)(Inpt)'!E19</f>
        <v>5691</v>
      </c>
      <c r="F18" s="112">
        <f t="shared" si="0"/>
        <v>293913</v>
      </c>
      <c r="G18" s="112">
        <f t="shared" si="1"/>
        <v>12830</v>
      </c>
      <c r="H18" s="85">
        <v>6000</v>
      </c>
      <c r="I18" s="85"/>
      <c r="J18" s="85">
        <v>2000</v>
      </c>
      <c r="K18" s="85"/>
      <c r="L18" s="85">
        <v>1500</v>
      </c>
      <c r="M18" s="85"/>
      <c r="N18" s="85">
        <v>1250</v>
      </c>
      <c r="O18" s="85"/>
      <c r="P18" s="85">
        <v>2500</v>
      </c>
      <c r="Q18" s="85"/>
      <c r="R18" s="85">
        <v>2500</v>
      </c>
      <c r="S18" s="85"/>
      <c r="T18" s="85">
        <v>3750</v>
      </c>
      <c r="U18" s="85"/>
      <c r="V18" s="85">
        <v>1636</v>
      </c>
      <c r="W18" s="85"/>
      <c r="X18" s="85">
        <v>1636</v>
      </c>
      <c r="Y18" s="85"/>
      <c r="Z18" s="85">
        <v>1636</v>
      </c>
      <c r="AA18" s="85"/>
      <c r="AB18" s="85">
        <v>3626</v>
      </c>
      <c r="AC18" s="85"/>
      <c r="AD18" s="85">
        <v>3300</v>
      </c>
      <c r="AE18" s="85"/>
      <c r="AF18" s="85">
        <v>97209</v>
      </c>
      <c r="AG18" s="85"/>
      <c r="AH18" s="85">
        <v>100000</v>
      </c>
      <c r="AI18" s="85"/>
      <c r="AJ18" s="85">
        <v>9000</v>
      </c>
      <c r="AK18" s="85"/>
      <c r="AL18" s="85">
        <v>2500</v>
      </c>
      <c r="AM18" s="85"/>
      <c r="AN18" s="85">
        <v>2273</v>
      </c>
      <c r="AO18" s="85"/>
      <c r="AP18" s="85">
        <v>2273</v>
      </c>
      <c r="AQ18" s="85"/>
      <c r="AR18" s="85">
        <v>2273</v>
      </c>
      <c r="AS18" s="85"/>
      <c r="AT18" s="85">
        <v>4545</v>
      </c>
      <c r="AU18" s="85"/>
      <c r="AV18" s="85">
        <v>5550</v>
      </c>
      <c r="AW18" s="85"/>
      <c r="AX18" s="85">
        <v>6000</v>
      </c>
      <c r="AY18" s="85"/>
      <c r="AZ18" s="85">
        <v>6000</v>
      </c>
      <c r="BA18" s="85"/>
      <c r="BB18" s="85">
        <v>11748</v>
      </c>
      <c r="BC18" s="85"/>
      <c r="BD18" s="85">
        <v>4308</v>
      </c>
      <c r="BE18" s="85"/>
      <c r="BF18" s="85">
        <v>4900</v>
      </c>
      <c r="BG18" s="85"/>
      <c r="BH18" s="85">
        <v>4000</v>
      </c>
      <c r="BI18" s="85">
        <v>1716</v>
      </c>
      <c r="BJ18" s="85"/>
      <c r="BK18" s="85">
        <v>9750</v>
      </c>
      <c r="BL18" s="85"/>
      <c r="BM18" s="85">
        <v>1364</v>
      </c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  <c r="FU18" s="85"/>
      <c r="FV18" s="85"/>
      <c r="FW18" s="85"/>
      <c r="FX18" s="85"/>
      <c r="FY18" s="85"/>
      <c r="FZ18" s="85"/>
      <c r="GA18" s="85"/>
      <c r="GB18" s="85"/>
      <c r="GC18" s="85"/>
      <c r="GD18" s="85"/>
      <c r="GE18" s="85"/>
      <c r="GF18" s="85"/>
      <c r="GG18" s="85"/>
      <c r="GH18" s="85"/>
      <c r="GI18" s="85"/>
      <c r="GJ18" s="85"/>
      <c r="GK18" s="85"/>
      <c r="GL18" s="85"/>
      <c r="GM18" s="85"/>
      <c r="GN18" s="85"/>
      <c r="GO18" s="85"/>
      <c r="GP18" s="85"/>
      <c r="GQ18" s="85"/>
      <c r="GR18" s="85"/>
      <c r="GS18" s="85"/>
      <c r="GT18" s="85"/>
      <c r="GU18" s="85"/>
      <c r="GV18" s="85"/>
      <c r="GW18" s="85"/>
      <c r="GX18" s="85"/>
      <c r="GY18" s="85"/>
      <c r="GZ18" s="85"/>
      <c r="HA18" s="85"/>
      <c r="HB18" s="85"/>
      <c r="HC18" s="85"/>
      <c r="HD18" s="85"/>
      <c r="HE18" s="85"/>
      <c r="HF18" s="85"/>
      <c r="HG18" s="85"/>
      <c r="HH18" s="85"/>
      <c r="HI18" s="85"/>
      <c r="HJ18" s="85"/>
      <c r="HK18" s="85"/>
      <c r="HL18" s="85"/>
      <c r="HM18" s="85"/>
      <c r="HN18" s="85"/>
      <c r="HO18" s="85"/>
      <c r="HP18" s="85"/>
      <c r="HQ18" s="85"/>
      <c r="HR18" s="85"/>
      <c r="HS18" s="85"/>
      <c r="HT18" s="85"/>
      <c r="HU18" s="85"/>
      <c r="HV18" s="85"/>
      <c r="HW18" s="85"/>
      <c r="HX18" s="85"/>
      <c r="HY18" s="85"/>
      <c r="HZ18" s="85"/>
      <c r="IA18" s="85"/>
      <c r="IB18" s="85"/>
      <c r="IC18" s="85"/>
      <c r="ID18" s="85"/>
      <c r="IE18" s="85"/>
      <c r="IF18" s="85"/>
      <c r="IG18" s="85"/>
      <c r="IH18" s="85"/>
      <c r="II18" s="85"/>
      <c r="IJ18" s="85"/>
      <c r="IK18" s="85"/>
      <c r="IL18" s="85"/>
      <c r="IM18" s="85"/>
      <c r="IN18" s="85"/>
      <c r="IO18" s="85"/>
      <c r="IP18" s="85"/>
      <c r="IQ18" s="85"/>
      <c r="IR18" s="85"/>
      <c r="IS18" s="85"/>
      <c r="IT18" s="85"/>
      <c r="IU18" s="85"/>
      <c r="IV18" s="85"/>
      <c r="IW18" s="85"/>
      <c r="IX18" s="85"/>
      <c r="IY18" s="85"/>
      <c r="IZ18" s="85"/>
      <c r="JA18" s="85"/>
      <c r="JB18" s="85"/>
      <c r="JC18" s="85"/>
      <c r="JD18" s="85"/>
      <c r="JE18" s="85"/>
      <c r="JF18" s="85"/>
      <c r="JG18" s="85"/>
      <c r="JH18" s="85"/>
      <c r="JI18" s="85"/>
      <c r="JJ18" s="85"/>
      <c r="JK18" s="85"/>
      <c r="JL18" s="85"/>
      <c r="JM18" s="85"/>
      <c r="JN18" s="85"/>
      <c r="JO18" s="85"/>
      <c r="JP18" s="85"/>
      <c r="JQ18" s="85"/>
      <c r="JR18" s="85"/>
      <c r="JS18" s="85"/>
      <c r="JT18" s="85"/>
      <c r="JU18" s="85"/>
      <c r="JV18" s="85"/>
      <c r="JW18" s="85"/>
      <c r="JX18" s="85"/>
      <c r="JY18" s="85"/>
      <c r="JZ18" s="85"/>
      <c r="KA18" s="85"/>
      <c r="KB18" s="85"/>
      <c r="KC18" s="85"/>
      <c r="KD18" s="85"/>
      <c r="KE18" s="85"/>
      <c r="KF18" s="85"/>
      <c r="KG18" s="85"/>
      <c r="KH18" s="85"/>
      <c r="KI18" s="85"/>
    </row>
    <row r="19" spans="2:295" x14ac:dyDescent="0.25">
      <c r="B19" s="15">
        <f>'ASE Target (Spares), FY 21-22'!A12</f>
        <v>7</v>
      </c>
      <c r="C19" s="110" t="str">
        <f>'ASE Target vs Ach(Spares)(Inpt)'!C20</f>
        <v>DSL-DHK</v>
      </c>
      <c r="D19" s="110" t="str">
        <f>'ASE Target vs Ach(Spares)(Inpt)'!D20</f>
        <v>Abdullah Al Mahmud</v>
      </c>
      <c r="E19" s="111">
        <f>'ASE Target vs Ach(Spares)(Inpt)'!E20</f>
        <v>5692</v>
      </c>
      <c r="F19" s="112">
        <f t="shared" si="0"/>
        <v>74600</v>
      </c>
      <c r="G19" s="112">
        <f t="shared" si="1"/>
        <v>0</v>
      </c>
      <c r="H19" s="85">
        <v>1500</v>
      </c>
      <c r="I19" s="85"/>
      <c r="J19" s="85">
        <v>4800</v>
      </c>
      <c r="K19" s="85"/>
      <c r="L19" s="85">
        <v>1600</v>
      </c>
      <c r="M19" s="85"/>
      <c r="N19" s="85">
        <v>1600</v>
      </c>
      <c r="O19" s="85"/>
      <c r="P19" s="85">
        <v>1600</v>
      </c>
      <c r="Q19" s="85"/>
      <c r="R19" s="85">
        <v>3500</v>
      </c>
      <c r="S19" s="85"/>
      <c r="T19" s="85">
        <v>7500</v>
      </c>
      <c r="U19" s="85"/>
      <c r="V19" s="85">
        <v>7500</v>
      </c>
      <c r="W19" s="85"/>
      <c r="X19" s="85">
        <v>9000</v>
      </c>
      <c r="Y19" s="85"/>
      <c r="Z19" s="85">
        <v>3000</v>
      </c>
      <c r="AA19" s="85"/>
      <c r="AB19" s="85">
        <v>3000</v>
      </c>
      <c r="AC19" s="85"/>
      <c r="AD19" s="85">
        <v>3000</v>
      </c>
      <c r="AE19" s="85"/>
      <c r="AF19" s="85">
        <v>3000</v>
      </c>
      <c r="AG19" s="85"/>
      <c r="AH19" s="85">
        <v>3000</v>
      </c>
      <c r="AI19" s="85"/>
      <c r="AJ19" s="85">
        <v>3000</v>
      </c>
      <c r="AK19" s="85"/>
      <c r="AL19" s="85">
        <v>3000</v>
      </c>
      <c r="AM19" s="85"/>
      <c r="AN19" s="85">
        <v>3000</v>
      </c>
      <c r="AO19" s="85"/>
      <c r="AP19" s="85">
        <v>3000</v>
      </c>
      <c r="AQ19" s="85"/>
      <c r="AR19" s="85">
        <v>6000</v>
      </c>
      <c r="AS19" s="85"/>
      <c r="AT19" s="85">
        <v>3000</v>
      </c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  <c r="FU19" s="85"/>
      <c r="FV19" s="85"/>
      <c r="FW19" s="85"/>
      <c r="FX19" s="85"/>
      <c r="FY19" s="85"/>
      <c r="FZ19" s="85"/>
      <c r="GA19" s="85"/>
      <c r="GB19" s="85"/>
      <c r="GC19" s="85"/>
      <c r="GD19" s="85"/>
      <c r="GE19" s="85"/>
      <c r="GF19" s="85"/>
      <c r="GG19" s="85"/>
      <c r="GH19" s="85"/>
      <c r="GI19" s="85"/>
      <c r="GJ19" s="85"/>
      <c r="GK19" s="85"/>
      <c r="GL19" s="85"/>
      <c r="GM19" s="85"/>
      <c r="GN19" s="85"/>
      <c r="GO19" s="85"/>
      <c r="GP19" s="85"/>
      <c r="GQ19" s="85"/>
      <c r="GR19" s="85"/>
      <c r="GS19" s="85"/>
      <c r="GT19" s="85"/>
      <c r="GU19" s="85"/>
      <c r="GV19" s="85"/>
      <c r="GW19" s="85"/>
      <c r="GX19" s="85"/>
      <c r="GY19" s="85"/>
      <c r="GZ19" s="85"/>
      <c r="HA19" s="85"/>
      <c r="HB19" s="85"/>
      <c r="HC19" s="85"/>
      <c r="HD19" s="85"/>
      <c r="HE19" s="85"/>
      <c r="HF19" s="85"/>
      <c r="HG19" s="85"/>
      <c r="HH19" s="85"/>
      <c r="HI19" s="85"/>
      <c r="HJ19" s="85"/>
      <c r="HK19" s="85"/>
      <c r="HL19" s="85"/>
      <c r="HM19" s="85"/>
      <c r="HN19" s="85"/>
      <c r="HO19" s="85"/>
      <c r="HP19" s="85"/>
      <c r="HQ19" s="85"/>
      <c r="HR19" s="85"/>
      <c r="HS19" s="85"/>
      <c r="HT19" s="85"/>
      <c r="HU19" s="85"/>
      <c r="HV19" s="85"/>
      <c r="HW19" s="85"/>
      <c r="HX19" s="85"/>
      <c r="HY19" s="85"/>
      <c r="HZ19" s="85"/>
      <c r="IA19" s="85"/>
      <c r="IB19" s="85"/>
      <c r="IC19" s="85"/>
      <c r="ID19" s="85"/>
      <c r="IE19" s="85"/>
      <c r="IF19" s="85"/>
      <c r="IG19" s="85"/>
      <c r="IH19" s="85"/>
      <c r="II19" s="85"/>
      <c r="IJ19" s="85"/>
      <c r="IK19" s="85"/>
      <c r="IL19" s="85"/>
      <c r="IM19" s="85"/>
      <c r="IN19" s="85"/>
      <c r="IO19" s="85"/>
      <c r="IP19" s="85"/>
      <c r="IQ19" s="85"/>
      <c r="IR19" s="85"/>
      <c r="IS19" s="85"/>
      <c r="IT19" s="85"/>
      <c r="IU19" s="85"/>
      <c r="IV19" s="85"/>
      <c r="IW19" s="85"/>
      <c r="IX19" s="85"/>
      <c r="IY19" s="85"/>
      <c r="IZ19" s="85"/>
      <c r="JA19" s="85"/>
      <c r="JB19" s="85"/>
      <c r="JC19" s="85"/>
      <c r="JD19" s="85"/>
      <c r="JE19" s="85"/>
      <c r="JF19" s="85"/>
      <c r="JG19" s="85"/>
      <c r="JH19" s="85"/>
      <c r="JI19" s="85"/>
      <c r="JJ19" s="85"/>
      <c r="JK19" s="85"/>
      <c r="JL19" s="85"/>
      <c r="JM19" s="85"/>
      <c r="JN19" s="85"/>
      <c r="JO19" s="85"/>
      <c r="JP19" s="85"/>
      <c r="JQ19" s="85"/>
      <c r="JR19" s="85"/>
      <c r="JS19" s="85"/>
      <c r="JT19" s="85"/>
      <c r="JU19" s="85"/>
      <c r="JV19" s="85"/>
      <c r="JW19" s="85"/>
      <c r="JX19" s="85"/>
      <c r="JY19" s="85"/>
      <c r="JZ19" s="85"/>
      <c r="KA19" s="85"/>
      <c r="KB19" s="85"/>
      <c r="KC19" s="85"/>
      <c r="KD19" s="85"/>
      <c r="KE19" s="85"/>
      <c r="KF19" s="85"/>
      <c r="KG19" s="85"/>
      <c r="KH19" s="85"/>
      <c r="KI19" s="85"/>
    </row>
    <row r="20" spans="2:295" x14ac:dyDescent="0.25">
      <c r="B20" s="15">
        <f>'ASE Target (Spares), FY 21-22'!A13</f>
        <v>8</v>
      </c>
      <c r="C20" s="110" t="str">
        <f>'ASE Target vs Ach(Spares)(Inpt)'!C21</f>
        <v>DSL-DHK</v>
      </c>
      <c r="D20" s="110" t="str">
        <f>'ASE Target vs Ach(Spares)(Inpt)'!D21</f>
        <v>Apurba Kumar Gain</v>
      </c>
      <c r="E20" s="111">
        <f>'ASE Target vs Ach(Spares)(Inpt)'!E21</f>
        <v>5927</v>
      </c>
      <c r="F20" s="112">
        <f t="shared" si="0"/>
        <v>64300</v>
      </c>
      <c r="G20" s="112">
        <f t="shared" si="1"/>
        <v>0</v>
      </c>
      <c r="H20" s="85">
        <v>6000</v>
      </c>
      <c r="I20" s="85"/>
      <c r="J20" s="85">
        <v>4000</v>
      </c>
      <c r="K20" s="85"/>
      <c r="L20" s="85">
        <v>2500</v>
      </c>
      <c r="M20" s="85"/>
      <c r="N20" s="85">
        <v>15000</v>
      </c>
      <c r="O20" s="85"/>
      <c r="P20" s="85">
        <v>5000</v>
      </c>
      <c r="Q20" s="85"/>
      <c r="R20" s="85">
        <v>2000</v>
      </c>
      <c r="S20" s="85"/>
      <c r="T20" s="85">
        <v>2000</v>
      </c>
      <c r="U20" s="85"/>
      <c r="V20" s="85">
        <v>3000</v>
      </c>
      <c r="W20" s="85"/>
      <c r="X20" s="85">
        <v>6000</v>
      </c>
      <c r="Y20" s="85"/>
      <c r="Z20" s="85">
        <v>1800</v>
      </c>
      <c r="AA20" s="85"/>
      <c r="AB20" s="85">
        <v>1500</v>
      </c>
      <c r="AC20" s="85"/>
      <c r="AD20" s="85">
        <v>1500</v>
      </c>
      <c r="AE20" s="85"/>
      <c r="AF20" s="85">
        <v>5000</v>
      </c>
      <c r="AG20" s="85"/>
      <c r="AH20" s="85">
        <v>9000</v>
      </c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  <c r="FU20" s="85"/>
      <c r="FV20" s="85"/>
      <c r="FW20" s="85"/>
      <c r="FX20" s="85"/>
      <c r="FY20" s="85"/>
      <c r="FZ20" s="85"/>
      <c r="GA20" s="85"/>
      <c r="GB20" s="85"/>
      <c r="GC20" s="85"/>
      <c r="GD20" s="85"/>
      <c r="GE20" s="85"/>
      <c r="GF20" s="85"/>
      <c r="GG20" s="85"/>
      <c r="GH20" s="85"/>
      <c r="GI20" s="85"/>
      <c r="GJ20" s="85"/>
      <c r="GK20" s="85"/>
      <c r="GL20" s="85"/>
      <c r="GM20" s="85"/>
      <c r="GN20" s="85"/>
      <c r="GO20" s="85"/>
      <c r="GP20" s="85"/>
      <c r="GQ20" s="85"/>
      <c r="GR20" s="85"/>
      <c r="GS20" s="85"/>
      <c r="GT20" s="85"/>
      <c r="GU20" s="85"/>
      <c r="GV20" s="85"/>
      <c r="GW20" s="85"/>
      <c r="GX20" s="85"/>
      <c r="GY20" s="85"/>
      <c r="GZ20" s="85"/>
      <c r="HA20" s="85"/>
      <c r="HB20" s="85"/>
      <c r="HC20" s="85"/>
      <c r="HD20" s="85"/>
      <c r="HE20" s="85"/>
      <c r="HF20" s="85"/>
      <c r="HG20" s="85"/>
      <c r="HH20" s="85"/>
      <c r="HI20" s="85"/>
      <c r="HJ20" s="85"/>
      <c r="HK20" s="85"/>
      <c r="HL20" s="85"/>
      <c r="HM20" s="85"/>
      <c r="HN20" s="85"/>
      <c r="HO20" s="85"/>
      <c r="HP20" s="85"/>
      <c r="HQ20" s="85"/>
      <c r="HR20" s="85"/>
      <c r="HS20" s="85"/>
      <c r="HT20" s="85"/>
      <c r="HU20" s="85"/>
      <c r="HV20" s="85"/>
      <c r="HW20" s="85"/>
      <c r="HX20" s="85"/>
      <c r="HY20" s="85"/>
      <c r="HZ20" s="85"/>
      <c r="IA20" s="85"/>
      <c r="IB20" s="85"/>
      <c r="IC20" s="85"/>
      <c r="ID20" s="85"/>
      <c r="IE20" s="85"/>
      <c r="IF20" s="85"/>
      <c r="IG20" s="85"/>
      <c r="IH20" s="85"/>
      <c r="II20" s="85"/>
      <c r="IJ20" s="85"/>
      <c r="IK20" s="85"/>
      <c r="IL20" s="85"/>
      <c r="IM20" s="85"/>
      <c r="IN20" s="85"/>
      <c r="IO20" s="85"/>
      <c r="IP20" s="85"/>
      <c r="IQ20" s="85"/>
      <c r="IR20" s="85"/>
      <c r="IS20" s="85"/>
      <c r="IT20" s="85"/>
      <c r="IU20" s="85"/>
      <c r="IV20" s="85"/>
      <c r="IW20" s="85"/>
      <c r="IX20" s="85"/>
      <c r="IY20" s="85"/>
      <c r="IZ20" s="85"/>
      <c r="JA20" s="85"/>
      <c r="JB20" s="85"/>
      <c r="JC20" s="85"/>
      <c r="JD20" s="85"/>
      <c r="JE20" s="85"/>
      <c r="JF20" s="85"/>
      <c r="JG20" s="85"/>
      <c r="JH20" s="85"/>
      <c r="JI20" s="85"/>
      <c r="JJ20" s="85"/>
      <c r="JK20" s="85"/>
      <c r="JL20" s="85"/>
      <c r="JM20" s="85"/>
      <c r="JN20" s="85"/>
      <c r="JO20" s="85"/>
      <c r="JP20" s="85"/>
      <c r="JQ20" s="85"/>
      <c r="JR20" s="85"/>
      <c r="JS20" s="85"/>
      <c r="JT20" s="85"/>
      <c r="JU20" s="85"/>
      <c r="JV20" s="85"/>
      <c r="JW20" s="85"/>
      <c r="JX20" s="85"/>
      <c r="JY20" s="85"/>
      <c r="JZ20" s="85"/>
      <c r="KA20" s="85"/>
      <c r="KB20" s="85"/>
      <c r="KC20" s="85"/>
      <c r="KD20" s="85"/>
      <c r="KE20" s="85"/>
      <c r="KF20" s="85"/>
      <c r="KG20" s="85"/>
      <c r="KH20" s="85"/>
      <c r="KI20" s="85"/>
    </row>
    <row r="21" spans="2:295" x14ac:dyDescent="0.25">
      <c r="B21" s="15">
        <f>'ASE Target (Spares), FY 21-22'!A14</f>
        <v>9</v>
      </c>
      <c r="C21" s="110" t="str">
        <f>'ASE Target vs Ach(Spares)(Inpt)'!C22</f>
        <v>DSL-DHK</v>
      </c>
      <c r="D21" s="110" t="str">
        <f>'ASE Target vs Ach(Spares)(Inpt)'!D22</f>
        <v>Amirul Islam</v>
      </c>
      <c r="E21" s="111">
        <f>'ASE Target vs Ach(Spares)(Inpt)'!E22</f>
        <v>5928</v>
      </c>
      <c r="F21" s="112">
        <f t="shared" si="0"/>
        <v>58900</v>
      </c>
      <c r="G21" s="112">
        <f t="shared" si="1"/>
        <v>0</v>
      </c>
      <c r="H21" s="85">
        <v>6000</v>
      </c>
      <c r="I21" s="85"/>
      <c r="J21" s="85">
        <v>3000</v>
      </c>
      <c r="K21" s="85"/>
      <c r="L21" s="85">
        <v>3000</v>
      </c>
      <c r="M21" s="85"/>
      <c r="N21" s="85">
        <v>2000</v>
      </c>
      <c r="O21" s="85"/>
      <c r="P21" s="85">
        <v>1500</v>
      </c>
      <c r="Q21" s="85"/>
      <c r="R21" s="85">
        <v>1500</v>
      </c>
      <c r="S21" s="85"/>
      <c r="T21" s="85">
        <v>5000</v>
      </c>
      <c r="U21" s="85"/>
      <c r="V21" s="85">
        <v>5400</v>
      </c>
      <c r="W21" s="85"/>
      <c r="X21" s="85">
        <v>2000</v>
      </c>
      <c r="Y21" s="85"/>
      <c r="Z21" s="85">
        <v>1500</v>
      </c>
      <c r="AA21" s="85"/>
      <c r="AB21" s="85">
        <v>3000</v>
      </c>
      <c r="AC21" s="85"/>
      <c r="AD21" s="85">
        <v>5000</v>
      </c>
      <c r="AE21" s="85"/>
      <c r="AF21" s="85">
        <v>500</v>
      </c>
      <c r="AG21" s="85"/>
      <c r="AH21" s="85">
        <v>3000</v>
      </c>
      <c r="AI21" s="85"/>
      <c r="AJ21" s="85">
        <v>1500</v>
      </c>
      <c r="AK21" s="85"/>
      <c r="AL21" s="85">
        <v>1500</v>
      </c>
      <c r="AM21" s="85"/>
      <c r="AN21" s="85">
        <v>1500</v>
      </c>
      <c r="AO21" s="85"/>
      <c r="AP21" s="85">
        <v>1500</v>
      </c>
      <c r="AQ21" s="85"/>
      <c r="AR21" s="85">
        <v>1500</v>
      </c>
      <c r="AS21" s="85"/>
      <c r="AT21" s="85">
        <v>4500</v>
      </c>
      <c r="AU21" s="85"/>
      <c r="AV21" s="85">
        <v>4500</v>
      </c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  <c r="FU21" s="85"/>
      <c r="FV21" s="85"/>
      <c r="FW21" s="85"/>
      <c r="FX21" s="85"/>
      <c r="FY21" s="85"/>
      <c r="FZ21" s="85"/>
      <c r="GA21" s="85"/>
      <c r="GB21" s="85"/>
      <c r="GC21" s="85"/>
      <c r="GD21" s="85"/>
      <c r="GE21" s="85"/>
      <c r="GF21" s="85"/>
      <c r="GG21" s="85"/>
      <c r="GH21" s="85"/>
      <c r="GI21" s="85"/>
      <c r="GJ21" s="85"/>
      <c r="GK21" s="85"/>
      <c r="GL21" s="85"/>
      <c r="GM21" s="85"/>
      <c r="GN21" s="85"/>
      <c r="GO21" s="85"/>
      <c r="GP21" s="85"/>
      <c r="GQ21" s="85"/>
      <c r="GR21" s="85"/>
      <c r="GS21" s="85"/>
      <c r="GT21" s="85"/>
      <c r="GU21" s="85"/>
      <c r="GV21" s="85"/>
      <c r="GW21" s="85"/>
      <c r="GX21" s="85"/>
      <c r="GY21" s="85"/>
      <c r="GZ21" s="85"/>
      <c r="HA21" s="85"/>
      <c r="HB21" s="85"/>
      <c r="HC21" s="85"/>
      <c r="HD21" s="85"/>
      <c r="HE21" s="85"/>
      <c r="HF21" s="85"/>
      <c r="HG21" s="85"/>
      <c r="HH21" s="85"/>
      <c r="HI21" s="85"/>
      <c r="HJ21" s="85"/>
      <c r="HK21" s="85"/>
      <c r="HL21" s="85"/>
      <c r="HM21" s="85"/>
      <c r="HN21" s="85"/>
      <c r="HO21" s="85"/>
      <c r="HP21" s="85"/>
      <c r="HQ21" s="85"/>
      <c r="HR21" s="85"/>
      <c r="HS21" s="85"/>
      <c r="HT21" s="85"/>
      <c r="HU21" s="85"/>
      <c r="HV21" s="85"/>
      <c r="HW21" s="85"/>
      <c r="HX21" s="85"/>
      <c r="HY21" s="85"/>
      <c r="HZ21" s="85"/>
      <c r="IA21" s="85"/>
      <c r="IB21" s="85"/>
      <c r="IC21" s="85"/>
      <c r="ID21" s="85"/>
      <c r="IE21" s="85"/>
      <c r="IF21" s="85"/>
      <c r="IG21" s="85"/>
      <c r="IH21" s="85"/>
      <c r="II21" s="85"/>
      <c r="IJ21" s="85"/>
      <c r="IK21" s="85"/>
      <c r="IL21" s="85"/>
      <c r="IM21" s="85"/>
      <c r="IN21" s="85"/>
      <c r="IO21" s="85"/>
      <c r="IP21" s="85"/>
      <c r="IQ21" s="85"/>
      <c r="IR21" s="85"/>
      <c r="IS21" s="85"/>
      <c r="IT21" s="85"/>
      <c r="IU21" s="85"/>
      <c r="IV21" s="85"/>
      <c r="IW21" s="85"/>
      <c r="IX21" s="85"/>
      <c r="IY21" s="85"/>
      <c r="IZ21" s="85"/>
      <c r="JA21" s="85"/>
      <c r="JB21" s="85"/>
      <c r="JC21" s="85"/>
      <c r="JD21" s="85"/>
      <c r="JE21" s="85"/>
      <c r="JF21" s="85"/>
      <c r="JG21" s="85"/>
      <c r="JH21" s="85"/>
      <c r="JI21" s="85"/>
      <c r="JJ21" s="85"/>
      <c r="JK21" s="85"/>
      <c r="JL21" s="85"/>
      <c r="JM21" s="85"/>
      <c r="JN21" s="85"/>
      <c r="JO21" s="85"/>
      <c r="JP21" s="85"/>
      <c r="JQ21" s="85"/>
      <c r="JR21" s="85"/>
      <c r="JS21" s="85"/>
      <c r="JT21" s="85"/>
      <c r="JU21" s="85"/>
      <c r="JV21" s="85"/>
      <c r="JW21" s="85"/>
      <c r="JX21" s="85"/>
      <c r="JY21" s="85"/>
      <c r="JZ21" s="85"/>
      <c r="KA21" s="85"/>
      <c r="KB21" s="85"/>
      <c r="KC21" s="85"/>
      <c r="KD21" s="85"/>
      <c r="KE21" s="85"/>
      <c r="KF21" s="85"/>
      <c r="KG21" s="85"/>
      <c r="KH21" s="85"/>
      <c r="KI21" s="85"/>
    </row>
    <row r="22" spans="2:295" x14ac:dyDescent="0.25">
      <c r="B22" s="15">
        <f>'ASE Target (Spares), FY 21-22'!A21</f>
        <v>16</v>
      </c>
      <c r="C22" s="110" t="str">
        <f>'ASE Target vs Ach(Spares)(Inpt)'!C23</f>
        <v>DSL-DHK</v>
      </c>
      <c r="D22" s="110" t="str">
        <f>'ASE Target vs Ach(Spares)(Inpt)'!D23</f>
        <v>Md. Jafor Ikbal</v>
      </c>
      <c r="E22" s="111">
        <f>'ASE Target vs Ach(Spares)(Inpt)'!E23</f>
        <v>5929</v>
      </c>
      <c r="F22" s="112">
        <f t="shared" si="0"/>
        <v>324166</v>
      </c>
      <c r="G22" s="112">
        <f t="shared" si="1"/>
        <v>360094</v>
      </c>
      <c r="H22" s="85">
        <v>6000</v>
      </c>
      <c r="I22" s="85"/>
      <c r="J22" s="85">
        <v>8000</v>
      </c>
      <c r="K22" s="85">
        <v>3140</v>
      </c>
      <c r="L22" s="85">
        <v>24348</v>
      </c>
      <c r="M22" s="85">
        <v>36363</v>
      </c>
      <c r="N22" s="85">
        <v>16000</v>
      </c>
      <c r="O22" s="85"/>
      <c r="P22" s="85">
        <v>8000</v>
      </c>
      <c r="Q22" s="85">
        <v>34546</v>
      </c>
      <c r="R22" s="85"/>
      <c r="S22" s="85">
        <v>33333</v>
      </c>
      <c r="T22" s="85">
        <v>26000</v>
      </c>
      <c r="U22" s="85"/>
      <c r="V22" s="85">
        <v>8000</v>
      </c>
      <c r="W22" s="85">
        <v>16947</v>
      </c>
      <c r="X22" s="85"/>
      <c r="Y22" s="85">
        <v>31818</v>
      </c>
      <c r="Z22" s="85">
        <v>149591</v>
      </c>
      <c r="AA22" s="85"/>
      <c r="AB22" s="85">
        <v>4000</v>
      </c>
      <c r="AC22" s="85"/>
      <c r="AD22" s="85">
        <v>4000</v>
      </c>
      <c r="AE22" s="85"/>
      <c r="AF22" s="85">
        <v>4000</v>
      </c>
      <c r="AG22" s="85">
        <v>5455</v>
      </c>
      <c r="AH22" s="85">
        <v>43000</v>
      </c>
      <c r="AI22" s="85">
        <v>2400</v>
      </c>
      <c r="AJ22" s="85"/>
      <c r="AK22" s="85">
        <v>31818</v>
      </c>
      <c r="AL22" s="85"/>
      <c r="AM22" s="85">
        <v>638</v>
      </c>
      <c r="AN22" s="85">
        <v>9000</v>
      </c>
      <c r="AO22" s="85"/>
      <c r="AP22" s="85">
        <v>9818</v>
      </c>
      <c r="AQ22" s="85"/>
      <c r="AR22" s="85">
        <v>4409</v>
      </c>
      <c r="AS22" s="85">
        <v>163636</v>
      </c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  <c r="FU22" s="85"/>
      <c r="FV22" s="85"/>
      <c r="FW22" s="85"/>
      <c r="FX22" s="85"/>
      <c r="FY22" s="85"/>
      <c r="FZ22" s="85"/>
      <c r="GA22" s="85"/>
      <c r="GB22" s="85"/>
      <c r="GC22" s="85"/>
      <c r="GD22" s="85"/>
      <c r="GE22" s="85"/>
      <c r="GF22" s="85"/>
      <c r="GG22" s="85"/>
      <c r="GH22" s="85"/>
      <c r="GI22" s="85"/>
      <c r="GJ22" s="85"/>
      <c r="GK22" s="85"/>
      <c r="GL22" s="85"/>
      <c r="GM22" s="85"/>
      <c r="GN22" s="85"/>
      <c r="GO22" s="85"/>
      <c r="GP22" s="85"/>
      <c r="GQ22" s="85"/>
      <c r="GR22" s="85"/>
      <c r="GS22" s="85"/>
      <c r="GT22" s="85"/>
      <c r="GU22" s="85"/>
      <c r="GV22" s="85"/>
      <c r="GW22" s="85"/>
      <c r="GX22" s="85"/>
      <c r="GY22" s="85"/>
      <c r="GZ22" s="85"/>
      <c r="HA22" s="85"/>
      <c r="HB22" s="85"/>
      <c r="HC22" s="85"/>
      <c r="HD22" s="85"/>
      <c r="HE22" s="85"/>
      <c r="HF22" s="85"/>
      <c r="HG22" s="85"/>
      <c r="HH22" s="85"/>
      <c r="HI22" s="85"/>
      <c r="HJ22" s="85"/>
      <c r="HK22" s="85"/>
      <c r="HL22" s="85"/>
      <c r="HM22" s="85"/>
      <c r="HN22" s="85"/>
      <c r="HO22" s="85"/>
      <c r="HP22" s="85"/>
      <c r="HQ22" s="85"/>
      <c r="HR22" s="85"/>
      <c r="HS22" s="85"/>
      <c r="HT22" s="85"/>
      <c r="HU22" s="85"/>
      <c r="HV22" s="85"/>
      <c r="HW22" s="85"/>
      <c r="HX22" s="85"/>
      <c r="HY22" s="85"/>
      <c r="HZ22" s="85"/>
      <c r="IA22" s="85"/>
      <c r="IB22" s="85"/>
      <c r="IC22" s="85"/>
      <c r="ID22" s="85"/>
      <c r="IE22" s="85"/>
      <c r="IF22" s="85"/>
      <c r="IG22" s="85"/>
      <c r="IH22" s="85"/>
      <c r="II22" s="85"/>
      <c r="IJ22" s="85"/>
      <c r="IK22" s="85"/>
      <c r="IL22" s="85"/>
      <c r="IM22" s="85"/>
      <c r="IN22" s="85"/>
      <c r="IO22" s="85"/>
      <c r="IP22" s="85"/>
      <c r="IQ22" s="85"/>
      <c r="IR22" s="85"/>
      <c r="IS22" s="85"/>
      <c r="IT22" s="85"/>
      <c r="IU22" s="85"/>
      <c r="IV22" s="85"/>
      <c r="IW22" s="85"/>
      <c r="IX22" s="85"/>
      <c r="IY22" s="85"/>
      <c r="IZ22" s="85"/>
      <c r="JA22" s="85"/>
      <c r="JB22" s="85"/>
      <c r="JC22" s="85"/>
      <c r="JD22" s="85"/>
      <c r="JE22" s="85"/>
      <c r="JF22" s="85"/>
      <c r="JG22" s="85"/>
      <c r="JH22" s="85"/>
      <c r="JI22" s="85"/>
      <c r="JJ22" s="85"/>
      <c r="JK22" s="85"/>
      <c r="JL22" s="85"/>
      <c r="JM22" s="85"/>
      <c r="JN22" s="85"/>
      <c r="JO22" s="85"/>
      <c r="JP22" s="85"/>
      <c r="JQ22" s="85"/>
      <c r="JR22" s="85"/>
      <c r="JS22" s="85"/>
      <c r="JT22" s="85"/>
      <c r="JU22" s="85"/>
      <c r="JV22" s="85"/>
      <c r="JW22" s="85"/>
      <c r="JX22" s="85"/>
      <c r="JY22" s="85"/>
      <c r="JZ22" s="85"/>
      <c r="KA22" s="85"/>
      <c r="KB22" s="85"/>
      <c r="KC22" s="85"/>
      <c r="KD22" s="85"/>
      <c r="KE22" s="85"/>
      <c r="KF22" s="85"/>
      <c r="KG22" s="85"/>
      <c r="KH22" s="85"/>
      <c r="KI22" s="85"/>
    </row>
    <row r="23" spans="2:295" x14ac:dyDescent="0.25">
      <c r="B23" s="15">
        <f>'ASE Target (Spares), FY 21-22'!A16</f>
        <v>11</v>
      </c>
      <c r="C23" s="110" t="str">
        <f>'ASE Target vs Ach(Spares)(Inpt)'!C24</f>
        <v>DSL-DHK</v>
      </c>
      <c r="D23" s="110" t="str">
        <f>'ASE Target vs Ach(Spares)(Inpt)'!D24</f>
        <v>Md. Habibur Rahman</v>
      </c>
      <c r="E23" s="111">
        <f>'ASE Target vs Ach(Spares)(Inpt)'!E24</f>
        <v>6079</v>
      </c>
      <c r="F23" s="112">
        <f t="shared" si="0"/>
        <v>0</v>
      </c>
      <c r="G23" s="112">
        <f t="shared" si="1"/>
        <v>8110</v>
      </c>
      <c r="H23" s="85"/>
      <c r="I23" s="85">
        <v>8110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  <c r="FU23" s="85"/>
      <c r="FV23" s="85"/>
      <c r="FW23" s="85"/>
      <c r="FX23" s="85"/>
      <c r="FY23" s="85"/>
      <c r="FZ23" s="85"/>
      <c r="GA23" s="85"/>
      <c r="GB23" s="85"/>
      <c r="GC23" s="85"/>
      <c r="GD23" s="85"/>
      <c r="GE23" s="85"/>
      <c r="GF23" s="85"/>
      <c r="GG23" s="85"/>
      <c r="GH23" s="85"/>
      <c r="GI23" s="85"/>
      <c r="GJ23" s="85"/>
      <c r="GK23" s="85"/>
      <c r="GL23" s="85"/>
      <c r="GM23" s="85"/>
      <c r="GN23" s="85"/>
      <c r="GO23" s="85"/>
      <c r="GP23" s="85"/>
      <c r="GQ23" s="85"/>
      <c r="GR23" s="85"/>
      <c r="GS23" s="85"/>
      <c r="GT23" s="85"/>
      <c r="GU23" s="85"/>
      <c r="GV23" s="85"/>
      <c r="GW23" s="85"/>
      <c r="GX23" s="85"/>
      <c r="GY23" s="85"/>
      <c r="GZ23" s="85"/>
      <c r="HA23" s="85"/>
      <c r="HB23" s="85"/>
      <c r="HC23" s="85"/>
      <c r="HD23" s="85"/>
      <c r="HE23" s="85"/>
      <c r="HF23" s="85"/>
      <c r="HG23" s="85"/>
      <c r="HH23" s="85"/>
      <c r="HI23" s="85"/>
      <c r="HJ23" s="85"/>
      <c r="HK23" s="85"/>
      <c r="HL23" s="85"/>
      <c r="HM23" s="85"/>
      <c r="HN23" s="85"/>
      <c r="HO23" s="85"/>
      <c r="HP23" s="85"/>
      <c r="HQ23" s="85"/>
      <c r="HR23" s="85"/>
      <c r="HS23" s="85"/>
      <c r="HT23" s="85"/>
      <c r="HU23" s="85"/>
      <c r="HV23" s="85"/>
      <c r="HW23" s="85"/>
      <c r="HX23" s="85"/>
      <c r="HY23" s="85"/>
      <c r="HZ23" s="85"/>
      <c r="IA23" s="85"/>
      <c r="IB23" s="85"/>
      <c r="IC23" s="85"/>
      <c r="ID23" s="85"/>
      <c r="IE23" s="85"/>
      <c r="IF23" s="85"/>
      <c r="IG23" s="85"/>
      <c r="IH23" s="85"/>
      <c r="II23" s="85"/>
      <c r="IJ23" s="85"/>
      <c r="IK23" s="85"/>
      <c r="IL23" s="85"/>
      <c r="IM23" s="85"/>
      <c r="IN23" s="85"/>
      <c r="IO23" s="85"/>
      <c r="IP23" s="85"/>
      <c r="IQ23" s="85"/>
      <c r="IR23" s="85"/>
      <c r="IS23" s="85"/>
      <c r="IT23" s="85"/>
      <c r="IU23" s="85"/>
      <c r="IV23" s="85"/>
      <c r="IW23" s="85"/>
      <c r="IX23" s="85"/>
      <c r="IY23" s="85"/>
      <c r="IZ23" s="85"/>
      <c r="JA23" s="85"/>
      <c r="JB23" s="85"/>
      <c r="JC23" s="85"/>
      <c r="JD23" s="85"/>
      <c r="JE23" s="85"/>
      <c r="JF23" s="85"/>
      <c r="JG23" s="85"/>
      <c r="JH23" s="85"/>
      <c r="JI23" s="85"/>
      <c r="JJ23" s="85"/>
      <c r="JK23" s="85"/>
      <c r="JL23" s="85"/>
      <c r="JM23" s="85"/>
      <c r="JN23" s="85"/>
      <c r="JO23" s="85"/>
      <c r="JP23" s="85"/>
      <c r="JQ23" s="85"/>
      <c r="JR23" s="85"/>
      <c r="JS23" s="85"/>
      <c r="JT23" s="85"/>
      <c r="JU23" s="85"/>
      <c r="JV23" s="85"/>
      <c r="JW23" s="85"/>
      <c r="JX23" s="85"/>
      <c r="JY23" s="85"/>
      <c r="JZ23" s="85"/>
      <c r="KA23" s="85"/>
      <c r="KB23" s="85"/>
      <c r="KC23" s="85"/>
      <c r="KD23" s="85"/>
      <c r="KE23" s="85"/>
      <c r="KF23" s="85"/>
      <c r="KG23" s="85"/>
      <c r="KH23" s="85"/>
      <c r="KI23" s="85"/>
    </row>
    <row r="24" spans="2:295" x14ac:dyDescent="0.25">
      <c r="B24" s="15">
        <f>'ASE Target (Spares), FY 21-22'!A17</f>
        <v>12</v>
      </c>
      <c r="C24" s="110" t="str">
        <f>'ASE Target vs Ach(Spares)(Inpt)'!C25</f>
        <v>DSL-DHK</v>
      </c>
      <c r="D24" s="110" t="str">
        <f>'ASE Target vs Ach(Spares)(Inpt)'!D25</f>
        <v>Ashikur Rahman</v>
      </c>
      <c r="E24" s="111">
        <f>'ASE Target vs Ach(Spares)(Inpt)'!E25</f>
        <v>6080</v>
      </c>
      <c r="F24" s="112">
        <f t="shared" si="0"/>
        <v>250830</v>
      </c>
      <c r="G24" s="112">
        <f t="shared" si="1"/>
        <v>0</v>
      </c>
      <c r="H24" s="85">
        <v>10000</v>
      </c>
      <c r="I24" s="85"/>
      <c r="J24" s="85">
        <v>11000</v>
      </c>
      <c r="K24" s="85"/>
      <c r="L24" s="85">
        <v>9408</v>
      </c>
      <c r="M24" s="85"/>
      <c r="N24" s="85">
        <v>9410</v>
      </c>
      <c r="O24" s="85"/>
      <c r="P24" s="85">
        <v>10800</v>
      </c>
      <c r="Q24" s="85"/>
      <c r="R24" s="85">
        <v>8859</v>
      </c>
      <c r="S24" s="85"/>
      <c r="T24" s="85">
        <v>66441</v>
      </c>
      <c r="U24" s="85"/>
      <c r="V24" s="85">
        <v>62013</v>
      </c>
      <c r="W24" s="85"/>
      <c r="X24" s="85">
        <v>13288</v>
      </c>
      <c r="Y24" s="85"/>
      <c r="Z24" s="85">
        <v>8859</v>
      </c>
      <c r="AA24" s="85"/>
      <c r="AB24" s="85">
        <v>8859</v>
      </c>
      <c r="AC24" s="85"/>
      <c r="AD24" s="85">
        <v>10631</v>
      </c>
      <c r="AE24" s="85"/>
      <c r="AF24" s="85">
        <v>10631</v>
      </c>
      <c r="AG24" s="85"/>
      <c r="AH24" s="85">
        <v>10631</v>
      </c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  <c r="FU24" s="85"/>
      <c r="FV24" s="85"/>
      <c r="FW24" s="85"/>
      <c r="FX24" s="85"/>
      <c r="FY24" s="85"/>
      <c r="FZ24" s="85"/>
      <c r="GA24" s="85"/>
      <c r="GB24" s="85"/>
      <c r="GC24" s="85"/>
      <c r="GD24" s="85"/>
      <c r="GE24" s="85"/>
      <c r="GF24" s="85"/>
      <c r="GG24" s="85"/>
      <c r="GH24" s="85"/>
      <c r="GI24" s="85"/>
      <c r="GJ24" s="85"/>
      <c r="GK24" s="85"/>
      <c r="GL24" s="85"/>
      <c r="GM24" s="85"/>
      <c r="GN24" s="85"/>
      <c r="GO24" s="85"/>
      <c r="GP24" s="85"/>
      <c r="GQ24" s="85"/>
      <c r="GR24" s="85"/>
      <c r="GS24" s="85"/>
      <c r="GT24" s="85"/>
      <c r="GU24" s="85"/>
      <c r="GV24" s="85"/>
      <c r="GW24" s="85"/>
      <c r="GX24" s="85"/>
      <c r="GY24" s="85"/>
      <c r="GZ24" s="85"/>
      <c r="HA24" s="85"/>
      <c r="HB24" s="85"/>
      <c r="HC24" s="85"/>
      <c r="HD24" s="85"/>
      <c r="HE24" s="85"/>
      <c r="HF24" s="85"/>
      <c r="HG24" s="85"/>
      <c r="HH24" s="85"/>
      <c r="HI24" s="85"/>
      <c r="HJ24" s="85"/>
      <c r="HK24" s="85"/>
      <c r="HL24" s="85"/>
      <c r="HM24" s="85"/>
      <c r="HN24" s="85"/>
      <c r="HO24" s="85"/>
      <c r="HP24" s="85"/>
      <c r="HQ24" s="85"/>
      <c r="HR24" s="85"/>
      <c r="HS24" s="85"/>
      <c r="HT24" s="85"/>
      <c r="HU24" s="85"/>
      <c r="HV24" s="85"/>
      <c r="HW24" s="85"/>
      <c r="HX24" s="85"/>
      <c r="HY24" s="85"/>
      <c r="HZ24" s="85"/>
      <c r="IA24" s="85"/>
      <c r="IB24" s="85"/>
      <c r="IC24" s="85"/>
      <c r="ID24" s="85"/>
      <c r="IE24" s="85"/>
      <c r="IF24" s="85"/>
      <c r="IG24" s="85"/>
      <c r="IH24" s="85"/>
      <c r="II24" s="85"/>
      <c r="IJ24" s="85"/>
      <c r="IK24" s="85"/>
      <c r="IL24" s="85"/>
      <c r="IM24" s="85"/>
      <c r="IN24" s="85"/>
      <c r="IO24" s="85"/>
      <c r="IP24" s="85"/>
      <c r="IQ24" s="85"/>
      <c r="IR24" s="85"/>
      <c r="IS24" s="85"/>
      <c r="IT24" s="85"/>
      <c r="IU24" s="85"/>
      <c r="IV24" s="85"/>
      <c r="IW24" s="85"/>
      <c r="IX24" s="85"/>
      <c r="IY24" s="85"/>
      <c r="IZ24" s="85"/>
      <c r="JA24" s="85"/>
      <c r="JB24" s="85"/>
      <c r="JC24" s="85"/>
      <c r="JD24" s="85"/>
      <c r="JE24" s="85"/>
      <c r="JF24" s="85"/>
      <c r="JG24" s="85"/>
      <c r="JH24" s="85"/>
      <c r="JI24" s="85"/>
      <c r="JJ24" s="85"/>
      <c r="JK24" s="85"/>
      <c r="JL24" s="85"/>
      <c r="JM24" s="85"/>
      <c r="JN24" s="85"/>
      <c r="JO24" s="85"/>
      <c r="JP24" s="85"/>
      <c r="JQ24" s="85"/>
      <c r="JR24" s="85"/>
      <c r="JS24" s="85"/>
      <c r="JT24" s="85"/>
      <c r="JU24" s="85"/>
      <c r="JV24" s="85"/>
      <c r="JW24" s="85"/>
      <c r="JX24" s="85"/>
      <c r="JY24" s="85"/>
      <c r="JZ24" s="85"/>
      <c r="KA24" s="85"/>
      <c r="KB24" s="85"/>
      <c r="KC24" s="85"/>
      <c r="KD24" s="85"/>
      <c r="KE24" s="85"/>
      <c r="KF24" s="85"/>
      <c r="KG24" s="85"/>
      <c r="KH24" s="85"/>
      <c r="KI24" s="85"/>
    </row>
    <row r="25" spans="2:295" x14ac:dyDescent="0.25">
      <c r="B25" s="15">
        <f>'ASE Target (Spares), FY 21-22'!A18</f>
        <v>13</v>
      </c>
      <c r="C25" s="110" t="str">
        <f>'ASE Target vs Ach(Spares)(Inpt)'!C26</f>
        <v>DSL-DHK</v>
      </c>
      <c r="D25" s="110" t="str">
        <f>'ASE Target vs Ach(Spares)(Inpt)'!D26</f>
        <v>Md. Sujon Hossain</v>
      </c>
      <c r="E25" s="111">
        <f>'ASE Target vs Ach(Spares)(Inpt)'!E26</f>
        <v>6078</v>
      </c>
      <c r="F25" s="112">
        <f t="shared" si="0"/>
        <v>274343</v>
      </c>
      <c r="G25" s="112">
        <f t="shared" si="1"/>
        <v>0</v>
      </c>
      <c r="H25" s="85">
        <v>12818</v>
      </c>
      <c r="I25" s="85"/>
      <c r="J25" s="85">
        <v>10800</v>
      </c>
      <c r="K25" s="85"/>
      <c r="L25" s="85">
        <v>10800</v>
      </c>
      <c r="M25" s="85"/>
      <c r="N25" s="85">
        <v>10800</v>
      </c>
      <c r="O25" s="85"/>
      <c r="P25" s="85">
        <v>10800</v>
      </c>
      <c r="Q25" s="85"/>
      <c r="R25" s="85">
        <v>10800</v>
      </c>
      <c r="S25" s="85"/>
      <c r="T25" s="85">
        <v>10800</v>
      </c>
      <c r="U25" s="85"/>
      <c r="V25" s="85">
        <v>10000</v>
      </c>
      <c r="W25" s="85"/>
      <c r="X25" s="85">
        <v>10000</v>
      </c>
      <c r="Y25" s="85"/>
      <c r="Z25" s="85">
        <v>10000</v>
      </c>
      <c r="AA25" s="85"/>
      <c r="AB25" s="85">
        <v>13000</v>
      </c>
      <c r="AC25" s="85"/>
      <c r="AD25" s="85">
        <v>13000</v>
      </c>
      <c r="AE25" s="85"/>
      <c r="AF25" s="85">
        <v>12818</v>
      </c>
      <c r="AG25" s="85"/>
      <c r="AH25" s="85">
        <v>12818</v>
      </c>
      <c r="AI25" s="85"/>
      <c r="AJ25" s="85">
        <v>12818</v>
      </c>
      <c r="AK25" s="85"/>
      <c r="AL25" s="85">
        <v>12818</v>
      </c>
      <c r="AM25" s="85"/>
      <c r="AN25" s="85">
        <v>12818</v>
      </c>
      <c r="AO25" s="85"/>
      <c r="AP25" s="85">
        <v>12818</v>
      </c>
      <c r="AQ25" s="85"/>
      <c r="AR25" s="85">
        <v>12818</v>
      </c>
      <c r="AS25" s="85"/>
      <c r="AT25" s="85">
        <v>13000</v>
      </c>
      <c r="AU25" s="85"/>
      <c r="AV25" s="85">
        <v>12818</v>
      </c>
      <c r="AW25" s="85"/>
      <c r="AX25" s="85">
        <v>8181</v>
      </c>
      <c r="AY25" s="85"/>
      <c r="AZ25" s="85">
        <v>8500</v>
      </c>
      <c r="BA25" s="85"/>
      <c r="BB25" s="85">
        <v>8500</v>
      </c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  <c r="FU25" s="85"/>
      <c r="FV25" s="85"/>
      <c r="FW25" s="85"/>
      <c r="FX25" s="85"/>
      <c r="FY25" s="85"/>
      <c r="FZ25" s="85"/>
      <c r="GA25" s="85"/>
      <c r="GB25" s="85"/>
      <c r="GC25" s="85"/>
      <c r="GD25" s="85"/>
      <c r="GE25" s="85"/>
      <c r="GF25" s="85"/>
      <c r="GG25" s="85"/>
      <c r="GH25" s="85"/>
      <c r="GI25" s="85"/>
      <c r="GJ25" s="85"/>
      <c r="GK25" s="85"/>
      <c r="GL25" s="85"/>
      <c r="GM25" s="85"/>
      <c r="GN25" s="85"/>
      <c r="GO25" s="85"/>
      <c r="GP25" s="85"/>
      <c r="GQ25" s="85"/>
      <c r="GR25" s="85"/>
      <c r="GS25" s="85"/>
      <c r="GT25" s="85"/>
      <c r="GU25" s="85"/>
      <c r="GV25" s="85"/>
      <c r="GW25" s="85"/>
      <c r="GX25" s="85"/>
      <c r="GY25" s="85"/>
      <c r="GZ25" s="85"/>
      <c r="HA25" s="85"/>
      <c r="HB25" s="85"/>
      <c r="HC25" s="85"/>
      <c r="HD25" s="85"/>
      <c r="HE25" s="85"/>
      <c r="HF25" s="85"/>
      <c r="HG25" s="85"/>
      <c r="HH25" s="85"/>
      <c r="HI25" s="85"/>
      <c r="HJ25" s="85"/>
      <c r="HK25" s="85"/>
      <c r="HL25" s="85"/>
      <c r="HM25" s="85"/>
      <c r="HN25" s="85"/>
      <c r="HO25" s="85"/>
      <c r="HP25" s="85"/>
      <c r="HQ25" s="85"/>
      <c r="HR25" s="85"/>
      <c r="HS25" s="85"/>
      <c r="HT25" s="85"/>
      <c r="HU25" s="85"/>
      <c r="HV25" s="85"/>
      <c r="HW25" s="85"/>
      <c r="HX25" s="85"/>
      <c r="HY25" s="85"/>
      <c r="HZ25" s="85"/>
      <c r="IA25" s="85"/>
      <c r="IB25" s="85"/>
      <c r="IC25" s="85"/>
      <c r="ID25" s="85"/>
      <c r="IE25" s="85"/>
      <c r="IF25" s="85"/>
      <c r="IG25" s="85"/>
      <c r="IH25" s="85"/>
      <c r="II25" s="85"/>
      <c r="IJ25" s="85"/>
      <c r="IK25" s="85"/>
      <c r="IL25" s="85"/>
      <c r="IM25" s="85"/>
      <c r="IN25" s="85"/>
      <c r="IO25" s="85"/>
      <c r="IP25" s="85"/>
      <c r="IQ25" s="85"/>
      <c r="IR25" s="85"/>
      <c r="IS25" s="85"/>
      <c r="IT25" s="85"/>
      <c r="IU25" s="85"/>
      <c r="IV25" s="85"/>
      <c r="IW25" s="85"/>
      <c r="IX25" s="85"/>
      <c r="IY25" s="85"/>
      <c r="IZ25" s="85"/>
      <c r="JA25" s="85"/>
      <c r="JB25" s="85"/>
      <c r="JC25" s="85"/>
      <c r="JD25" s="85"/>
      <c r="JE25" s="85"/>
      <c r="JF25" s="85"/>
      <c r="JG25" s="85"/>
      <c r="JH25" s="85"/>
      <c r="JI25" s="85"/>
      <c r="JJ25" s="85"/>
      <c r="JK25" s="85"/>
      <c r="JL25" s="85"/>
      <c r="JM25" s="85"/>
      <c r="JN25" s="85"/>
      <c r="JO25" s="85"/>
      <c r="JP25" s="85"/>
      <c r="JQ25" s="85"/>
      <c r="JR25" s="85"/>
      <c r="JS25" s="85"/>
      <c r="JT25" s="85"/>
      <c r="JU25" s="85"/>
      <c r="JV25" s="85"/>
      <c r="JW25" s="85"/>
      <c r="JX25" s="85"/>
      <c r="JY25" s="85"/>
      <c r="JZ25" s="85"/>
      <c r="KA25" s="85"/>
      <c r="KB25" s="85"/>
      <c r="KC25" s="85"/>
      <c r="KD25" s="85"/>
      <c r="KE25" s="85"/>
      <c r="KF25" s="85"/>
      <c r="KG25" s="85"/>
      <c r="KH25" s="85"/>
      <c r="KI25" s="85"/>
    </row>
    <row r="26" spans="2:295" x14ac:dyDescent="0.25">
      <c r="B26" s="15">
        <f>'ASE Target (Spares), FY 21-22'!A19</f>
        <v>14</v>
      </c>
      <c r="C26" s="110" t="str">
        <f>'ASE Target vs Ach(Spares)(Inpt)'!C27</f>
        <v>DSL-DHK</v>
      </c>
      <c r="D26" s="110" t="str">
        <f>'ASE Target vs Ach(Spares)(Inpt)'!D27</f>
        <v xml:space="preserve">Md Jiaur Rahman </v>
      </c>
      <c r="E26" s="111" t="str">
        <f>'ASE Target vs Ach(Spares)(Inpt)'!E27</f>
        <v>0522</v>
      </c>
      <c r="F26" s="112">
        <f t="shared" si="0"/>
        <v>0</v>
      </c>
      <c r="G26" s="112">
        <f t="shared" si="1"/>
        <v>0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  <c r="FU26" s="85"/>
      <c r="FV26" s="85"/>
      <c r="FW26" s="85"/>
      <c r="FX26" s="85"/>
      <c r="FY26" s="85"/>
      <c r="FZ26" s="85"/>
      <c r="GA26" s="85"/>
      <c r="GB26" s="85"/>
      <c r="GC26" s="85"/>
      <c r="GD26" s="85"/>
      <c r="GE26" s="85"/>
      <c r="GF26" s="85"/>
      <c r="GG26" s="85"/>
      <c r="GH26" s="85"/>
      <c r="GI26" s="85"/>
      <c r="GJ26" s="85"/>
      <c r="GK26" s="85"/>
      <c r="GL26" s="85"/>
      <c r="GM26" s="85"/>
      <c r="GN26" s="85"/>
      <c r="GO26" s="85"/>
      <c r="GP26" s="85"/>
      <c r="GQ26" s="85"/>
      <c r="GR26" s="85"/>
      <c r="GS26" s="85"/>
      <c r="GT26" s="85"/>
      <c r="GU26" s="85"/>
      <c r="GV26" s="85"/>
      <c r="GW26" s="85"/>
      <c r="GX26" s="85"/>
      <c r="GY26" s="85"/>
      <c r="GZ26" s="85"/>
      <c r="HA26" s="85"/>
      <c r="HB26" s="85"/>
      <c r="HC26" s="85"/>
      <c r="HD26" s="85"/>
      <c r="HE26" s="85"/>
      <c r="HF26" s="85"/>
      <c r="HG26" s="85"/>
      <c r="HH26" s="85"/>
      <c r="HI26" s="85"/>
      <c r="HJ26" s="85"/>
      <c r="HK26" s="85"/>
      <c r="HL26" s="85"/>
      <c r="HM26" s="85"/>
      <c r="HN26" s="85"/>
      <c r="HO26" s="85"/>
      <c r="HP26" s="85"/>
      <c r="HQ26" s="85"/>
      <c r="HR26" s="85"/>
      <c r="HS26" s="85"/>
      <c r="HT26" s="85"/>
      <c r="HU26" s="85"/>
      <c r="HV26" s="85"/>
      <c r="HW26" s="85"/>
      <c r="HX26" s="85"/>
      <c r="HY26" s="85"/>
      <c r="HZ26" s="85"/>
      <c r="IA26" s="85"/>
      <c r="IB26" s="85"/>
      <c r="IC26" s="85"/>
      <c r="ID26" s="85"/>
      <c r="IE26" s="85"/>
      <c r="IF26" s="85"/>
      <c r="IG26" s="85"/>
      <c r="IH26" s="85"/>
      <c r="II26" s="85"/>
      <c r="IJ26" s="85"/>
      <c r="IK26" s="85"/>
      <c r="IL26" s="85"/>
      <c r="IM26" s="85"/>
      <c r="IN26" s="85"/>
      <c r="IO26" s="85"/>
      <c r="IP26" s="85"/>
      <c r="IQ26" s="85"/>
      <c r="IR26" s="85"/>
      <c r="IS26" s="85"/>
      <c r="IT26" s="85"/>
      <c r="IU26" s="85"/>
      <c r="IV26" s="85"/>
      <c r="IW26" s="85"/>
      <c r="IX26" s="85"/>
      <c r="IY26" s="85"/>
      <c r="IZ26" s="85"/>
      <c r="JA26" s="85"/>
      <c r="JB26" s="85"/>
      <c r="JC26" s="85"/>
      <c r="JD26" s="85"/>
      <c r="JE26" s="85"/>
      <c r="JF26" s="85"/>
      <c r="JG26" s="85"/>
      <c r="JH26" s="85"/>
      <c r="JI26" s="85"/>
      <c r="JJ26" s="85"/>
      <c r="JK26" s="85"/>
      <c r="JL26" s="85"/>
      <c r="JM26" s="85"/>
      <c r="JN26" s="85"/>
      <c r="JO26" s="85"/>
      <c r="JP26" s="85"/>
      <c r="JQ26" s="85"/>
      <c r="JR26" s="85"/>
      <c r="JS26" s="85"/>
      <c r="JT26" s="85"/>
      <c r="JU26" s="85"/>
      <c r="JV26" s="85"/>
      <c r="JW26" s="85"/>
      <c r="JX26" s="85"/>
      <c r="JY26" s="85"/>
      <c r="JZ26" s="85"/>
      <c r="KA26" s="85"/>
      <c r="KB26" s="85"/>
      <c r="KC26" s="85"/>
      <c r="KD26" s="85"/>
      <c r="KE26" s="85"/>
      <c r="KF26" s="85"/>
      <c r="KG26" s="85"/>
      <c r="KH26" s="85"/>
      <c r="KI26" s="85"/>
    </row>
    <row r="27" spans="2:295" x14ac:dyDescent="0.25">
      <c r="B27" s="15">
        <f>'ASE Target (Spares), FY 21-22'!A20</f>
        <v>15</v>
      </c>
      <c r="C27" s="110" t="str">
        <f>'ASE Target vs Ach(Spares)(Inpt)'!C28</f>
        <v/>
      </c>
      <c r="D27" s="110" t="str">
        <f>'ASE Target vs Ach(Spares)(Inpt)'!D28</f>
        <v>New-2</v>
      </c>
      <c r="E27" s="111" t="str">
        <f>'ASE Target vs Ach(Spares)(Inpt)'!E28</f>
        <v/>
      </c>
      <c r="F27" s="112">
        <f t="shared" si="0"/>
        <v>0</v>
      </c>
      <c r="G27" s="112">
        <f t="shared" si="1"/>
        <v>0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  <c r="FU27" s="85"/>
      <c r="FV27" s="85"/>
      <c r="FW27" s="85"/>
      <c r="FX27" s="85"/>
      <c r="FY27" s="85"/>
      <c r="FZ27" s="85"/>
      <c r="GA27" s="85"/>
      <c r="GB27" s="85"/>
      <c r="GC27" s="85"/>
      <c r="GD27" s="85"/>
      <c r="GE27" s="85"/>
      <c r="GF27" s="85"/>
      <c r="GG27" s="85"/>
      <c r="GH27" s="85"/>
      <c r="GI27" s="85"/>
      <c r="GJ27" s="85"/>
      <c r="GK27" s="85"/>
      <c r="GL27" s="85"/>
      <c r="GM27" s="85"/>
      <c r="GN27" s="85"/>
      <c r="GO27" s="85"/>
      <c r="GP27" s="85"/>
      <c r="GQ27" s="85"/>
      <c r="GR27" s="85"/>
      <c r="GS27" s="85"/>
      <c r="GT27" s="85"/>
      <c r="GU27" s="85"/>
      <c r="GV27" s="85"/>
      <c r="GW27" s="85"/>
      <c r="GX27" s="85"/>
      <c r="GY27" s="85"/>
      <c r="GZ27" s="85"/>
      <c r="HA27" s="85"/>
      <c r="HB27" s="85"/>
      <c r="HC27" s="85"/>
      <c r="HD27" s="85"/>
      <c r="HE27" s="85"/>
      <c r="HF27" s="85"/>
      <c r="HG27" s="85"/>
      <c r="HH27" s="85"/>
      <c r="HI27" s="85"/>
      <c r="HJ27" s="85"/>
      <c r="HK27" s="85"/>
      <c r="HL27" s="85"/>
      <c r="HM27" s="85"/>
      <c r="HN27" s="85"/>
      <c r="HO27" s="85"/>
      <c r="HP27" s="85"/>
      <c r="HQ27" s="85"/>
      <c r="HR27" s="85"/>
      <c r="HS27" s="85"/>
      <c r="HT27" s="85"/>
      <c r="HU27" s="85"/>
      <c r="HV27" s="85"/>
      <c r="HW27" s="85"/>
      <c r="HX27" s="85"/>
      <c r="HY27" s="85"/>
      <c r="HZ27" s="85"/>
      <c r="IA27" s="85"/>
      <c r="IB27" s="85"/>
      <c r="IC27" s="85"/>
      <c r="ID27" s="85"/>
      <c r="IE27" s="85"/>
      <c r="IF27" s="85"/>
      <c r="IG27" s="85"/>
      <c r="IH27" s="85"/>
      <c r="II27" s="85"/>
      <c r="IJ27" s="85"/>
      <c r="IK27" s="85"/>
      <c r="IL27" s="85"/>
      <c r="IM27" s="85"/>
      <c r="IN27" s="85"/>
      <c r="IO27" s="85"/>
      <c r="IP27" s="85"/>
      <c r="IQ27" s="85"/>
      <c r="IR27" s="85"/>
      <c r="IS27" s="85"/>
      <c r="IT27" s="85"/>
      <c r="IU27" s="85"/>
      <c r="IV27" s="85"/>
      <c r="IW27" s="85"/>
      <c r="IX27" s="85"/>
      <c r="IY27" s="85"/>
      <c r="IZ27" s="85"/>
      <c r="JA27" s="85"/>
      <c r="JB27" s="85"/>
      <c r="JC27" s="85"/>
      <c r="JD27" s="85"/>
      <c r="JE27" s="85"/>
      <c r="JF27" s="85"/>
      <c r="JG27" s="85"/>
      <c r="JH27" s="85"/>
      <c r="JI27" s="85"/>
      <c r="JJ27" s="85"/>
      <c r="JK27" s="85"/>
      <c r="JL27" s="85"/>
      <c r="JM27" s="85"/>
      <c r="JN27" s="85"/>
      <c r="JO27" s="85"/>
      <c r="JP27" s="85"/>
      <c r="JQ27" s="85"/>
      <c r="JR27" s="85"/>
      <c r="JS27" s="85"/>
      <c r="JT27" s="85"/>
      <c r="JU27" s="85"/>
      <c r="JV27" s="85"/>
      <c r="JW27" s="85"/>
      <c r="JX27" s="85"/>
      <c r="JY27" s="85"/>
      <c r="JZ27" s="85"/>
      <c r="KA27" s="85"/>
      <c r="KB27" s="85"/>
      <c r="KC27" s="85"/>
      <c r="KD27" s="85"/>
      <c r="KE27" s="85"/>
      <c r="KF27" s="85"/>
      <c r="KG27" s="85"/>
      <c r="KH27" s="85"/>
      <c r="KI27" s="85"/>
    </row>
    <row r="28" spans="2:295" x14ac:dyDescent="0.25">
      <c r="B28" s="15">
        <f>'ASE Target (Spares), FY 21-22'!A21</f>
        <v>16</v>
      </c>
      <c r="C28" s="110" t="str">
        <f>'ASE Target vs Ach(Spares)(Inpt)'!C29</f>
        <v/>
      </c>
      <c r="D28" s="110" t="str">
        <f>'ASE Target vs Ach(Spares)(Inpt)'!D29</f>
        <v>New-3</v>
      </c>
      <c r="E28" s="111" t="str">
        <f>'ASE Target vs Ach(Spares)(Inpt)'!E29</f>
        <v/>
      </c>
      <c r="F28" s="112">
        <f t="shared" si="0"/>
        <v>0</v>
      </c>
      <c r="G28" s="112">
        <f t="shared" si="1"/>
        <v>0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  <c r="FU28" s="85"/>
      <c r="FV28" s="85"/>
      <c r="FW28" s="85"/>
      <c r="FX28" s="85"/>
      <c r="FY28" s="85"/>
      <c r="FZ28" s="85"/>
      <c r="GA28" s="85"/>
      <c r="GB28" s="85"/>
      <c r="GC28" s="85"/>
      <c r="GD28" s="85"/>
      <c r="GE28" s="85"/>
      <c r="GF28" s="85"/>
      <c r="GG28" s="85"/>
      <c r="GH28" s="85"/>
      <c r="GI28" s="85"/>
      <c r="GJ28" s="85"/>
      <c r="GK28" s="85"/>
      <c r="GL28" s="85"/>
      <c r="GM28" s="85"/>
      <c r="GN28" s="85"/>
      <c r="GO28" s="85"/>
      <c r="GP28" s="85"/>
      <c r="GQ28" s="85"/>
      <c r="GR28" s="85"/>
      <c r="GS28" s="85"/>
      <c r="GT28" s="85"/>
      <c r="GU28" s="85"/>
      <c r="GV28" s="85"/>
      <c r="GW28" s="85"/>
      <c r="GX28" s="85"/>
      <c r="GY28" s="85"/>
      <c r="GZ28" s="85"/>
      <c r="HA28" s="85"/>
      <c r="HB28" s="85"/>
      <c r="HC28" s="85"/>
      <c r="HD28" s="85"/>
      <c r="HE28" s="85"/>
      <c r="HF28" s="85"/>
      <c r="HG28" s="85"/>
      <c r="HH28" s="85"/>
      <c r="HI28" s="85"/>
      <c r="HJ28" s="85"/>
      <c r="HK28" s="85"/>
      <c r="HL28" s="85"/>
      <c r="HM28" s="85"/>
      <c r="HN28" s="85"/>
      <c r="HO28" s="85"/>
      <c r="HP28" s="85"/>
      <c r="HQ28" s="85"/>
      <c r="HR28" s="85"/>
      <c r="HS28" s="85"/>
      <c r="HT28" s="85"/>
      <c r="HU28" s="85"/>
      <c r="HV28" s="85"/>
      <c r="HW28" s="85"/>
      <c r="HX28" s="85"/>
      <c r="HY28" s="85"/>
      <c r="HZ28" s="85"/>
      <c r="IA28" s="85"/>
      <c r="IB28" s="85"/>
      <c r="IC28" s="85"/>
      <c r="ID28" s="85"/>
      <c r="IE28" s="85"/>
      <c r="IF28" s="85"/>
      <c r="IG28" s="85"/>
      <c r="IH28" s="85"/>
      <c r="II28" s="85"/>
      <c r="IJ28" s="85"/>
      <c r="IK28" s="85"/>
      <c r="IL28" s="85"/>
      <c r="IM28" s="85"/>
      <c r="IN28" s="85"/>
      <c r="IO28" s="85"/>
      <c r="IP28" s="85"/>
      <c r="IQ28" s="85"/>
      <c r="IR28" s="85"/>
      <c r="IS28" s="85"/>
      <c r="IT28" s="85"/>
      <c r="IU28" s="85"/>
      <c r="IV28" s="85"/>
      <c r="IW28" s="85"/>
      <c r="IX28" s="85"/>
      <c r="IY28" s="85"/>
      <c r="IZ28" s="85"/>
      <c r="JA28" s="85"/>
      <c r="JB28" s="85"/>
      <c r="JC28" s="85"/>
      <c r="JD28" s="85"/>
      <c r="JE28" s="85"/>
      <c r="JF28" s="85"/>
      <c r="JG28" s="85"/>
      <c r="JH28" s="85"/>
      <c r="JI28" s="85"/>
      <c r="JJ28" s="85"/>
      <c r="JK28" s="85"/>
      <c r="JL28" s="85"/>
      <c r="JM28" s="85"/>
      <c r="JN28" s="85"/>
      <c r="JO28" s="85"/>
      <c r="JP28" s="85"/>
      <c r="JQ28" s="85"/>
      <c r="JR28" s="85"/>
      <c r="JS28" s="85"/>
      <c r="JT28" s="85"/>
      <c r="JU28" s="85"/>
      <c r="JV28" s="85"/>
      <c r="JW28" s="85"/>
      <c r="JX28" s="85"/>
      <c r="JY28" s="85"/>
      <c r="JZ28" s="85"/>
      <c r="KA28" s="85"/>
      <c r="KB28" s="85"/>
      <c r="KC28" s="85"/>
      <c r="KD28" s="85"/>
      <c r="KE28" s="85"/>
      <c r="KF28" s="85"/>
      <c r="KG28" s="85"/>
      <c r="KH28" s="85"/>
      <c r="KI28" s="85"/>
    </row>
    <row r="29" spans="2:295" x14ac:dyDescent="0.25">
      <c r="B29" s="15">
        <f>'ASE Target (Spares), FY 21-22'!A22</f>
        <v>17</v>
      </c>
      <c r="C29" s="110" t="str">
        <f>'ASE Target vs Ach(Spares)(Inpt)'!C30</f>
        <v/>
      </c>
      <c r="D29" s="110" t="str">
        <f>'ASE Target vs Ach(Spares)(Inpt)'!D30</f>
        <v>New-4</v>
      </c>
      <c r="E29" s="111" t="str">
        <f>'ASE Target vs Ach(Spares)(Inpt)'!E30</f>
        <v/>
      </c>
      <c r="F29" s="112">
        <f t="shared" si="0"/>
        <v>0</v>
      </c>
      <c r="G29" s="112">
        <f t="shared" si="1"/>
        <v>0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  <c r="FU29" s="85"/>
      <c r="FV29" s="85"/>
      <c r="FW29" s="85"/>
      <c r="FX29" s="85"/>
      <c r="FY29" s="85"/>
      <c r="FZ29" s="85"/>
      <c r="GA29" s="85"/>
      <c r="GB29" s="85"/>
      <c r="GC29" s="85"/>
      <c r="GD29" s="85"/>
      <c r="GE29" s="85"/>
      <c r="GF29" s="85"/>
      <c r="GG29" s="85"/>
      <c r="GH29" s="85"/>
      <c r="GI29" s="85"/>
      <c r="GJ29" s="85"/>
      <c r="GK29" s="85"/>
      <c r="GL29" s="85"/>
      <c r="GM29" s="85"/>
      <c r="GN29" s="85"/>
      <c r="GO29" s="85"/>
      <c r="GP29" s="85"/>
      <c r="GQ29" s="85"/>
      <c r="GR29" s="85"/>
      <c r="GS29" s="85"/>
      <c r="GT29" s="85"/>
      <c r="GU29" s="85"/>
      <c r="GV29" s="85"/>
      <c r="GW29" s="85"/>
      <c r="GX29" s="85"/>
      <c r="GY29" s="85"/>
      <c r="GZ29" s="85"/>
      <c r="HA29" s="85"/>
      <c r="HB29" s="85"/>
      <c r="HC29" s="85"/>
      <c r="HD29" s="85"/>
      <c r="HE29" s="85"/>
      <c r="HF29" s="85"/>
      <c r="HG29" s="85"/>
      <c r="HH29" s="85"/>
      <c r="HI29" s="85"/>
      <c r="HJ29" s="85"/>
      <c r="HK29" s="85"/>
      <c r="HL29" s="85"/>
      <c r="HM29" s="85"/>
      <c r="HN29" s="85"/>
      <c r="HO29" s="85"/>
      <c r="HP29" s="85"/>
      <c r="HQ29" s="85"/>
      <c r="HR29" s="85"/>
      <c r="HS29" s="85"/>
      <c r="HT29" s="85"/>
      <c r="HU29" s="85"/>
      <c r="HV29" s="85"/>
      <c r="HW29" s="85"/>
      <c r="HX29" s="85"/>
      <c r="HY29" s="85"/>
      <c r="HZ29" s="85"/>
      <c r="IA29" s="85"/>
      <c r="IB29" s="85"/>
      <c r="IC29" s="85"/>
      <c r="ID29" s="85"/>
      <c r="IE29" s="85"/>
      <c r="IF29" s="85"/>
      <c r="IG29" s="85"/>
      <c r="IH29" s="85"/>
      <c r="II29" s="85"/>
      <c r="IJ29" s="85"/>
      <c r="IK29" s="85"/>
      <c r="IL29" s="85"/>
      <c r="IM29" s="85"/>
      <c r="IN29" s="85"/>
      <c r="IO29" s="85"/>
      <c r="IP29" s="85"/>
      <c r="IQ29" s="85"/>
      <c r="IR29" s="85"/>
      <c r="IS29" s="85"/>
      <c r="IT29" s="85"/>
      <c r="IU29" s="85"/>
      <c r="IV29" s="85"/>
      <c r="IW29" s="85"/>
      <c r="IX29" s="85"/>
      <c r="IY29" s="85"/>
      <c r="IZ29" s="85"/>
      <c r="JA29" s="85"/>
      <c r="JB29" s="85"/>
      <c r="JC29" s="85"/>
      <c r="JD29" s="85"/>
      <c r="JE29" s="85"/>
      <c r="JF29" s="85"/>
      <c r="JG29" s="85"/>
      <c r="JH29" s="85"/>
      <c r="JI29" s="85"/>
      <c r="JJ29" s="85"/>
      <c r="JK29" s="85"/>
      <c r="JL29" s="85"/>
      <c r="JM29" s="85"/>
      <c r="JN29" s="85"/>
      <c r="JO29" s="85"/>
      <c r="JP29" s="85"/>
      <c r="JQ29" s="85"/>
      <c r="JR29" s="85"/>
      <c r="JS29" s="85"/>
      <c r="JT29" s="85"/>
      <c r="JU29" s="85"/>
      <c r="JV29" s="85"/>
      <c r="JW29" s="85"/>
      <c r="JX29" s="85"/>
      <c r="JY29" s="85"/>
      <c r="JZ29" s="85"/>
      <c r="KA29" s="85"/>
      <c r="KB29" s="85"/>
      <c r="KC29" s="85"/>
      <c r="KD29" s="85"/>
      <c r="KE29" s="85"/>
      <c r="KF29" s="85"/>
      <c r="KG29" s="85"/>
      <c r="KH29" s="85"/>
      <c r="KI29" s="85"/>
    </row>
    <row r="30" spans="2:295" x14ac:dyDescent="0.25">
      <c r="B30" s="15">
        <f>'ASE Target (Spares), FY 21-22'!A29</f>
        <v>18</v>
      </c>
      <c r="C30" s="110" t="str">
        <f>'ASE Target vs Ach(Spares)(Inpt)'!C31</f>
        <v>CTG</v>
      </c>
      <c r="D30" s="110" t="str">
        <f>'ASE Target vs Ach(Spares)(Inpt)'!D31</f>
        <v xml:space="preserve">Sumon Sen </v>
      </c>
      <c r="E30" s="111" t="str">
        <f>'ASE Target vs Ach(Spares)(Inpt)'!E31</f>
        <v>8041</v>
      </c>
      <c r="F30" s="112">
        <f t="shared" si="0"/>
        <v>0</v>
      </c>
      <c r="G30" s="112">
        <f t="shared" si="1"/>
        <v>0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  <c r="FU30" s="85"/>
      <c r="FV30" s="85"/>
      <c r="FW30" s="85"/>
      <c r="FX30" s="85"/>
      <c r="FY30" s="85"/>
      <c r="FZ30" s="85"/>
      <c r="GA30" s="85"/>
      <c r="GB30" s="85"/>
      <c r="GC30" s="85"/>
      <c r="GD30" s="85"/>
      <c r="GE30" s="85"/>
      <c r="GF30" s="85"/>
      <c r="GG30" s="85"/>
      <c r="GH30" s="85"/>
      <c r="GI30" s="85"/>
      <c r="GJ30" s="85"/>
      <c r="GK30" s="85"/>
      <c r="GL30" s="85"/>
      <c r="GM30" s="85"/>
      <c r="GN30" s="85"/>
      <c r="GO30" s="85"/>
      <c r="GP30" s="85"/>
      <c r="GQ30" s="85"/>
      <c r="GR30" s="85"/>
      <c r="GS30" s="85"/>
      <c r="GT30" s="85"/>
      <c r="GU30" s="85"/>
      <c r="GV30" s="85"/>
      <c r="GW30" s="85"/>
      <c r="GX30" s="85"/>
      <c r="GY30" s="85"/>
      <c r="GZ30" s="85"/>
      <c r="HA30" s="85"/>
      <c r="HB30" s="85"/>
      <c r="HC30" s="85"/>
      <c r="HD30" s="85"/>
      <c r="HE30" s="85"/>
      <c r="HF30" s="85"/>
      <c r="HG30" s="85"/>
      <c r="HH30" s="85"/>
      <c r="HI30" s="85"/>
      <c r="HJ30" s="85"/>
      <c r="HK30" s="85"/>
      <c r="HL30" s="85"/>
      <c r="HM30" s="85"/>
      <c r="HN30" s="85"/>
      <c r="HO30" s="85"/>
      <c r="HP30" s="85"/>
      <c r="HQ30" s="85"/>
      <c r="HR30" s="85"/>
      <c r="HS30" s="85"/>
      <c r="HT30" s="85"/>
      <c r="HU30" s="85"/>
      <c r="HV30" s="85"/>
      <c r="HW30" s="85"/>
      <c r="HX30" s="85"/>
      <c r="HY30" s="85"/>
      <c r="HZ30" s="85"/>
      <c r="IA30" s="85"/>
      <c r="IB30" s="85"/>
      <c r="IC30" s="85"/>
      <c r="ID30" s="85"/>
      <c r="IE30" s="85"/>
      <c r="IF30" s="85"/>
      <c r="IG30" s="85"/>
      <c r="IH30" s="85"/>
      <c r="II30" s="85"/>
      <c r="IJ30" s="85"/>
      <c r="IK30" s="85"/>
      <c r="IL30" s="85"/>
      <c r="IM30" s="85"/>
      <c r="IN30" s="85"/>
      <c r="IO30" s="85"/>
      <c r="IP30" s="85"/>
      <c r="IQ30" s="85"/>
      <c r="IR30" s="85"/>
      <c r="IS30" s="85"/>
      <c r="IT30" s="85"/>
      <c r="IU30" s="85"/>
      <c r="IV30" s="85"/>
      <c r="IW30" s="85"/>
      <c r="IX30" s="85"/>
      <c r="IY30" s="85"/>
      <c r="IZ30" s="85"/>
      <c r="JA30" s="85"/>
      <c r="JB30" s="85"/>
      <c r="JC30" s="85"/>
      <c r="JD30" s="85"/>
      <c r="JE30" s="85"/>
      <c r="JF30" s="85"/>
      <c r="JG30" s="85"/>
      <c r="JH30" s="85"/>
      <c r="JI30" s="85"/>
      <c r="JJ30" s="85"/>
      <c r="JK30" s="85"/>
      <c r="JL30" s="85"/>
      <c r="JM30" s="85"/>
      <c r="JN30" s="85"/>
      <c r="JO30" s="85"/>
      <c r="JP30" s="85"/>
      <c r="JQ30" s="85"/>
      <c r="JR30" s="85"/>
      <c r="JS30" s="85"/>
      <c r="JT30" s="85"/>
      <c r="JU30" s="85"/>
      <c r="JV30" s="85"/>
      <c r="JW30" s="85"/>
      <c r="JX30" s="85"/>
      <c r="JY30" s="85"/>
      <c r="JZ30" s="85"/>
      <c r="KA30" s="85"/>
      <c r="KB30" s="85"/>
      <c r="KC30" s="85"/>
      <c r="KD30" s="85"/>
      <c r="KE30" s="85"/>
      <c r="KF30" s="85"/>
      <c r="KG30" s="85"/>
      <c r="KH30" s="85"/>
      <c r="KI30" s="85"/>
    </row>
    <row r="31" spans="2:295" x14ac:dyDescent="0.25">
      <c r="B31" s="15">
        <f>'ASE Target (Spares), FY 21-22'!A30</f>
        <v>19</v>
      </c>
      <c r="C31" s="110" t="str">
        <f>'ASE Target vs Ach(Spares)(Inpt)'!C32</f>
        <v>CTG</v>
      </c>
      <c r="D31" s="110" t="str">
        <f>'ASE Target vs Ach(Spares)(Inpt)'!D32</f>
        <v>Tapan Barua</v>
      </c>
      <c r="E31" s="111" t="str">
        <f>'ASE Target vs Ach(Spares)(Inpt)'!E32</f>
        <v>1475</v>
      </c>
      <c r="F31" s="112">
        <f t="shared" si="0"/>
        <v>0</v>
      </c>
      <c r="G31" s="112">
        <f t="shared" si="1"/>
        <v>0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  <c r="FU31" s="85"/>
      <c r="FV31" s="85"/>
      <c r="FW31" s="85"/>
      <c r="FX31" s="85"/>
      <c r="FY31" s="85"/>
      <c r="FZ31" s="85"/>
      <c r="GA31" s="85"/>
      <c r="GB31" s="85"/>
      <c r="GC31" s="85"/>
      <c r="GD31" s="85"/>
      <c r="GE31" s="85"/>
      <c r="GF31" s="85"/>
      <c r="GG31" s="85"/>
      <c r="GH31" s="85"/>
      <c r="GI31" s="85"/>
      <c r="GJ31" s="85"/>
      <c r="GK31" s="85"/>
      <c r="GL31" s="85"/>
      <c r="GM31" s="85"/>
      <c r="GN31" s="85"/>
      <c r="GO31" s="85"/>
      <c r="GP31" s="85"/>
      <c r="GQ31" s="85"/>
      <c r="GR31" s="85"/>
      <c r="GS31" s="85"/>
      <c r="GT31" s="85"/>
      <c r="GU31" s="85"/>
      <c r="GV31" s="85"/>
      <c r="GW31" s="85"/>
      <c r="GX31" s="85"/>
      <c r="GY31" s="85"/>
      <c r="GZ31" s="85"/>
      <c r="HA31" s="85"/>
      <c r="HB31" s="85"/>
      <c r="HC31" s="85"/>
      <c r="HD31" s="85"/>
      <c r="HE31" s="85"/>
      <c r="HF31" s="85"/>
      <c r="HG31" s="85"/>
      <c r="HH31" s="85"/>
      <c r="HI31" s="85"/>
      <c r="HJ31" s="85"/>
      <c r="HK31" s="85"/>
      <c r="HL31" s="85"/>
      <c r="HM31" s="85"/>
      <c r="HN31" s="85"/>
      <c r="HO31" s="85"/>
      <c r="HP31" s="85"/>
      <c r="HQ31" s="85"/>
      <c r="HR31" s="85"/>
      <c r="HS31" s="85"/>
      <c r="HT31" s="85"/>
      <c r="HU31" s="85"/>
      <c r="HV31" s="85"/>
      <c r="HW31" s="85"/>
      <c r="HX31" s="85"/>
      <c r="HY31" s="85"/>
      <c r="HZ31" s="85"/>
      <c r="IA31" s="85"/>
      <c r="IB31" s="85"/>
      <c r="IC31" s="85"/>
      <c r="ID31" s="85"/>
      <c r="IE31" s="85"/>
      <c r="IF31" s="85"/>
      <c r="IG31" s="85"/>
      <c r="IH31" s="85"/>
      <c r="II31" s="85"/>
      <c r="IJ31" s="85"/>
      <c r="IK31" s="85"/>
      <c r="IL31" s="85"/>
      <c r="IM31" s="85"/>
      <c r="IN31" s="85"/>
      <c r="IO31" s="85"/>
      <c r="IP31" s="85"/>
      <c r="IQ31" s="85"/>
      <c r="IR31" s="85"/>
      <c r="IS31" s="85"/>
      <c r="IT31" s="85"/>
      <c r="IU31" s="85"/>
      <c r="IV31" s="85"/>
      <c r="IW31" s="85"/>
      <c r="IX31" s="85"/>
      <c r="IY31" s="85"/>
      <c r="IZ31" s="85"/>
      <c r="JA31" s="85"/>
      <c r="JB31" s="85"/>
      <c r="JC31" s="85"/>
      <c r="JD31" s="85"/>
      <c r="JE31" s="85"/>
      <c r="JF31" s="85"/>
      <c r="JG31" s="85"/>
      <c r="JH31" s="85"/>
      <c r="JI31" s="85"/>
      <c r="JJ31" s="85"/>
      <c r="JK31" s="85"/>
      <c r="JL31" s="85"/>
      <c r="JM31" s="85"/>
      <c r="JN31" s="85"/>
      <c r="JO31" s="85"/>
      <c r="JP31" s="85"/>
      <c r="JQ31" s="85"/>
      <c r="JR31" s="85"/>
      <c r="JS31" s="85"/>
      <c r="JT31" s="85"/>
      <c r="JU31" s="85"/>
      <c r="JV31" s="85"/>
      <c r="JW31" s="85"/>
      <c r="JX31" s="85"/>
      <c r="JY31" s="85"/>
      <c r="JZ31" s="85"/>
      <c r="KA31" s="85"/>
      <c r="KB31" s="85"/>
      <c r="KC31" s="85"/>
      <c r="KD31" s="85"/>
      <c r="KE31" s="85"/>
      <c r="KF31" s="85"/>
      <c r="KG31" s="85"/>
      <c r="KH31" s="85"/>
      <c r="KI31" s="85"/>
    </row>
    <row r="32" spans="2:295" x14ac:dyDescent="0.25">
      <c r="B32" s="15">
        <f>'ASE Target (Spares), FY 21-22'!A31</f>
        <v>20</v>
      </c>
      <c r="C32" s="110" t="str">
        <f>'ASE Target vs Ach(Spares)(Inpt)'!C33</f>
        <v>CTG</v>
      </c>
      <c r="D32" s="110" t="str">
        <f>'ASE Target vs Ach(Spares)(Inpt)'!D33</f>
        <v>Sozol prince</v>
      </c>
      <c r="E32" s="111" t="str">
        <f>'ASE Target vs Ach(Spares)(Inpt)'!E33</f>
        <v>6076</v>
      </c>
      <c r="F32" s="112">
        <f t="shared" si="0"/>
        <v>0</v>
      </c>
      <c r="G32" s="112">
        <f t="shared" si="1"/>
        <v>0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  <c r="FU32" s="85"/>
      <c r="FV32" s="85"/>
      <c r="FW32" s="85"/>
      <c r="FX32" s="85"/>
      <c r="FY32" s="85"/>
      <c r="FZ32" s="85"/>
      <c r="GA32" s="85"/>
      <c r="GB32" s="85"/>
      <c r="GC32" s="85"/>
      <c r="GD32" s="85"/>
      <c r="GE32" s="85"/>
      <c r="GF32" s="85"/>
      <c r="GG32" s="85"/>
      <c r="GH32" s="85"/>
      <c r="GI32" s="85"/>
      <c r="GJ32" s="85"/>
      <c r="GK32" s="85"/>
      <c r="GL32" s="85"/>
      <c r="GM32" s="85"/>
      <c r="GN32" s="85"/>
      <c r="GO32" s="85"/>
      <c r="GP32" s="85"/>
      <c r="GQ32" s="85"/>
      <c r="GR32" s="85"/>
      <c r="GS32" s="85"/>
      <c r="GT32" s="85"/>
      <c r="GU32" s="85"/>
      <c r="GV32" s="85"/>
      <c r="GW32" s="85"/>
      <c r="GX32" s="85"/>
      <c r="GY32" s="85"/>
      <c r="GZ32" s="85"/>
      <c r="HA32" s="85"/>
      <c r="HB32" s="85"/>
      <c r="HC32" s="85"/>
      <c r="HD32" s="85"/>
      <c r="HE32" s="85"/>
      <c r="HF32" s="85"/>
      <c r="HG32" s="85"/>
      <c r="HH32" s="85"/>
      <c r="HI32" s="85"/>
      <c r="HJ32" s="85"/>
      <c r="HK32" s="85"/>
      <c r="HL32" s="85"/>
      <c r="HM32" s="85"/>
      <c r="HN32" s="85"/>
      <c r="HO32" s="85"/>
      <c r="HP32" s="85"/>
      <c r="HQ32" s="85"/>
      <c r="HR32" s="85"/>
      <c r="HS32" s="85"/>
      <c r="HT32" s="85"/>
      <c r="HU32" s="85"/>
      <c r="HV32" s="85"/>
      <c r="HW32" s="85"/>
      <c r="HX32" s="85"/>
      <c r="HY32" s="85"/>
      <c r="HZ32" s="85"/>
      <c r="IA32" s="85"/>
      <c r="IB32" s="85"/>
      <c r="IC32" s="85"/>
      <c r="ID32" s="85"/>
      <c r="IE32" s="85"/>
      <c r="IF32" s="85"/>
      <c r="IG32" s="85"/>
      <c r="IH32" s="85"/>
      <c r="II32" s="85"/>
      <c r="IJ32" s="85"/>
      <c r="IK32" s="85"/>
      <c r="IL32" s="85"/>
      <c r="IM32" s="85"/>
      <c r="IN32" s="85"/>
      <c r="IO32" s="85"/>
      <c r="IP32" s="85"/>
      <c r="IQ32" s="85"/>
      <c r="IR32" s="85"/>
      <c r="IS32" s="85"/>
      <c r="IT32" s="85"/>
      <c r="IU32" s="85"/>
      <c r="IV32" s="85"/>
      <c r="IW32" s="85"/>
      <c r="IX32" s="85"/>
      <c r="IY32" s="85"/>
      <c r="IZ32" s="85"/>
      <c r="JA32" s="85"/>
      <c r="JB32" s="85"/>
      <c r="JC32" s="85"/>
      <c r="JD32" s="85"/>
      <c r="JE32" s="85"/>
      <c r="JF32" s="85"/>
      <c r="JG32" s="85"/>
      <c r="JH32" s="85"/>
      <c r="JI32" s="85"/>
      <c r="JJ32" s="85"/>
      <c r="JK32" s="85"/>
      <c r="JL32" s="85"/>
      <c r="JM32" s="85"/>
      <c r="JN32" s="85"/>
      <c r="JO32" s="85"/>
      <c r="JP32" s="85"/>
      <c r="JQ32" s="85"/>
      <c r="JR32" s="85"/>
      <c r="JS32" s="85"/>
      <c r="JT32" s="85"/>
      <c r="JU32" s="85"/>
      <c r="JV32" s="85"/>
      <c r="JW32" s="85"/>
      <c r="JX32" s="85"/>
      <c r="JY32" s="85"/>
      <c r="JZ32" s="85"/>
      <c r="KA32" s="85"/>
      <c r="KB32" s="85"/>
      <c r="KC32" s="85"/>
      <c r="KD32" s="85"/>
      <c r="KE32" s="85"/>
      <c r="KF32" s="85"/>
      <c r="KG32" s="85"/>
      <c r="KH32" s="85"/>
      <c r="KI32" s="85"/>
    </row>
    <row r="33" spans="2:295" x14ac:dyDescent="0.25">
      <c r="B33" s="15">
        <f>'ASE Target (Spares), FY 21-22'!A32</f>
        <v>21</v>
      </c>
      <c r="C33" s="110" t="str">
        <f>'ASE Target vs Ach(Spares)(Inpt)'!C34</f>
        <v/>
      </c>
      <c r="D33" s="110" t="str">
        <f>'ASE Target vs Ach(Spares)(Inpt)'!D34</f>
        <v>New-5</v>
      </c>
      <c r="E33" s="111" t="str">
        <f>'ASE Target vs Ach(Spares)(Inpt)'!E34</f>
        <v/>
      </c>
      <c r="F33" s="112">
        <f t="shared" si="0"/>
        <v>0</v>
      </c>
      <c r="G33" s="112">
        <f t="shared" si="1"/>
        <v>0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  <c r="FU33" s="85"/>
      <c r="FV33" s="85"/>
      <c r="FW33" s="85"/>
      <c r="FX33" s="85"/>
      <c r="FY33" s="85"/>
      <c r="FZ33" s="85"/>
      <c r="GA33" s="85"/>
      <c r="GB33" s="85"/>
      <c r="GC33" s="85"/>
      <c r="GD33" s="85"/>
      <c r="GE33" s="85"/>
      <c r="GF33" s="85"/>
      <c r="GG33" s="85"/>
      <c r="GH33" s="85"/>
      <c r="GI33" s="85"/>
      <c r="GJ33" s="85"/>
      <c r="GK33" s="85"/>
      <c r="GL33" s="85"/>
      <c r="GM33" s="85"/>
      <c r="GN33" s="85"/>
      <c r="GO33" s="85"/>
      <c r="GP33" s="85"/>
      <c r="GQ33" s="85"/>
      <c r="GR33" s="85"/>
      <c r="GS33" s="85"/>
      <c r="GT33" s="85"/>
      <c r="GU33" s="85"/>
      <c r="GV33" s="85"/>
      <c r="GW33" s="85"/>
      <c r="GX33" s="85"/>
      <c r="GY33" s="85"/>
      <c r="GZ33" s="85"/>
      <c r="HA33" s="85"/>
      <c r="HB33" s="85"/>
      <c r="HC33" s="85"/>
      <c r="HD33" s="85"/>
      <c r="HE33" s="85"/>
      <c r="HF33" s="85"/>
      <c r="HG33" s="85"/>
      <c r="HH33" s="85"/>
      <c r="HI33" s="85"/>
      <c r="HJ33" s="85"/>
      <c r="HK33" s="85"/>
      <c r="HL33" s="85"/>
      <c r="HM33" s="85"/>
      <c r="HN33" s="85"/>
      <c r="HO33" s="85"/>
      <c r="HP33" s="85"/>
      <c r="HQ33" s="85"/>
      <c r="HR33" s="85"/>
      <c r="HS33" s="85"/>
      <c r="HT33" s="85"/>
      <c r="HU33" s="85"/>
      <c r="HV33" s="85"/>
      <c r="HW33" s="85"/>
      <c r="HX33" s="85"/>
      <c r="HY33" s="85"/>
      <c r="HZ33" s="85"/>
      <c r="IA33" s="85"/>
      <c r="IB33" s="85"/>
      <c r="IC33" s="85"/>
      <c r="ID33" s="85"/>
      <c r="IE33" s="85"/>
      <c r="IF33" s="85"/>
      <c r="IG33" s="85"/>
      <c r="IH33" s="85"/>
      <c r="II33" s="85"/>
      <c r="IJ33" s="85"/>
      <c r="IK33" s="85"/>
      <c r="IL33" s="85"/>
      <c r="IM33" s="85"/>
      <c r="IN33" s="85"/>
      <c r="IO33" s="85"/>
      <c r="IP33" s="85"/>
      <c r="IQ33" s="85"/>
      <c r="IR33" s="85"/>
      <c r="IS33" s="85"/>
      <c r="IT33" s="85"/>
      <c r="IU33" s="85"/>
      <c r="IV33" s="85"/>
      <c r="IW33" s="85"/>
      <c r="IX33" s="85"/>
      <c r="IY33" s="85"/>
      <c r="IZ33" s="85"/>
      <c r="JA33" s="85"/>
      <c r="JB33" s="85"/>
      <c r="JC33" s="85"/>
      <c r="JD33" s="85"/>
      <c r="JE33" s="85"/>
      <c r="JF33" s="85"/>
      <c r="JG33" s="85"/>
      <c r="JH33" s="85"/>
      <c r="JI33" s="85"/>
      <c r="JJ33" s="85"/>
      <c r="JK33" s="85"/>
      <c r="JL33" s="85"/>
      <c r="JM33" s="85"/>
      <c r="JN33" s="85"/>
      <c r="JO33" s="85"/>
      <c r="JP33" s="85"/>
      <c r="JQ33" s="85"/>
      <c r="JR33" s="85"/>
      <c r="JS33" s="85"/>
      <c r="JT33" s="85"/>
      <c r="JU33" s="85"/>
      <c r="JV33" s="85"/>
      <c r="JW33" s="85"/>
      <c r="JX33" s="85"/>
      <c r="JY33" s="85"/>
      <c r="JZ33" s="85"/>
      <c r="KA33" s="85"/>
      <c r="KB33" s="85"/>
      <c r="KC33" s="85"/>
      <c r="KD33" s="85"/>
      <c r="KE33" s="85"/>
      <c r="KF33" s="85"/>
      <c r="KG33" s="85"/>
      <c r="KH33" s="85"/>
      <c r="KI33" s="85"/>
    </row>
    <row r="34" spans="2:295" x14ac:dyDescent="0.25">
      <c r="B34" s="15">
        <f>'ASE Target (Spares), FY 21-22'!A36</f>
        <v>0</v>
      </c>
      <c r="C34" s="110" t="str">
        <f>'ASE Target vs Ach(Spares)(Inpt)'!C35</f>
        <v/>
      </c>
      <c r="D34" s="110" t="str">
        <f>'ASE Target vs Ach(Spares)(Inpt)'!D35</f>
        <v>New-6</v>
      </c>
      <c r="E34" s="111" t="str">
        <f>'ASE Target vs Ach(Spares)(Inpt)'!E35</f>
        <v/>
      </c>
      <c r="F34" s="112">
        <f t="shared" si="0"/>
        <v>0</v>
      </c>
      <c r="G34" s="112">
        <f t="shared" si="1"/>
        <v>0</v>
      </c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  <c r="FU34" s="85"/>
      <c r="FV34" s="85"/>
      <c r="FW34" s="85"/>
      <c r="FX34" s="85"/>
      <c r="FY34" s="85"/>
      <c r="FZ34" s="85"/>
      <c r="GA34" s="85"/>
      <c r="GB34" s="85"/>
      <c r="GC34" s="85"/>
      <c r="GD34" s="85"/>
      <c r="GE34" s="85"/>
      <c r="GF34" s="85"/>
      <c r="GG34" s="85"/>
      <c r="GH34" s="85"/>
      <c r="GI34" s="85"/>
      <c r="GJ34" s="85"/>
      <c r="GK34" s="85"/>
      <c r="GL34" s="85"/>
      <c r="GM34" s="85"/>
      <c r="GN34" s="85"/>
      <c r="GO34" s="85"/>
      <c r="GP34" s="85"/>
      <c r="GQ34" s="85"/>
      <c r="GR34" s="85"/>
      <c r="GS34" s="85"/>
      <c r="GT34" s="85"/>
      <c r="GU34" s="85"/>
      <c r="GV34" s="85"/>
      <c r="GW34" s="85"/>
      <c r="GX34" s="85"/>
      <c r="GY34" s="85"/>
      <c r="GZ34" s="85"/>
      <c r="HA34" s="85"/>
      <c r="HB34" s="85"/>
      <c r="HC34" s="85"/>
      <c r="HD34" s="85"/>
      <c r="HE34" s="85"/>
      <c r="HF34" s="85"/>
      <c r="HG34" s="85"/>
      <c r="HH34" s="85"/>
      <c r="HI34" s="85"/>
      <c r="HJ34" s="85"/>
      <c r="HK34" s="85"/>
      <c r="HL34" s="85"/>
      <c r="HM34" s="85"/>
      <c r="HN34" s="85"/>
      <c r="HO34" s="85"/>
      <c r="HP34" s="85"/>
      <c r="HQ34" s="85"/>
      <c r="HR34" s="85"/>
      <c r="HS34" s="85"/>
      <c r="HT34" s="85"/>
      <c r="HU34" s="85"/>
      <c r="HV34" s="85"/>
      <c r="HW34" s="85"/>
      <c r="HX34" s="85"/>
      <c r="HY34" s="85"/>
      <c r="HZ34" s="85"/>
      <c r="IA34" s="85"/>
      <c r="IB34" s="85"/>
      <c r="IC34" s="85"/>
      <c r="ID34" s="85"/>
      <c r="IE34" s="85"/>
      <c r="IF34" s="85"/>
      <c r="IG34" s="85"/>
      <c r="IH34" s="85"/>
      <c r="II34" s="85"/>
      <c r="IJ34" s="85"/>
      <c r="IK34" s="85"/>
      <c r="IL34" s="85"/>
      <c r="IM34" s="85"/>
      <c r="IN34" s="85"/>
      <c r="IO34" s="85"/>
      <c r="IP34" s="85"/>
      <c r="IQ34" s="85"/>
      <c r="IR34" s="85"/>
      <c r="IS34" s="85"/>
      <c r="IT34" s="85"/>
      <c r="IU34" s="85"/>
      <c r="IV34" s="85"/>
      <c r="IW34" s="85"/>
      <c r="IX34" s="85"/>
      <c r="IY34" s="85"/>
      <c r="IZ34" s="85"/>
      <c r="JA34" s="85"/>
      <c r="JB34" s="85"/>
      <c r="JC34" s="85"/>
      <c r="JD34" s="85"/>
      <c r="JE34" s="85"/>
      <c r="JF34" s="85"/>
      <c r="JG34" s="85"/>
      <c r="JH34" s="85"/>
      <c r="JI34" s="85"/>
      <c r="JJ34" s="85"/>
      <c r="JK34" s="85"/>
      <c r="JL34" s="85"/>
      <c r="JM34" s="85"/>
      <c r="JN34" s="85"/>
      <c r="JO34" s="85"/>
      <c r="JP34" s="85"/>
      <c r="JQ34" s="85"/>
      <c r="JR34" s="85"/>
      <c r="JS34" s="85"/>
      <c r="JT34" s="85"/>
      <c r="JU34" s="85"/>
      <c r="JV34" s="85"/>
      <c r="JW34" s="85"/>
      <c r="JX34" s="85"/>
      <c r="JY34" s="85"/>
      <c r="JZ34" s="85"/>
      <c r="KA34" s="85"/>
      <c r="KB34" s="85"/>
      <c r="KC34" s="85"/>
      <c r="KD34" s="85"/>
      <c r="KE34" s="85"/>
      <c r="KF34" s="85"/>
      <c r="KG34" s="85"/>
      <c r="KH34" s="85"/>
      <c r="KI34" s="85"/>
    </row>
    <row r="35" spans="2:295" x14ac:dyDescent="0.25">
      <c r="B35" s="102"/>
      <c r="C35" s="103"/>
      <c r="D35" s="103"/>
      <c r="E35" s="104"/>
      <c r="F35" s="104"/>
      <c r="G35" s="104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5"/>
      <c r="FB35" s="105"/>
      <c r="FC35" s="105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  <c r="GF35" s="105"/>
      <c r="GG35" s="105"/>
      <c r="GH35" s="105"/>
      <c r="GI35" s="105"/>
      <c r="GJ35" s="105"/>
      <c r="GK35" s="105"/>
      <c r="GL35" s="105"/>
      <c r="GM35" s="105"/>
      <c r="GN35" s="105"/>
      <c r="GO35" s="105"/>
      <c r="GP35" s="105"/>
      <c r="GQ35" s="105"/>
      <c r="GR35" s="105"/>
      <c r="GS35" s="105"/>
      <c r="GT35" s="105"/>
      <c r="GU35" s="105"/>
      <c r="GV35" s="105"/>
      <c r="GW35" s="105"/>
      <c r="GX35" s="105"/>
      <c r="GY35" s="105"/>
      <c r="GZ35" s="105"/>
      <c r="HA35" s="105"/>
      <c r="HB35" s="105"/>
      <c r="HC35" s="105"/>
      <c r="HD35" s="105"/>
      <c r="HE35" s="105"/>
      <c r="HF35" s="105"/>
      <c r="HG35" s="105"/>
      <c r="HH35" s="105"/>
      <c r="HI35" s="105"/>
      <c r="HJ35" s="105"/>
      <c r="HK35" s="105"/>
      <c r="HL35" s="105"/>
      <c r="HM35" s="105"/>
      <c r="HN35" s="105"/>
      <c r="HO35" s="105"/>
      <c r="HP35" s="105"/>
      <c r="HQ35" s="105"/>
      <c r="HR35" s="105"/>
      <c r="HS35" s="105"/>
      <c r="HT35" s="105"/>
      <c r="HU35" s="105"/>
      <c r="HV35" s="105"/>
      <c r="HW35" s="105"/>
      <c r="HX35" s="105"/>
      <c r="HY35" s="105"/>
      <c r="HZ35" s="105"/>
      <c r="IA35" s="105"/>
      <c r="IB35" s="105"/>
      <c r="IC35" s="105"/>
      <c r="ID35" s="105"/>
      <c r="IE35" s="105"/>
      <c r="IF35" s="105"/>
      <c r="IG35" s="105"/>
      <c r="IH35" s="105"/>
      <c r="II35" s="105"/>
      <c r="IJ35" s="105"/>
      <c r="IK35" s="105"/>
      <c r="IL35" s="105"/>
      <c r="IM35" s="105"/>
      <c r="IN35" s="105"/>
      <c r="IO35" s="105"/>
      <c r="IP35" s="105"/>
      <c r="IQ35" s="105"/>
      <c r="IR35" s="105"/>
      <c r="IS35" s="105"/>
      <c r="IT35" s="105"/>
      <c r="IU35" s="105"/>
      <c r="IV35" s="105"/>
      <c r="IW35" s="105"/>
      <c r="IX35" s="105"/>
      <c r="IY35" s="105"/>
      <c r="IZ35" s="105"/>
      <c r="JA35" s="105"/>
      <c r="JB35" s="105"/>
      <c r="JC35" s="105"/>
      <c r="JD35" s="105"/>
      <c r="JE35" s="105"/>
      <c r="JF35" s="105"/>
      <c r="JG35" s="105"/>
      <c r="JH35" s="105"/>
      <c r="JI35" s="105"/>
      <c r="JJ35" s="105"/>
      <c r="JK35" s="105"/>
      <c r="JL35" s="105"/>
      <c r="JM35" s="105"/>
      <c r="JN35" s="105"/>
      <c r="JO35" s="105"/>
      <c r="JP35" s="105"/>
      <c r="JQ35" s="105"/>
      <c r="JR35" s="105"/>
      <c r="JS35" s="105"/>
      <c r="JT35" s="105"/>
      <c r="JU35" s="105"/>
      <c r="JV35" s="105"/>
      <c r="JW35" s="105"/>
      <c r="JX35" s="105"/>
      <c r="JY35" s="105"/>
      <c r="JZ35" s="105"/>
      <c r="KA35" s="105"/>
      <c r="KB35" s="105"/>
      <c r="KC35" s="105"/>
      <c r="KD35" s="105"/>
      <c r="KE35" s="105"/>
      <c r="KF35" s="105"/>
      <c r="KG35" s="105"/>
      <c r="KH35" s="105"/>
      <c r="KI35" s="105"/>
    </row>
    <row r="36" spans="2:295" x14ac:dyDescent="0.25">
      <c r="B36" s="102"/>
      <c r="C36" s="103"/>
      <c r="D36" s="103"/>
      <c r="E36" s="104"/>
      <c r="F36" s="104"/>
      <c r="G36" s="104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5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  <c r="GF36" s="105"/>
      <c r="GG36" s="105"/>
      <c r="GH36" s="105"/>
      <c r="GI36" s="105"/>
      <c r="GJ36" s="105"/>
      <c r="GK36" s="105"/>
      <c r="GL36" s="105"/>
      <c r="GM36" s="105"/>
      <c r="GN36" s="105"/>
      <c r="GO36" s="105"/>
      <c r="GP36" s="105"/>
      <c r="GQ36" s="105"/>
      <c r="GR36" s="105"/>
      <c r="GS36" s="105"/>
      <c r="GT36" s="105"/>
      <c r="GU36" s="105"/>
      <c r="GV36" s="105"/>
      <c r="GW36" s="105"/>
      <c r="GX36" s="105"/>
      <c r="GY36" s="105"/>
      <c r="GZ36" s="105"/>
      <c r="HA36" s="105"/>
      <c r="HB36" s="105"/>
      <c r="HC36" s="105"/>
      <c r="HD36" s="105"/>
      <c r="HE36" s="105"/>
      <c r="HF36" s="105"/>
      <c r="HG36" s="105"/>
      <c r="HH36" s="105"/>
      <c r="HI36" s="105"/>
      <c r="HJ36" s="105"/>
      <c r="HK36" s="105"/>
      <c r="HL36" s="105"/>
      <c r="HM36" s="105"/>
      <c r="HN36" s="105"/>
      <c r="HO36" s="105"/>
      <c r="HP36" s="105"/>
      <c r="HQ36" s="105"/>
      <c r="HR36" s="105"/>
      <c r="HS36" s="105"/>
      <c r="HT36" s="105"/>
      <c r="HU36" s="105"/>
      <c r="HV36" s="105"/>
      <c r="HW36" s="105"/>
      <c r="HX36" s="105"/>
      <c r="HY36" s="105"/>
      <c r="HZ36" s="105"/>
      <c r="IA36" s="105"/>
      <c r="IB36" s="105"/>
      <c r="IC36" s="105"/>
      <c r="ID36" s="105"/>
      <c r="IE36" s="105"/>
      <c r="IF36" s="105"/>
      <c r="IG36" s="105"/>
      <c r="IH36" s="105"/>
      <c r="II36" s="105"/>
      <c r="IJ36" s="105"/>
      <c r="IK36" s="105"/>
      <c r="IL36" s="105"/>
      <c r="IM36" s="105"/>
      <c r="IN36" s="105"/>
      <c r="IO36" s="105"/>
      <c r="IP36" s="105"/>
      <c r="IQ36" s="105"/>
      <c r="IR36" s="105"/>
      <c r="IS36" s="105"/>
      <c r="IT36" s="105"/>
      <c r="IU36" s="105"/>
      <c r="IV36" s="105"/>
      <c r="IW36" s="105"/>
      <c r="IX36" s="105"/>
      <c r="IY36" s="105"/>
      <c r="IZ36" s="105"/>
      <c r="JA36" s="105"/>
      <c r="JB36" s="105"/>
      <c r="JC36" s="105"/>
      <c r="JD36" s="105"/>
      <c r="JE36" s="105"/>
      <c r="JF36" s="105"/>
      <c r="JG36" s="105"/>
      <c r="JH36" s="105"/>
      <c r="JI36" s="105"/>
      <c r="JJ36" s="105"/>
      <c r="JK36" s="105"/>
      <c r="JL36" s="105"/>
      <c r="JM36" s="105"/>
      <c r="JN36" s="105"/>
      <c r="JO36" s="105"/>
      <c r="JP36" s="105"/>
      <c r="JQ36" s="105"/>
      <c r="JR36" s="105"/>
      <c r="JS36" s="105"/>
      <c r="JT36" s="105"/>
      <c r="JU36" s="105"/>
      <c r="JV36" s="105"/>
      <c r="JW36" s="105"/>
      <c r="JX36" s="105"/>
      <c r="JY36" s="105"/>
      <c r="JZ36" s="105"/>
      <c r="KA36" s="105"/>
      <c r="KB36" s="105"/>
      <c r="KC36" s="105"/>
      <c r="KD36" s="105"/>
      <c r="KE36" s="105"/>
      <c r="KF36" s="105"/>
      <c r="KG36" s="105"/>
      <c r="KH36" s="105"/>
      <c r="KI36" s="105"/>
    </row>
    <row r="37" spans="2:295" x14ac:dyDescent="0.25">
      <c r="B37" s="102"/>
      <c r="C37" s="103"/>
      <c r="D37" s="103"/>
      <c r="E37" s="104"/>
      <c r="F37" s="104"/>
      <c r="G37" s="104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5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  <c r="GF37" s="105"/>
      <c r="GG37" s="105"/>
      <c r="GH37" s="105"/>
      <c r="GI37" s="105"/>
      <c r="GJ37" s="105"/>
      <c r="GK37" s="105"/>
      <c r="GL37" s="105"/>
      <c r="GM37" s="105"/>
      <c r="GN37" s="105"/>
      <c r="GO37" s="105"/>
      <c r="GP37" s="105"/>
      <c r="GQ37" s="105"/>
      <c r="GR37" s="105"/>
      <c r="GS37" s="105"/>
      <c r="GT37" s="105"/>
      <c r="GU37" s="105"/>
      <c r="GV37" s="105"/>
      <c r="GW37" s="105"/>
      <c r="GX37" s="105"/>
      <c r="GY37" s="105"/>
      <c r="GZ37" s="105"/>
      <c r="HA37" s="105"/>
      <c r="HB37" s="105"/>
      <c r="HC37" s="105"/>
      <c r="HD37" s="105"/>
      <c r="HE37" s="105"/>
      <c r="HF37" s="105"/>
      <c r="HG37" s="105"/>
      <c r="HH37" s="105"/>
      <c r="HI37" s="105"/>
      <c r="HJ37" s="105"/>
      <c r="HK37" s="105"/>
      <c r="HL37" s="105"/>
      <c r="HM37" s="105"/>
      <c r="HN37" s="105"/>
      <c r="HO37" s="105"/>
      <c r="HP37" s="105"/>
      <c r="HQ37" s="105"/>
      <c r="HR37" s="105"/>
      <c r="HS37" s="105"/>
      <c r="HT37" s="105"/>
      <c r="HU37" s="105"/>
      <c r="HV37" s="105"/>
      <c r="HW37" s="105"/>
      <c r="HX37" s="105"/>
      <c r="HY37" s="105"/>
      <c r="HZ37" s="105"/>
      <c r="IA37" s="105"/>
      <c r="IB37" s="105"/>
      <c r="IC37" s="105"/>
      <c r="ID37" s="105"/>
      <c r="IE37" s="105"/>
      <c r="IF37" s="105"/>
      <c r="IG37" s="105"/>
      <c r="IH37" s="105"/>
      <c r="II37" s="105"/>
      <c r="IJ37" s="105"/>
      <c r="IK37" s="105"/>
      <c r="IL37" s="105"/>
      <c r="IM37" s="105"/>
      <c r="IN37" s="105"/>
      <c r="IO37" s="105"/>
      <c r="IP37" s="105"/>
      <c r="IQ37" s="105"/>
      <c r="IR37" s="105"/>
      <c r="IS37" s="105"/>
      <c r="IT37" s="105"/>
      <c r="IU37" s="105"/>
      <c r="IV37" s="105"/>
      <c r="IW37" s="105"/>
      <c r="IX37" s="105"/>
      <c r="IY37" s="105"/>
      <c r="IZ37" s="105"/>
      <c r="JA37" s="105"/>
      <c r="JB37" s="105"/>
      <c r="JC37" s="105"/>
      <c r="JD37" s="105"/>
      <c r="JE37" s="105"/>
      <c r="JF37" s="105"/>
      <c r="JG37" s="105"/>
      <c r="JH37" s="105"/>
      <c r="JI37" s="105"/>
      <c r="JJ37" s="105"/>
      <c r="JK37" s="105"/>
      <c r="JL37" s="105"/>
      <c r="JM37" s="105"/>
      <c r="JN37" s="105"/>
      <c r="JO37" s="105"/>
      <c r="JP37" s="105"/>
      <c r="JQ37" s="105"/>
      <c r="JR37" s="105"/>
      <c r="JS37" s="105"/>
      <c r="JT37" s="105"/>
      <c r="JU37" s="105"/>
      <c r="JV37" s="105"/>
      <c r="JW37" s="105"/>
      <c r="JX37" s="105"/>
      <c r="JY37" s="105"/>
      <c r="JZ37" s="105"/>
      <c r="KA37" s="105"/>
      <c r="KB37" s="105"/>
      <c r="KC37" s="105"/>
      <c r="KD37" s="105"/>
      <c r="KE37" s="105"/>
      <c r="KF37" s="105"/>
      <c r="KG37" s="105"/>
      <c r="KH37" s="105"/>
      <c r="KI37" s="105"/>
    </row>
    <row r="38" spans="2:295" x14ac:dyDescent="0.25">
      <c r="B38" s="102"/>
      <c r="C38" s="103"/>
      <c r="D38" s="103"/>
      <c r="E38" s="104"/>
      <c r="F38" s="104"/>
      <c r="G38" s="104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5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F38" s="105"/>
      <c r="GG38" s="105"/>
      <c r="GH38" s="105"/>
      <c r="GI38" s="105"/>
      <c r="GJ38" s="105"/>
      <c r="GK38" s="105"/>
      <c r="GL38" s="105"/>
      <c r="GM38" s="105"/>
      <c r="GN38" s="105"/>
      <c r="GO38" s="105"/>
      <c r="GP38" s="105"/>
      <c r="GQ38" s="105"/>
      <c r="GR38" s="105"/>
      <c r="GS38" s="105"/>
      <c r="GT38" s="105"/>
      <c r="GU38" s="105"/>
      <c r="GV38" s="105"/>
      <c r="GW38" s="105"/>
      <c r="GX38" s="105"/>
      <c r="GY38" s="105"/>
      <c r="GZ38" s="105"/>
      <c r="HA38" s="105"/>
      <c r="HB38" s="105"/>
      <c r="HC38" s="105"/>
      <c r="HD38" s="105"/>
      <c r="HE38" s="105"/>
      <c r="HF38" s="105"/>
      <c r="HG38" s="105"/>
      <c r="HH38" s="105"/>
      <c r="HI38" s="105"/>
      <c r="HJ38" s="105"/>
      <c r="HK38" s="105"/>
      <c r="HL38" s="105"/>
      <c r="HM38" s="105"/>
      <c r="HN38" s="105"/>
      <c r="HO38" s="105"/>
      <c r="HP38" s="105"/>
      <c r="HQ38" s="105"/>
      <c r="HR38" s="105"/>
      <c r="HS38" s="105"/>
      <c r="HT38" s="105"/>
      <c r="HU38" s="105"/>
      <c r="HV38" s="105"/>
      <c r="HW38" s="105"/>
      <c r="HX38" s="105"/>
      <c r="HY38" s="105"/>
      <c r="HZ38" s="105"/>
      <c r="IA38" s="105"/>
      <c r="IB38" s="105"/>
      <c r="IC38" s="105"/>
      <c r="ID38" s="105"/>
      <c r="IE38" s="105"/>
      <c r="IF38" s="105"/>
      <c r="IG38" s="105"/>
      <c r="IH38" s="105"/>
      <c r="II38" s="105"/>
      <c r="IJ38" s="105"/>
      <c r="IK38" s="105"/>
      <c r="IL38" s="105"/>
      <c r="IM38" s="105"/>
      <c r="IN38" s="105"/>
      <c r="IO38" s="105"/>
      <c r="IP38" s="105"/>
      <c r="IQ38" s="105"/>
      <c r="IR38" s="105"/>
      <c r="IS38" s="105"/>
      <c r="IT38" s="105"/>
      <c r="IU38" s="105"/>
      <c r="IV38" s="105"/>
      <c r="IW38" s="105"/>
      <c r="IX38" s="105"/>
      <c r="IY38" s="105"/>
      <c r="IZ38" s="105"/>
      <c r="JA38" s="105"/>
      <c r="JB38" s="105"/>
      <c r="JC38" s="105"/>
      <c r="JD38" s="105"/>
      <c r="JE38" s="105"/>
      <c r="JF38" s="105"/>
      <c r="JG38" s="105"/>
      <c r="JH38" s="105"/>
      <c r="JI38" s="105"/>
      <c r="JJ38" s="105"/>
      <c r="JK38" s="105"/>
      <c r="JL38" s="105"/>
      <c r="JM38" s="105"/>
      <c r="JN38" s="105"/>
      <c r="JO38" s="105"/>
      <c r="JP38" s="105"/>
      <c r="JQ38" s="105"/>
      <c r="JR38" s="105"/>
      <c r="JS38" s="105"/>
      <c r="JT38" s="105"/>
      <c r="JU38" s="105"/>
      <c r="JV38" s="105"/>
      <c r="JW38" s="105"/>
      <c r="JX38" s="105"/>
      <c r="JY38" s="105"/>
      <c r="JZ38" s="105"/>
      <c r="KA38" s="105"/>
      <c r="KB38" s="105"/>
      <c r="KC38" s="105"/>
      <c r="KD38" s="105"/>
      <c r="KE38" s="105"/>
      <c r="KF38" s="105"/>
      <c r="KG38" s="105"/>
      <c r="KH38" s="105"/>
      <c r="KI38" s="105"/>
    </row>
    <row r="39" spans="2:295" x14ac:dyDescent="0.25">
      <c r="B39" s="102"/>
      <c r="C39" s="103"/>
      <c r="D39" s="103"/>
      <c r="E39" s="104"/>
      <c r="F39" s="104"/>
      <c r="G39" s="104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5"/>
      <c r="FB39" s="105"/>
      <c r="FC39" s="105"/>
      <c r="FD39" s="105"/>
      <c r="FE39" s="105"/>
      <c r="FF39" s="105"/>
      <c r="FG39" s="105"/>
      <c r="FH39" s="105"/>
      <c r="FI39" s="105"/>
      <c r="FJ39" s="105"/>
      <c r="FK39" s="105"/>
      <c r="FL39" s="105"/>
      <c r="FM39" s="105"/>
      <c r="FN39" s="105"/>
      <c r="FO39" s="105"/>
      <c r="FP39" s="105"/>
      <c r="FQ39" s="105"/>
      <c r="FR39" s="105"/>
      <c r="FS39" s="105"/>
      <c r="FT39" s="105"/>
      <c r="FU39" s="105"/>
      <c r="FV39" s="105"/>
      <c r="FW39" s="105"/>
      <c r="FX39" s="105"/>
      <c r="FY39" s="105"/>
      <c r="FZ39" s="105"/>
      <c r="GA39" s="105"/>
      <c r="GB39" s="105"/>
      <c r="GC39" s="105"/>
      <c r="GD39" s="105"/>
      <c r="GE39" s="105"/>
      <c r="GF39" s="105"/>
      <c r="GG39" s="105"/>
      <c r="GH39" s="105"/>
      <c r="GI39" s="105"/>
      <c r="GJ39" s="105"/>
      <c r="GK39" s="105"/>
      <c r="GL39" s="105"/>
      <c r="GM39" s="105"/>
      <c r="GN39" s="105"/>
      <c r="GO39" s="105"/>
      <c r="GP39" s="105"/>
      <c r="GQ39" s="105"/>
      <c r="GR39" s="105"/>
      <c r="GS39" s="105"/>
      <c r="GT39" s="105"/>
      <c r="GU39" s="105"/>
      <c r="GV39" s="105"/>
      <c r="GW39" s="105"/>
      <c r="GX39" s="105"/>
      <c r="GY39" s="105"/>
      <c r="GZ39" s="105"/>
      <c r="HA39" s="105"/>
      <c r="HB39" s="105"/>
      <c r="HC39" s="105"/>
      <c r="HD39" s="105"/>
      <c r="HE39" s="105"/>
      <c r="HF39" s="105"/>
      <c r="HG39" s="105"/>
      <c r="HH39" s="105"/>
      <c r="HI39" s="105"/>
      <c r="HJ39" s="105"/>
      <c r="HK39" s="105"/>
      <c r="HL39" s="105"/>
      <c r="HM39" s="105"/>
      <c r="HN39" s="105"/>
      <c r="HO39" s="105"/>
      <c r="HP39" s="105"/>
      <c r="HQ39" s="105"/>
      <c r="HR39" s="105"/>
      <c r="HS39" s="105"/>
      <c r="HT39" s="105"/>
      <c r="HU39" s="105"/>
      <c r="HV39" s="105"/>
      <c r="HW39" s="105"/>
      <c r="HX39" s="105"/>
      <c r="HY39" s="105"/>
      <c r="HZ39" s="105"/>
      <c r="IA39" s="105"/>
      <c r="IB39" s="105"/>
      <c r="IC39" s="105"/>
      <c r="ID39" s="105"/>
      <c r="IE39" s="105"/>
      <c r="IF39" s="105"/>
      <c r="IG39" s="105"/>
      <c r="IH39" s="105"/>
      <c r="II39" s="105"/>
      <c r="IJ39" s="105"/>
      <c r="IK39" s="105"/>
      <c r="IL39" s="105"/>
      <c r="IM39" s="105"/>
      <c r="IN39" s="105"/>
      <c r="IO39" s="105"/>
      <c r="IP39" s="105"/>
      <c r="IQ39" s="105"/>
      <c r="IR39" s="105"/>
      <c r="IS39" s="105"/>
      <c r="IT39" s="105"/>
      <c r="IU39" s="105"/>
      <c r="IV39" s="105"/>
      <c r="IW39" s="105"/>
      <c r="IX39" s="105"/>
      <c r="IY39" s="105"/>
      <c r="IZ39" s="105"/>
      <c r="JA39" s="105"/>
      <c r="JB39" s="105"/>
      <c r="JC39" s="105"/>
      <c r="JD39" s="105"/>
      <c r="JE39" s="105"/>
      <c r="JF39" s="105"/>
      <c r="JG39" s="105"/>
      <c r="JH39" s="105"/>
      <c r="JI39" s="105"/>
      <c r="JJ39" s="105"/>
      <c r="JK39" s="105"/>
      <c r="JL39" s="105"/>
      <c r="JM39" s="105"/>
      <c r="JN39" s="105"/>
      <c r="JO39" s="105"/>
      <c r="JP39" s="105"/>
      <c r="JQ39" s="105"/>
      <c r="JR39" s="105"/>
      <c r="JS39" s="105"/>
      <c r="JT39" s="105"/>
      <c r="JU39" s="105"/>
      <c r="JV39" s="105"/>
      <c r="JW39" s="105"/>
      <c r="JX39" s="105"/>
      <c r="JY39" s="105"/>
      <c r="JZ39" s="105"/>
      <c r="KA39" s="105"/>
      <c r="KB39" s="105"/>
      <c r="KC39" s="105"/>
      <c r="KD39" s="105"/>
      <c r="KE39" s="105"/>
      <c r="KF39" s="105"/>
      <c r="KG39" s="105"/>
      <c r="KH39" s="105"/>
      <c r="KI39" s="105"/>
    </row>
    <row r="40" spans="2:295" x14ac:dyDescent="0.25">
      <c r="B40" s="102"/>
      <c r="C40" s="103"/>
      <c r="D40" s="103"/>
      <c r="E40" s="104"/>
      <c r="F40" s="104"/>
      <c r="G40" s="104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F40" s="105"/>
      <c r="GG40" s="105"/>
      <c r="GH40" s="105"/>
      <c r="GI40" s="105"/>
      <c r="GJ40" s="105"/>
      <c r="GK40" s="105"/>
      <c r="GL40" s="105"/>
      <c r="GM40" s="105"/>
      <c r="GN40" s="105"/>
      <c r="GO40" s="105"/>
      <c r="GP40" s="105"/>
      <c r="GQ40" s="105"/>
      <c r="GR40" s="105"/>
      <c r="GS40" s="105"/>
      <c r="GT40" s="105"/>
      <c r="GU40" s="105"/>
      <c r="GV40" s="105"/>
      <c r="GW40" s="105"/>
      <c r="GX40" s="105"/>
      <c r="GY40" s="105"/>
      <c r="GZ40" s="105"/>
      <c r="HA40" s="105"/>
      <c r="HB40" s="105"/>
      <c r="HC40" s="105"/>
      <c r="HD40" s="105"/>
      <c r="HE40" s="105"/>
      <c r="HF40" s="105"/>
      <c r="HG40" s="105"/>
      <c r="HH40" s="105"/>
      <c r="HI40" s="105"/>
      <c r="HJ40" s="105"/>
      <c r="HK40" s="105"/>
      <c r="HL40" s="105"/>
      <c r="HM40" s="105"/>
      <c r="HN40" s="105"/>
      <c r="HO40" s="105"/>
      <c r="HP40" s="105"/>
      <c r="HQ40" s="105"/>
      <c r="HR40" s="105"/>
      <c r="HS40" s="105"/>
      <c r="HT40" s="105"/>
      <c r="HU40" s="105"/>
      <c r="HV40" s="105"/>
      <c r="HW40" s="105"/>
      <c r="HX40" s="105"/>
      <c r="HY40" s="105"/>
      <c r="HZ40" s="105"/>
      <c r="IA40" s="105"/>
      <c r="IB40" s="105"/>
      <c r="IC40" s="105"/>
      <c r="ID40" s="105"/>
      <c r="IE40" s="105"/>
      <c r="IF40" s="105"/>
      <c r="IG40" s="105"/>
      <c r="IH40" s="105"/>
      <c r="II40" s="105"/>
      <c r="IJ40" s="105"/>
      <c r="IK40" s="105"/>
      <c r="IL40" s="105"/>
      <c r="IM40" s="105"/>
      <c r="IN40" s="105"/>
      <c r="IO40" s="105"/>
      <c r="IP40" s="105"/>
      <c r="IQ40" s="105"/>
      <c r="IR40" s="105"/>
      <c r="IS40" s="105"/>
      <c r="IT40" s="105"/>
      <c r="IU40" s="105"/>
      <c r="IV40" s="105"/>
      <c r="IW40" s="105"/>
      <c r="IX40" s="105"/>
      <c r="IY40" s="105"/>
      <c r="IZ40" s="105"/>
      <c r="JA40" s="105"/>
      <c r="JB40" s="105"/>
      <c r="JC40" s="105"/>
      <c r="JD40" s="105"/>
      <c r="JE40" s="105"/>
      <c r="JF40" s="105"/>
      <c r="JG40" s="105"/>
      <c r="JH40" s="105"/>
      <c r="JI40" s="105"/>
      <c r="JJ40" s="105"/>
      <c r="JK40" s="105"/>
      <c r="JL40" s="105"/>
      <c r="JM40" s="105"/>
      <c r="JN40" s="105"/>
      <c r="JO40" s="105"/>
      <c r="JP40" s="105"/>
      <c r="JQ40" s="105"/>
      <c r="JR40" s="105"/>
      <c r="JS40" s="105"/>
      <c r="JT40" s="105"/>
      <c r="JU40" s="105"/>
      <c r="JV40" s="105"/>
      <c r="JW40" s="105"/>
      <c r="JX40" s="105"/>
      <c r="JY40" s="105"/>
      <c r="JZ40" s="105"/>
      <c r="KA40" s="105"/>
      <c r="KB40" s="105"/>
      <c r="KC40" s="105"/>
      <c r="KD40" s="105"/>
      <c r="KE40" s="105"/>
      <c r="KF40" s="105"/>
      <c r="KG40" s="105"/>
      <c r="KH40" s="105"/>
      <c r="KI40" s="105"/>
    </row>
    <row r="41" spans="2:295" x14ac:dyDescent="0.25">
      <c r="B41" s="102"/>
      <c r="C41" s="103"/>
      <c r="D41" s="103"/>
      <c r="E41" s="104"/>
      <c r="F41" s="104"/>
      <c r="G41" s="104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  <c r="IT41" s="105"/>
      <c r="IU41" s="105"/>
      <c r="IV41" s="105"/>
      <c r="IW41" s="105"/>
      <c r="IX41" s="105"/>
      <c r="IY41" s="105"/>
      <c r="IZ41" s="105"/>
      <c r="JA41" s="105"/>
      <c r="JB41" s="105"/>
      <c r="JC41" s="105"/>
      <c r="JD41" s="105"/>
      <c r="JE41" s="105"/>
      <c r="JF41" s="105"/>
      <c r="JG41" s="105"/>
      <c r="JH41" s="105"/>
      <c r="JI41" s="105"/>
      <c r="JJ41" s="105"/>
      <c r="JK41" s="105"/>
      <c r="JL41" s="105"/>
      <c r="JM41" s="105"/>
      <c r="JN41" s="105"/>
      <c r="JO41" s="105"/>
      <c r="JP41" s="105"/>
      <c r="JQ41" s="105"/>
      <c r="JR41" s="105"/>
      <c r="JS41" s="105"/>
      <c r="JT41" s="105"/>
      <c r="JU41" s="105"/>
      <c r="JV41" s="105"/>
      <c r="JW41" s="105"/>
      <c r="JX41" s="105"/>
      <c r="JY41" s="105"/>
      <c r="JZ41" s="105"/>
      <c r="KA41" s="105"/>
      <c r="KB41" s="105"/>
      <c r="KC41" s="105"/>
      <c r="KD41" s="105"/>
      <c r="KE41" s="105"/>
      <c r="KF41" s="105"/>
      <c r="KG41" s="105"/>
      <c r="KH41" s="105"/>
      <c r="KI41" s="105"/>
    </row>
    <row r="42" spans="2:295" x14ac:dyDescent="0.25">
      <c r="B42" s="102"/>
      <c r="C42" s="103"/>
      <c r="D42" s="103"/>
      <c r="E42" s="104"/>
      <c r="F42" s="104"/>
      <c r="G42" s="104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/>
      <c r="IF42" s="105"/>
      <c r="IG42" s="105"/>
      <c r="IH42" s="105"/>
      <c r="II42" s="105"/>
      <c r="IJ42" s="105"/>
      <c r="IK42" s="105"/>
      <c r="IL42" s="105"/>
      <c r="IM42" s="105"/>
      <c r="IN42" s="105"/>
      <c r="IO42" s="105"/>
      <c r="IP42" s="105"/>
      <c r="IQ42" s="105"/>
      <c r="IR42" s="105"/>
      <c r="IS42" s="105"/>
      <c r="IT42" s="105"/>
      <c r="IU42" s="105"/>
      <c r="IV42" s="105"/>
      <c r="IW42" s="105"/>
      <c r="IX42" s="105"/>
      <c r="IY42" s="105"/>
      <c r="IZ42" s="105"/>
      <c r="JA42" s="105"/>
      <c r="JB42" s="105"/>
      <c r="JC42" s="105"/>
      <c r="JD42" s="105"/>
      <c r="JE42" s="105"/>
      <c r="JF42" s="105"/>
      <c r="JG42" s="105"/>
      <c r="JH42" s="105"/>
      <c r="JI42" s="105"/>
      <c r="JJ42" s="105"/>
      <c r="JK42" s="105"/>
      <c r="JL42" s="105"/>
      <c r="JM42" s="105"/>
      <c r="JN42" s="105"/>
      <c r="JO42" s="105"/>
      <c r="JP42" s="105"/>
      <c r="JQ42" s="105"/>
      <c r="JR42" s="105"/>
      <c r="JS42" s="105"/>
      <c r="JT42" s="105"/>
      <c r="JU42" s="105"/>
      <c r="JV42" s="105"/>
      <c r="JW42" s="105"/>
      <c r="JX42" s="105"/>
      <c r="JY42" s="105"/>
      <c r="JZ42" s="105"/>
      <c r="KA42" s="105"/>
      <c r="KB42" s="105"/>
      <c r="KC42" s="105"/>
      <c r="KD42" s="105"/>
      <c r="KE42" s="105"/>
      <c r="KF42" s="105"/>
      <c r="KG42" s="105"/>
      <c r="KH42" s="105"/>
      <c r="KI42" s="105"/>
    </row>
    <row r="43" spans="2:295" x14ac:dyDescent="0.25">
      <c r="B43" s="102"/>
      <c r="C43" s="103"/>
      <c r="D43" s="103"/>
      <c r="E43" s="104"/>
      <c r="F43" s="104"/>
      <c r="G43" s="104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F43" s="105"/>
      <c r="GG43" s="105"/>
      <c r="GH43" s="105"/>
      <c r="GI43" s="105"/>
      <c r="GJ43" s="105"/>
      <c r="GK43" s="105"/>
      <c r="GL43" s="105"/>
      <c r="GM43" s="105"/>
      <c r="GN43" s="105"/>
      <c r="GO43" s="105"/>
      <c r="GP43" s="105"/>
      <c r="GQ43" s="105"/>
      <c r="GR43" s="105"/>
      <c r="GS43" s="105"/>
      <c r="GT43" s="105"/>
      <c r="GU43" s="105"/>
      <c r="GV43" s="105"/>
      <c r="GW43" s="105"/>
      <c r="GX43" s="105"/>
      <c r="GY43" s="105"/>
      <c r="GZ43" s="105"/>
      <c r="HA43" s="105"/>
      <c r="HB43" s="105"/>
      <c r="HC43" s="105"/>
      <c r="HD43" s="105"/>
      <c r="HE43" s="105"/>
      <c r="HF43" s="105"/>
      <c r="HG43" s="105"/>
      <c r="HH43" s="105"/>
      <c r="HI43" s="105"/>
      <c r="HJ43" s="105"/>
      <c r="HK43" s="105"/>
      <c r="HL43" s="105"/>
      <c r="HM43" s="105"/>
      <c r="HN43" s="105"/>
      <c r="HO43" s="105"/>
      <c r="HP43" s="105"/>
      <c r="HQ43" s="105"/>
      <c r="HR43" s="105"/>
      <c r="HS43" s="105"/>
      <c r="HT43" s="105"/>
      <c r="HU43" s="105"/>
      <c r="HV43" s="105"/>
      <c r="HW43" s="105"/>
      <c r="HX43" s="105"/>
      <c r="HY43" s="105"/>
      <c r="HZ43" s="105"/>
      <c r="IA43" s="105"/>
      <c r="IB43" s="105"/>
      <c r="IC43" s="105"/>
      <c r="ID43" s="105"/>
      <c r="IE43" s="105"/>
      <c r="IF43" s="105"/>
      <c r="IG43" s="105"/>
      <c r="IH43" s="105"/>
      <c r="II43" s="105"/>
      <c r="IJ43" s="105"/>
      <c r="IK43" s="105"/>
      <c r="IL43" s="105"/>
      <c r="IM43" s="105"/>
      <c r="IN43" s="105"/>
      <c r="IO43" s="105"/>
      <c r="IP43" s="105"/>
      <c r="IQ43" s="105"/>
      <c r="IR43" s="105"/>
      <c r="IS43" s="105"/>
      <c r="IT43" s="105"/>
      <c r="IU43" s="105"/>
      <c r="IV43" s="105"/>
      <c r="IW43" s="105"/>
      <c r="IX43" s="105"/>
      <c r="IY43" s="105"/>
      <c r="IZ43" s="105"/>
      <c r="JA43" s="105"/>
      <c r="JB43" s="105"/>
      <c r="JC43" s="105"/>
      <c r="JD43" s="105"/>
      <c r="JE43" s="105"/>
      <c r="JF43" s="105"/>
      <c r="JG43" s="105"/>
      <c r="JH43" s="105"/>
      <c r="JI43" s="105"/>
      <c r="JJ43" s="105"/>
      <c r="JK43" s="105"/>
      <c r="JL43" s="105"/>
      <c r="JM43" s="105"/>
      <c r="JN43" s="105"/>
      <c r="JO43" s="105"/>
      <c r="JP43" s="105"/>
      <c r="JQ43" s="105"/>
      <c r="JR43" s="105"/>
      <c r="JS43" s="105"/>
      <c r="JT43" s="105"/>
      <c r="JU43" s="105"/>
      <c r="JV43" s="105"/>
      <c r="JW43" s="105"/>
      <c r="JX43" s="105"/>
      <c r="JY43" s="105"/>
      <c r="JZ43" s="105"/>
      <c r="KA43" s="105"/>
      <c r="KB43" s="105"/>
      <c r="KC43" s="105"/>
      <c r="KD43" s="105"/>
      <c r="KE43" s="105"/>
      <c r="KF43" s="105"/>
      <c r="KG43" s="105"/>
      <c r="KH43" s="105"/>
      <c r="KI43" s="105"/>
    </row>
    <row r="46" spans="2:295" ht="23.25" x14ac:dyDescent="0.35">
      <c r="B46" s="203" t="s">
        <v>128</v>
      </c>
      <c r="C46" s="203"/>
      <c r="D46" s="203"/>
      <c r="E46" s="203"/>
    </row>
    <row r="47" spans="2:295" ht="18.75" x14ac:dyDescent="0.25">
      <c r="B47" s="200" t="s">
        <v>135</v>
      </c>
      <c r="C47" s="201"/>
      <c r="D47" s="201"/>
      <c r="E47" s="202"/>
      <c r="F47" s="6" t="s">
        <v>128</v>
      </c>
      <c r="G47" s="6" t="s">
        <v>128</v>
      </c>
      <c r="H47" s="6" t="s">
        <v>128</v>
      </c>
      <c r="I47" s="6" t="s">
        <v>128</v>
      </c>
      <c r="J47" s="6" t="s">
        <v>128</v>
      </c>
      <c r="K47" s="6" t="s">
        <v>128</v>
      </c>
      <c r="L47" s="6" t="s">
        <v>128</v>
      </c>
      <c r="M47" s="6" t="s">
        <v>128</v>
      </c>
      <c r="N47" s="6" t="s">
        <v>128</v>
      </c>
      <c r="O47" s="6" t="s">
        <v>128</v>
      </c>
      <c r="P47" s="6" t="s">
        <v>128</v>
      </c>
      <c r="Q47" s="6" t="s">
        <v>128</v>
      </c>
      <c r="R47" s="6" t="s">
        <v>128</v>
      </c>
      <c r="S47" s="6" t="s">
        <v>128</v>
      </c>
      <c r="T47" s="6" t="s">
        <v>128</v>
      </c>
      <c r="U47" s="6" t="s">
        <v>128</v>
      </c>
      <c r="V47" s="6" t="s">
        <v>128</v>
      </c>
      <c r="W47" s="6" t="s">
        <v>128</v>
      </c>
      <c r="X47" s="6" t="s">
        <v>128</v>
      </c>
      <c r="Y47" s="6" t="s">
        <v>128</v>
      </c>
      <c r="Z47" s="6" t="s">
        <v>128</v>
      </c>
      <c r="AA47" s="6" t="s">
        <v>128</v>
      </c>
      <c r="AB47" s="6" t="s">
        <v>128</v>
      </c>
      <c r="AC47" s="6" t="s">
        <v>128</v>
      </c>
      <c r="AD47" s="6" t="s">
        <v>128</v>
      </c>
      <c r="AE47" s="6" t="s">
        <v>128</v>
      </c>
      <c r="AF47" s="6" t="s">
        <v>128</v>
      </c>
      <c r="AG47" s="6" t="s">
        <v>128</v>
      </c>
      <c r="AH47" s="6" t="s">
        <v>128</v>
      </c>
      <c r="AI47" s="6" t="s">
        <v>128</v>
      </c>
      <c r="AJ47" s="6" t="s">
        <v>128</v>
      </c>
      <c r="AK47" s="6" t="s">
        <v>128</v>
      </c>
      <c r="AL47" s="6" t="s">
        <v>128</v>
      </c>
      <c r="AM47" s="6" t="s">
        <v>128</v>
      </c>
      <c r="AN47" s="6" t="s">
        <v>128</v>
      </c>
      <c r="AO47" s="6" t="s">
        <v>128</v>
      </c>
      <c r="AP47" s="6" t="s">
        <v>128</v>
      </c>
      <c r="AQ47" s="6" t="s">
        <v>128</v>
      </c>
      <c r="AR47" s="6" t="s">
        <v>128</v>
      </c>
      <c r="AS47" s="6" t="s">
        <v>128</v>
      </c>
      <c r="AT47" s="6" t="s">
        <v>128</v>
      </c>
      <c r="AU47" s="6" t="s">
        <v>128</v>
      </c>
      <c r="AV47" s="6" t="s">
        <v>128</v>
      </c>
      <c r="AW47" s="6" t="s">
        <v>128</v>
      </c>
      <c r="AX47" s="6" t="s">
        <v>128</v>
      </c>
      <c r="AY47" s="6" t="s">
        <v>128</v>
      </c>
      <c r="AZ47" s="6" t="s">
        <v>128</v>
      </c>
      <c r="BA47" s="6" t="s">
        <v>128</v>
      </c>
      <c r="BB47" s="6" t="s">
        <v>128</v>
      </c>
      <c r="BC47" s="6" t="s">
        <v>128</v>
      </c>
      <c r="BD47" s="6" t="s">
        <v>128</v>
      </c>
      <c r="BE47" s="6" t="s">
        <v>128</v>
      </c>
      <c r="BF47" s="6" t="s">
        <v>128</v>
      </c>
      <c r="BG47" s="6" t="s">
        <v>128</v>
      </c>
      <c r="BH47" s="6" t="s">
        <v>128</v>
      </c>
      <c r="BI47" s="6" t="s">
        <v>128</v>
      </c>
      <c r="BJ47" s="6" t="s">
        <v>128</v>
      </c>
      <c r="BK47" s="6" t="s">
        <v>128</v>
      </c>
      <c r="BL47" s="6" t="s">
        <v>128</v>
      </c>
      <c r="BM47" s="6" t="s">
        <v>128</v>
      </c>
      <c r="BN47" s="6" t="s">
        <v>128</v>
      </c>
      <c r="BO47" s="6" t="s">
        <v>128</v>
      </c>
      <c r="BP47" s="6" t="s">
        <v>128</v>
      </c>
      <c r="BQ47" s="6" t="s">
        <v>128</v>
      </c>
      <c r="BR47" s="6" t="s">
        <v>128</v>
      </c>
      <c r="BS47" s="6" t="s">
        <v>128</v>
      </c>
      <c r="BT47" s="6" t="s">
        <v>128</v>
      </c>
      <c r="BU47" s="6" t="s">
        <v>128</v>
      </c>
      <c r="BV47" s="6" t="s">
        <v>128</v>
      </c>
      <c r="BW47" s="6" t="s">
        <v>128</v>
      </c>
      <c r="BX47" s="6" t="s">
        <v>128</v>
      </c>
      <c r="BY47" s="6" t="s">
        <v>128</v>
      </c>
      <c r="BZ47" s="6" t="s">
        <v>128</v>
      </c>
      <c r="CA47" s="6" t="s">
        <v>128</v>
      </c>
      <c r="CB47" s="6" t="s">
        <v>128</v>
      </c>
      <c r="CC47" s="6" t="s">
        <v>128</v>
      </c>
      <c r="CD47" s="6" t="s">
        <v>128</v>
      </c>
      <c r="CE47" s="6" t="s">
        <v>128</v>
      </c>
      <c r="CF47" s="6" t="s">
        <v>128</v>
      </c>
      <c r="CG47" s="6" t="s">
        <v>128</v>
      </c>
      <c r="CH47" s="6" t="s">
        <v>128</v>
      </c>
      <c r="CI47" s="6" t="s">
        <v>128</v>
      </c>
      <c r="CJ47" s="6" t="s">
        <v>128</v>
      </c>
      <c r="CK47" s="6" t="s">
        <v>128</v>
      </c>
      <c r="CL47" s="6" t="s">
        <v>128</v>
      </c>
      <c r="CM47" s="6" t="s">
        <v>128</v>
      </c>
      <c r="CN47" s="6" t="s">
        <v>128</v>
      </c>
      <c r="CO47" s="6" t="s">
        <v>128</v>
      </c>
      <c r="CP47" s="6" t="s">
        <v>128</v>
      </c>
      <c r="CQ47" s="6" t="s">
        <v>128</v>
      </c>
      <c r="CR47" s="6" t="s">
        <v>128</v>
      </c>
      <c r="CS47" s="6" t="s">
        <v>128</v>
      </c>
      <c r="CT47" s="6" t="s">
        <v>128</v>
      </c>
      <c r="CU47" s="6" t="s">
        <v>128</v>
      </c>
      <c r="CV47" s="6" t="s">
        <v>128</v>
      </c>
      <c r="CW47" s="6" t="s">
        <v>128</v>
      </c>
      <c r="CX47" s="6" t="s">
        <v>128</v>
      </c>
      <c r="CY47" s="6" t="s">
        <v>128</v>
      </c>
      <c r="CZ47" s="6" t="s">
        <v>128</v>
      </c>
      <c r="DA47" s="6" t="s">
        <v>128</v>
      </c>
      <c r="DB47" s="6" t="s">
        <v>128</v>
      </c>
      <c r="DC47" s="6" t="s">
        <v>128</v>
      </c>
      <c r="DD47" s="6" t="s">
        <v>128</v>
      </c>
      <c r="DE47" s="6" t="s">
        <v>128</v>
      </c>
      <c r="DF47" s="6" t="s">
        <v>128</v>
      </c>
      <c r="DG47" s="6" t="s">
        <v>128</v>
      </c>
      <c r="DH47" s="6" t="s">
        <v>128</v>
      </c>
      <c r="DI47" s="6" t="s">
        <v>128</v>
      </c>
      <c r="DJ47" s="6" t="s">
        <v>128</v>
      </c>
      <c r="DK47" s="6" t="s">
        <v>128</v>
      </c>
      <c r="DL47" s="6" t="s">
        <v>128</v>
      </c>
      <c r="DM47" s="6" t="s">
        <v>128</v>
      </c>
      <c r="DN47" s="6" t="s">
        <v>128</v>
      </c>
      <c r="DO47" s="6" t="s">
        <v>128</v>
      </c>
      <c r="DP47" s="6" t="s">
        <v>128</v>
      </c>
      <c r="DQ47" s="6" t="s">
        <v>128</v>
      </c>
      <c r="DR47" s="6" t="s">
        <v>128</v>
      </c>
      <c r="DS47" s="6" t="s">
        <v>128</v>
      </c>
      <c r="DT47" s="6" t="s">
        <v>128</v>
      </c>
      <c r="DU47" s="6" t="s">
        <v>128</v>
      </c>
      <c r="DV47" s="6" t="s">
        <v>128</v>
      </c>
      <c r="DW47" s="6" t="s">
        <v>128</v>
      </c>
      <c r="DX47" s="6" t="s">
        <v>128</v>
      </c>
      <c r="DY47" s="6" t="s">
        <v>128</v>
      </c>
      <c r="DZ47" s="6" t="s">
        <v>128</v>
      </c>
      <c r="EA47" s="6" t="s">
        <v>128</v>
      </c>
      <c r="EB47" s="6" t="s">
        <v>128</v>
      </c>
      <c r="EC47" s="6" t="s">
        <v>128</v>
      </c>
      <c r="ED47" s="6" t="s">
        <v>128</v>
      </c>
      <c r="EE47" s="6" t="s">
        <v>128</v>
      </c>
      <c r="EF47" s="6" t="s">
        <v>128</v>
      </c>
      <c r="EG47" s="6" t="s">
        <v>128</v>
      </c>
      <c r="EH47" s="6" t="s">
        <v>128</v>
      </c>
      <c r="EI47" s="6" t="s">
        <v>128</v>
      </c>
      <c r="EJ47" s="6" t="s">
        <v>128</v>
      </c>
      <c r="EK47" s="6" t="s">
        <v>128</v>
      </c>
      <c r="EL47" s="6" t="s">
        <v>128</v>
      </c>
      <c r="EM47" s="6" t="s">
        <v>128</v>
      </c>
      <c r="EN47" s="6" t="s">
        <v>128</v>
      </c>
      <c r="EO47" s="6" t="s">
        <v>128</v>
      </c>
      <c r="EP47" s="6" t="s">
        <v>128</v>
      </c>
      <c r="EQ47" s="6" t="s">
        <v>128</v>
      </c>
      <c r="ER47" s="6" t="s">
        <v>128</v>
      </c>
      <c r="ES47" s="6" t="s">
        <v>128</v>
      </c>
      <c r="ET47" s="6" t="s">
        <v>128</v>
      </c>
      <c r="EU47" s="6" t="s">
        <v>128</v>
      </c>
      <c r="EV47" s="6" t="s">
        <v>128</v>
      </c>
      <c r="EW47" s="6" t="s">
        <v>128</v>
      </c>
      <c r="EX47" s="6" t="s">
        <v>128</v>
      </c>
      <c r="EY47" s="6" t="s">
        <v>128</v>
      </c>
      <c r="EZ47" s="6" t="s">
        <v>128</v>
      </c>
      <c r="FA47" s="6" t="s">
        <v>128</v>
      </c>
      <c r="FB47" s="6" t="s">
        <v>128</v>
      </c>
      <c r="FC47" s="6" t="s">
        <v>128</v>
      </c>
      <c r="FD47" s="6" t="s">
        <v>128</v>
      </c>
      <c r="FE47" s="6" t="s">
        <v>128</v>
      </c>
      <c r="FF47" s="6" t="s">
        <v>128</v>
      </c>
      <c r="FG47" s="6" t="s">
        <v>128</v>
      </c>
      <c r="FH47" s="6" t="s">
        <v>128</v>
      </c>
      <c r="FI47" s="6" t="s">
        <v>128</v>
      </c>
      <c r="FJ47" s="6" t="s">
        <v>128</v>
      </c>
      <c r="FK47" s="6" t="s">
        <v>128</v>
      </c>
      <c r="FL47" s="6" t="s">
        <v>128</v>
      </c>
      <c r="FM47" s="6" t="s">
        <v>128</v>
      </c>
      <c r="FN47" s="6" t="s">
        <v>128</v>
      </c>
      <c r="FO47" s="6" t="s">
        <v>128</v>
      </c>
      <c r="FP47" s="6" t="s">
        <v>128</v>
      </c>
      <c r="FQ47" s="6" t="s">
        <v>128</v>
      </c>
      <c r="FR47" s="6" t="s">
        <v>128</v>
      </c>
      <c r="FS47" s="6" t="s">
        <v>128</v>
      </c>
      <c r="FT47" s="6" t="s">
        <v>128</v>
      </c>
      <c r="FU47" s="6" t="s">
        <v>128</v>
      </c>
      <c r="FV47" s="6" t="s">
        <v>128</v>
      </c>
      <c r="FW47" s="6" t="s">
        <v>128</v>
      </c>
      <c r="FX47" s="6" t="s">
        <v>128</v>
      </c>
      <c r="FY47" s="6" t="s">
        <v>128</v>
      </c>
      <c r="FZ47" s="6" t="s">
        <v>128</v>
      </c>
      <c r="GA47" s="6" t="s">
        <v>128</v>
      </c>
      <c r="GB47" s="6" t="s">
        <v>128</v>
      </c>
      <c r="GC47" s="6" t="s">
        <v>128</v>
      </c>
      <c r="GD47" s="6" t="s">
        <v>128</v>
      </c>
      <c r="GE47" s="6" t="s">
        <v>128</v>
      </c>
      <c r="GF47" s="6" t="s">
        <v>128</v>
      </c>
      <c r="GG47" s="6" t="s">
        <v>128</v>
      </c>
      <c r="GH47" s="6" t="s">
        <v>128</v>
      </c>
      <c r="GI47" s="6" t="s">
        <v>128</v>
      </c>
      <c r="GJ47" s="6" t="s">
        <v>128</v>
      </c>
      <c r="GK47" s="6" t="s">
        <v>128</v>
      </c>
      <c r="GL47" s="6" t="s">
        <v>128</v>
      </c>
      <c r="GM47" s="6" t="s">
        <v>128</v>
      </c>
      <c r="GN47" s="6" t="s">
        <v>128</v>
      </c>
      <c r="GO47" s="6" t="s">
        <v>128</v>
      </c>
      <c r="GP47" s="6" t="s">
        <v>128</v>
      </c>
      <c r="GQ47" s="6" t="s">
        <v>128</v>
      </c>
      <c r="GR47" s="6" t="s">
        <v>128</v>
      </c>
      <c r="GS47" s="6" t="s">
        <v>128</v>
      </c>
      <c r="GT47" s="6" t="s">
        <v>128</v>
      </c>
      <c r="GU47" s="6" t="s">
        <v>128</v>
      </c>
      <c r="GV47" s="6" t="s">
        <v>128</v>
      </c>
      <c r="GW47" s="6" t="s">
        <v>128</v>
      </c>
      <c r="GX47" s="6" t="s">
        <v>128</v>
      </c>
      <c r="GY47" s="6" t="s">
        <v>128</v>
      </c>
      <c r="GZ47" s="6" t="s">
        <v>128</v>
      </c>
      <c r="HA47" s="6" t="s">
        <v>128</v>
      </c>
      <c r="HB47" s="6" t="s">
        <v>128</v>
      </c>
      <c r="HC47" s="6" t="s">
        <v>128</v>
      </c>
      <c r="HD47" s="6" t="s">
        <v>128</v>
      </c>
      <c r="HE47" s="6" t="s">
        <v>128</v>
      </c>
      <c r="HF47" s="6" t="s">
        <v>128</v>
      </c>
      <c r="HG47" s="6" t="s">
        <v>128</v>
      </c>
      <c r="HH47" s="6" t="s">
        <v>128</v>
      </c>
      <c r="HI47" s="6" t="s">
        <v>128</v>
      </c>
      <c r="HJ47" s="6" t="s">
        <v>128</v>
      </c>
      <c r="HK47" s="6" t="s">
        <v>128</v>
      </c>
      <c r="HL47" s="6" t="s">
        <v>128</v>
      </c>
      <c r="HM47" s="6" t="s">
        <v>128</v>
      </c>
      <c r="HN47" s="6" t="s">
        <v>128</v>
      </c>
      <c r="HO47" s="6" t="s">
        <v>128</v>
      </c>
      <c r="HP47" s="6" t="s">
        <v>128</v>
      </c>
      <c r="HQ47" s="6" t="s">
        <v>128</v>
      </c>
      <c r="HR47" s="6" t="s">
        <v>128</v>
      </c>
      <c r="HS47" s="6" t="s">
        <v>128</v>
      </c>
      <c r="HT47" s="6" t="s">
        <v>128</v>
      </c>
      <c r="HU47" s="6" t="s">
        <v>128</v>
      </c>
      <c r="HV47" s="6" t="s">
        <v>128</v>
      </c>
      <c r="HW47" s="6" t="s">
        <v>128</v>
      </c>
      <c r="HX47" s="6" t="s">
        <v>128</v>
      </c>
      <c r="HY47" s="6" t="s">
        <v>128</v>
      </c>
      <c r="HZ47" s="6" t="s">
        <v>128</v>
      </c>
      <c r="IA47" s="6" t="s">
        <v>128</v>
      </c>
      <c r="IB47" s="6" t="s">
        <v>128</v>
      </c>
      <c r="IC47" s="6" t="s">
        <v>128</v>
      </c>
      <c r="ID47" s="6" t="s">
        <v>128</v>
      </c>
      <c r="IE47" s="6" t="s">
        <v>128</v>
      </c>
      <c r="IF47" s="6" t="s">
        <v>128</v>
      </c>
      <c r="IG47" s="6" t="s">
        <v>128</v>
      </c>
      <c r="IH47" s="6" t="s">
        <v>128</v>
      </c>
      <c r="II47" s="6" t="s">
        <v>128</v>
      </c>
      <c r="IJ47" s="6" t="s">
        <v>128</v>
      </c>
      <c r="IK47" s="6" t="s">
        <v>128</v>
      </c>
      <c r="IL47" s="6" t="s">
        <v>128</v>
      </c>
      <c r="IM47" s="6" t="s">
        <v>128</v>
      </c>
      <c r="IN47" s="6" t="s">
        <v>128</v>
      </c>
      <c r="IO47" s="6" t="s">
        <v>128</v>
      </c>
      <c r="IP47" s="6" t="s">
        <v>128</v>
      </c>
      <c r="IQ47" s="6" t="s">
        <v>128</v>
      </c>
      <c r="IR47" s="6" t="s">
        <v>128</v>
      </c>
      <c r="IS47" s="6" t="s">
        <v>128</v>
      </c>
      <c r="IT47" s="6" t="s">
        <v>128</v>
      </c>
      <c r="IU47" s="6" t="s">
        <v>128</v>
      </c>
      <c r="IV47" s="6" t="s">
        <v>128</v>
      </c>
      <c r="IW47" s="6" t="s">
        <v>128</v>
      </c>
      <c r="IX47" s="6" t="s">
        <v>128</v>
      </c>
      <c r="IY47" s="6" t="s">
        <v>128</v>
      </c>
      <c r="IZ47" s="6" t="s">
        <v>128</v>
      </c>
      <c r="JA47" s="6" t="s">
        <v>128</v>
      </c>
      <c r="JB47" s="6" t="s">
        <v>128</v>
      </c>
      <c r="JC47" s="6" t="s">
        <v>128</v>
      </c>
      <c r="JD47" s="6" t="s">
        <v>128</v>
      </c>
      <c r="JE47" s="6" t="s">
        <v>128</v>
      </c>
      <c r="JF47" s="6" t="s">
        <v>128</v>
      </c>
      <c r="JG47" s="6" t="s">
        <v>128</v>
      </c>
      <c r="JH47" s="6" t="s">
        <v>128</v>
      </c>
      <c r="JI47" s="6" t="s">
        <v>128</v>
      </c>
      <c r="JJ47" s="6" t="s">
        <v>128</v>
      </c>
      <c r="JK47" s="6" t="s">
        <v>128</v>
      </c>
      <c r="JL47" s="6" t="s">
        <v>128</v>
      </c>
      <c r="JM47" s="6" t="s">
        <v>128</v>
      </c>
      <c r="JN47" s="6" t="s">
        <v>128</v>
      </c>
      <c r="JO47" s="6" t="s">
        <v>128</v>
      </c>
      <c r="JP47" s="6" t="s">
        <v>128</v>
      </c>
      <c r="JQ47" s="6" t="s">
        <v>128</v>
      </c>
      <c r="JR47" s="6" t="s">
        <v>128</v>
      </c>
      <c r="JS47" s="6" t="s">
        <v>128</v>
      </c>
      <c r="JT47" s="6" t="s">
        <v>128</v>
      </c>
      <c r="JU47" s="6" t="s">
        <v>128</v>
      </c>
      <c r="JV47" s="6" t="s">
        <v>128</v>
      </c>
      <c r="JW47" s="6" t="s">
        <v>128</v>
      </c>
      <c r="JX47" s="6" t="s">
        <v>128</v>
      </c>
      <c r="JY47" s="6" t="s">
        <v>128</v>
      </c>
      <c r="JZ47" s="6" t="s">
        <v>128</v>
      </c>
      <c r="KA47" s="6" t="s">
        <v>128</v>
      </c>
      <c r="KB47" s="6" t="s">
        <v>128</v>
      </c>
      <c r="KC47" s="6" t="s">
        <v>128</v>
      </c>
      <c r="KD47" s="6" t="s">
        <v>128</v>
      </c>
      <c r="KE47" s="6" t="s">
        <v>128</v>
      </c>
      <c r="KF47" s="6" t="s">
        <v>128</v>
      </c>
      <c r="KG47" s="6" t="s">
        <v>128</v>
      </c>
      <c r="KH47" s="6" t="s">
        <v>128</v>
      </c>
      <c r="KI47" s="6" t="s">
        <v>128</v>
      </c>
    </row>
    <row r="48" spans="2:295" ht="35.25" customHeight="1" x14ac:dyDescent="0.25">
      <c r="B48" s="95" t="str">
        <f t="shared" ref="B48:E49" si="2">B5</f>
        <v>Sl.</v>
      </c>
      <c r="C48" s="96" t="str">
        <f t="shared" si="2"/>
        <v>Wing</v>
      </c>
      <c r="D48" s="96" t="str">
        <f t="shared" si="2"/>
        <v>Name</v>
      </c>
      <c r="E48" s="95" t="str">
        <f t="shared" si="2"/>
        <v>ID</v>
      </c>
      <c r="F48" s="109" t="s">
        <v>132</v>
      </c>
      <c r="G48" s="108" t="s">
        <v>133</v>
      </c>
      <c r="H48" s="100" t="s">
        <v>127</v>
      </c>
      <c r="I48" s="107" t="s">
        <v>136</v>
      </c>
      <c r="J48" s="100" t="s">
        <v>127</v>
      </c>
      <c r="K48" s="107" t="s">
        <v>136</v>
      </c>
      <c r="L48" s="100" t="s">
        <v>127</v>
      </c>
      <c r="M48" s="107" t="s">
        <v>136</v>
      </c>
      <c r="N48" s="100" t="s">
        <v>127</v>
      </c>
      <c r="O48" s="107" t="s">
        <v>136</v>
      </c>
      <c r="P48" s="100" t="s">
        <v>127</v>
      </c>
      <c r="Q48" s="107" t="s">
        <v>136</v>
      </c>
      <c r="R48" s="100" t="s">
        <v>127</v>
      </c>
      <c r="S48" s="107" t="s">
        <v>136</v>
      </c>
      <c r="T48" s="100" t="s">
        <v>127</v>
      </c>
      <c r="U48" s="107" t="s">
        <v>136</v>
      </c>
      <c r="V48" s="100" t="s">
        <v>127</v>
      </c>
      <c r="W48" s="107" t="s">
        <v>136</v>
      </c>
      <c r="X48" s="100" t="s">
        <v>127</v>
      </c>
      <c r="Y48" s="107" t="s">
        <v>136</v>
      </c>
      <c r="Z48" s="100" t="s">
        <v>127</v>
      </c>
      <c r="AA48" s="107" t="s">
        <v>136</v>
      </c>
      <c r="AB48" s="100" t="s">
        <v>127</v>
      </c>
      <c r="AC48" s="107" t="s">
        <v>136</v>
      </c>
      <c r="AD48" s="100" t="s">
        <v>127</v>
      </c>
      <c r="AE48" s="107" t="s">
        <v>136</v>
      </c>
      <c r="AF48" s="100" t="s">
        <v>127</v>
      </c>
      <c r="AG48" s="107" t="s">
        <v>136</v>
      </c>
      <c r="AH48" s="100" t="s">
        <v>127</v>
      </c>
      <c r="AI48" s="107" t="s">
        <v>136</v>
      </c>
      <c r="AJ48" s="100" t="s">
        <v>127</v>
      </c>
      <c r="AK48" s="107" t="s">
        <v>136</v>
      </c>
      <c r="AL48" s="100" t="s">
        <v>127</v>
      </c>
      <c r="AM48" s="107" t="s">
        <v>136</v>
      </c>
      <c r="AN48" s="100" t="s">
        <v>127</v>
      </c>
      <c r="AO48" s="107" t="s">
        <v>136</v>
      </c>
      <c r="AP48" s="100" t="s">
        <v>127</v>
      </c>
      <c r="AQ48" s="107" t="s">
        <v>136</v>
      </c>
      <c r="AR48" s="100" t="s">
        <v>127</v>
      </c>
      <c r="AS48" s="107" t="s">
        <v>136</v>
      </c>
      <c r="AT48" s="100" t="s">
        <v>127</v>
      </c>
      <c r="AU48" s="107" t="s">
        <v>136</v>
      </c>
      <c r="AV48" s="100" t="s">
        <v>127</v>
      </c>
      <c r="AW48" s="107" t="s">
        <v>136</v>
      </c>
      <c r="AX48" s="100" t="s">
        <v>127</v>
      </c>
      <c r="AY48" s="107" t="s">
        <v>136</v>
      </c>
      <c r="AZ48" s="100" t="s">
        <v>127</v>
      </c>
      <c r="BA48" s="107" t="s">
        <v>136</v>
      </c>
      <c r="BB48" s="100" t="s">
        <v>127</v>
      </c>
      <c r="BC48" s="107" t="s">
        <v>136</v>
      </c>
      <c r="BD48" s="100" t="s">
        <v>127</v>
      </c>
      <c r="BE48" s="107" t="s">
        <v>136</v>
      </c>
      <c r="BF48" s="100" t="s">
        <v>127</v>
      </c>
      <c r="BG48" s="107" t="s">
        <v>136</v>
      </c>
      <c r="BH48" s="100" t="s">
        <v>127</v>
      </c>
      <c r="BI48" s="107" t="s">
        <v>136</v>
      </c>
      <c r="BJ48" s="100" t="s">
        <v>127</v>
      </c>
      <c r="BK48" s="107" t="s">
        <v>136</v>
      </c>
      <c r="BL48" s="100" t="s">
        <v>127</v>
      </c>
      <c r="BM48" s="107" t="s">
        <v>136</v>
      </c>
      <c r="BN48" s="100" t="s">
        <v>127</v>
      </c>
      <c r="BO48" s="107" t="s">
        <v>136</v>
      </c>
      <c r="BP48" s="100" t="s">
        <v>127</v>
      </c>
      <c r="BQ48" s="107" t="s">
        <v>136</v>
      </c>
      <c r="BR48" s="100" t="s">
        <v>127</v>
      </c>
      <c r="BS48" s="107" t="s">
        <v>136</v>
      </c>
      <c r="BT48" s="100" t="s">
        <v>127</v>
      </c>
      <c r="BU48" s="107" t="s">
        <v>136</v>
      </c>
      <c r="BV48" s="100" t="s">
        <v>127</v>
      </c>
      <c r="BW48" s="107" t="s">
        <v>136</v>
      </c>
      <c r="BX48" s="100" t="s">
        <v>127</v>
      </c>
      <c r="BY48" s="107" t="s">
        <v>136</v>
      </c>
      <c r="BZ48" s="100" t="s">
        <v>127</v>
      </c>
      <c r="CA48" s="107" t="s">
        <v>136</v>
      </c>
      <c r="CB48" s="100" t="s">
        <v>127</v>
      </c>
      <c r="CC48" s="107" t="s">
        <v>136</v>
      </c>
      <c r="CD48" s="100" t="s">
        <v>127</v>
      </c>
      <c r="CE48" s="107" t="s">
        <v>136</v>
      </c>
      <c r="CF48" s="100" t="s">
        <v>127</v>
      </c>
      <c r="CG48" s="107" t="s">
        <v>136</v>
      </c>
      <c r="CH48" s="100" t="s">
        <v>127</v>
      </c>
      <c r="CI48" s="107" t="s">
        <v>136</v>
      </c>
      <c r="CJ48" s="100" t="s">
        <v>127</v>
      </c>
      <c r="CK48" s="107" t="s">
        <v>136</v>
      </c>
      <c r="CL48" s="100" t="s">
        <v>127</v>
      </c>
      <c r="CM48" s="107" t="s">
        <v>136</v>
      </c>
      <c r="CN48" s="100" t="s">
        <v>127</v>
      </c>
      <c r="CO48" s="107" t="s">
        <v>136</v>
      </c>
      <c r="CP48" s="100" t="s">
        <v>127</v>
      </c>
      <c r="CQ48" s="107" t="s">
        <v>136</v>
      </c>
      <c r="CR48" s="100" t="s">
        <v>127</v>
      </c>
      <c r="CS48" s="107" t="s">
        <v>136</v>
      </c>
      <c r="CT48" s="100" t="s">
        <v>127</v>
      </c>
      <c r="CU48" s="107" t="s">
        <v>136</v>
      </c>
      <c r="CV48" s="100" t="s">
        <v>127</v>
      </c>
      <c r="CW48" s="107" t="s">
        <v>136</v>
      </c>
      <c r="CX48" s="100" t="s">
        <v>127</v>
      </c>
      <c r="CY48" s="107" t="s">
        <v>136</v>
      </c>
      <c r="CZ48" s="100" t="s">
        <v>127</v>
      </c>
      <c r="DA48" s="107" t="s">
        <v>136</v>
      </c>
      <c r="DB48" s="100" t="s">
        <v>127</v>
      </c>
      <c r="DC48" s="107" t="s">
        <v>136</v>
      </c>
      <c r="DD48" s="100" t="s">
        <v>127</v>
      </c>
      <c r="DE48" s="107" t="s">
        <v>136</v>
      </c>
      <c r="DF48" s="100" t="s">
        <v>127</v>
      </c>
      <c r="DG48" s="107" t="s">
        <v>136</v>
      </c>
      <c r="DH48" s="100" t="s">
        <v>127</v>
      </c>
      <c r="DI48" s="107" t="s">
        <v>136</v>
      </c>
      <c r="DJ48" s="100" t="s">
        <v>127</v>
      </c>
      <c r="DK48" s="107" t="s">
        <v>136</v>
      </c>
      <c r="DL48" s="100" t="s">
        <v>127</v>
      </c>
      <c r="DM48" s="107" t="s">
        <v>136</v>
      </c>
      <c r="DN48" s="100" t="s">
        <v>127</v>
      </c>
      <c r="DO48" s="107" t="s">
        <v>136</v>
      </c>
      <c r="DP48" s="100" t="s">
        <v>127</v>
      </c>
      <c r="DQ48" s="107" t="s">
        <v>136</v>
      </c>
      <c r="DR48" s="100" t="s">
        <v>127</v>
      </c>
      <c r="DS48" s="107" t="s">
        <v>136</v>
      </c>
      <c r="DT48" s="100" t="s">
        <v>127</v>
      </c>
      <c r="DU48" s="107" t="s">
        <v>136</v>
      </c>
      <c r="DV48" s="100" t="s">
        <v>127</v>
      </c>
      <c r="DW48" s="107" t="s">
        <v>136</v>
      </c>
      <c r="DX48" s="100" t="s">
        <v>127</v>
      </c>
      <c r="DY48" s="107" t="s">
        <v>136</v>
      </c>
      <c r="DZ48" s="100" t="s">
        <v>127</v>
      </c>
      <c r="EA48" s="107" t="s">
        <v>136</v>
      </c>
      <c r="EB48" s="100" t="s">
        <v>127</v>
      </c>
      <c r="EC48" s="107" t="s">
        <v>136</v>
      </c>
      <c r="ED48" s="100" t="s">
        <v>127</v>
      </c>
      <c r="EE48" s="107" t="s">
        <v>136</v>
      </c>
      <c r="EF48" s="100" t="s">
        <v>127</v>
      </c>
      <c r="EG48" s="107" t="s">
        <v>136</v>
      </c>
      <c r="EH48" s="100" t="s">
        <v>127</v>
      </c>
      <c r="EI48" s="107" t="s">
        <v>136</v>
      </c>
      <c r="EJ48" s="100" t="s">
        <v>127</v>
      </c>
      <c r="EK48" s="107" t="s">
        <v>136</v>
      </c>
      <c r="EL48" s="100" t="s">
        <v>127</v>
      </c>
      <c r="EM48" s="107" t="s">
        <v>136</v>
      </c>
      <c r="EN48" s="100" t="s">
        <v>127</v>
      </c>
      <c r="EO48" s="107" t="s">
        <v>136</v>
      </c>
      <c r="EP48" s="100" t="s">
        <v>127</v>
      </c>
      <c r="EQ48" s="107" t="s">
        <v>136</v>
      </c>
      <c r="ER48" s="100" t="s">
        <v>127</v>
      </c>
      <c r="ES48" s="107" t="s">
        <v>136</v>
      </c>
      <c r="ET48" s="100" t="s">
        <v>127</v>
      </c>
      <c r="EU48" s="107" t="s">
        <v>136</v>
      </c>
      <c r="EV48" s="100" t="s">
        <v>127</v>
      </c>
      <c r="EW48" s="107" t="s">
        <v>136</v>
      </c>
      <c r="EX48" s="100" t="s">
        <v>127</v>
      </c>
      <c r="EY48" s="107" t="s">
        <v>136</v>
      </c>
      <c r="EZ48" s="100" t="s">
        <v>127</v>
      </c>
      <c r="FA48" s="107" t="s">
        <v>136</v>
      </c>
      <c r="FB48" s="100" t="s">
        <v>127</v>
      </c>
      <c r="FC48" s="107" t="s">
        <v>136</v>
      </c>
      <c r="FD48" s="100" t="s">
        <v>127</v>
      </c>
      <c r="FE48" s="107" t="s">
        <v>136</v>
      </c>
      <c r="FF48" s="100" t="s">
        <v>127</v>
      </c>
      <c r="FG48" s="107" t="s">
        <v>136</v>
      </c>
      <c r="FH48" s="100" t="s">
        <v>127</v>
      </c>
      <c r="FI48" s="107" t="s">
        <v>136</v>
      </c>
      <c r="FJ48" s="100" t="s">
        <v>127</v>
      </c>
      <c r="FK48" s="107" t="s">
        <v>136</v>
      </c>
      <c r="FL48" s="100" t="s">
        <v>127</v>
      </c>
      <c r="FM48" s="107" t="s">
        <v>136</v>
      </c>
      <c r="FN48" s="100" t="s">
        <v>127</v>
      </c>
      <c r="FO48" s="107" t="s">
        <v>136</v>
      </c>
      <c r="FP48" s="100" t="s">
        <v>127</v>
      </c>
      <c r="FQ48" s="107" t="s">
        <v>136</v>
      </c>
      <c r="FR48" s="100" t="s">
        <v>127</v>
      </c>
      <c r="FS48" s="107" t="s">
        <v>136</v>
      </c>
      <c r="FT48" s="100" t="s">
        <v>127</v>
      </c>
      <c r="FU48" s="107" t="s">
        <v>136</v>
      </c>
      <c r="FV48" s="100" t="s">
        <v>127</v>
      </c>
      <c r="FW48" s="107" t="s">
        <v>136</v>
      </c>
      <c r="FX48" s="100" t="s">
        <v>127</v>
      </c>
      <c r="FY48" s="107" t="s">
        <v>136</v>
      </c>
      <c r="FZ48" s="100" t="s">
        <v>127</v>
      </c>
      <c r="GA48" s="107" t="s">
        <v>136</v>
      </c>
      <c r="GB48" s="100" t="s">
        <v>127</v>
      </c>
      <c r="GC48" s="107" t="s">
        <v>136</v>
      </c>
      <c r="GD48" s="100" t="s">
        <v>127</v>
      </c>
      <c r="GE48" s="107" t="s">
        <v>136</v>
      </c>
      <c r="GF48" s="100" t="s">
        <v>127</v>
      </c>
      <c r="GG48" s="107" t="s">
        <v>136</v>
      </c>
      <c r="GH48" s="100" t="s">
        <v>127</v>
      </c>
      <c r="GI48" s="107" t="s">
        <v>136</v>
      </c>
      <c r="GJ48" s="100" t="s">
        <v>127</v>
      </c>
      <c r="GK48" s="107" t="s">
        <v>136</v>
      </c>
      <c r="GL48" s="100" t="s">
        <v>127</v>
      </c>
      <c r="GM48" s="107" t="s">
        <v>136</v>
      </c>
      <c r="GN48" s="100" t="s">
        <v>127</v>
      </c>
      <c r="GO48" s="107" t="s">
        <v>136</v>
      </c>
      <c r="GP48" s="100" t="s">
        <v>127</v>
      </c>
      <c r="GQ48" s="107" t="s">
        <v>136</v>
      </c>
      <c r="GR48" s="100" t="s">
        <v>127</v>
      </c>
      <c r="GS48" s="107" t="s">
        <v>136</v>
      </c>
      <c r="GT48" s="100" t="s">
        <v>127</v>
      </c>
      <c r="GU48" s="107" t="s">
        <v>136</v>
      </c>
      <c r="GV48" s="100" t="s">
        <v>127</v>
      </c>
      <c r="GW48" s="107" t="s">
        <v>136</v>
      </c>
      <c r="GX48" s="100" t="s">
        <v>127</v>
      </c>
      <c r="GY48" s="107" t="s">
        <v>136</v>
      </c>
      <c r="GZ48" s="100" t="s">
        <v>127</v>
      </c>
      <c r="HA48" s="107" t="s">
        <v>136</v>
      </c>
      <c r="HB48" s="100" t="s">
        <v>127</v>
      </c>
      <c r="HC48" s="107" t="s">
        <v>136</v>
      </c>
      <c r="HD48" s="100" t="s">
        <v>127</v>
      </c>
      <c r="HE48" s="107" t="s">
        <v>136</v>
      </c>
      <c r="HF48" s="100" t="s">
        <v>127</v>
      </c>
      <c r="HG48" s="107" t="s">
        <v>136</v>
      </c>
      <c r="HH48" s="100" t="s">
        <v>127</v>
      </c>
      <c r="HI48" s="107" t="s">
        <v>136</v>
      </c>
      <c r="HJ48" s="100" t="s">
        <v>127</v>
      </c>
      <c r="HK48" s="107" t="s">
        <v>136</v>
      </c>
      <c r="HL48" s="100" t="s">
        <v>127</v>
      </c>
      <c r="HM48" s="107" t="s">
        <v>136</v>
      </c>
      <c r="HN48" s="100" t="s">
        <v>127</v>
      </c>
      <c r="HO48" s="107" t="s">
        <v>136</v>
      </c>
      <c r="HP48" s="100" t="s">
        <v>127</v>
      </c>
      <c r="HQ48" s="107" t="s">
        <v>136</v>
      </c>
      <c r="HR48" s="100" t="s">
        <v>127</v>
      </c>
      <c r="HS48" s="107" t="s">
        <v>136</v>
      </c>
      <c r="HT48" s="100" t="s">
        <v>127</v>
      </c>
      <c r="HU48" s="107" t="s">
        <v>136</v>
      </c>
      <c r="HV48" s="100" t="s">
        <v>127</v>
      </c>
      <c r="HW48" s="107" t="s">
        <v>136</v>
      </c>
      <c r="HX48" s="100" t="s">
        <v>127</v>
      </c>
      <c r="HY48" s="107" t="s">
        <v>136</v>
      </c>
      <c r="HZ48" s="100" t="s">
        <v>127</v>
      </c>
      <c r="IA48" s="107" t="s">
        <v>136</v>
      </c>
      <c r="IB48" s="100" t="s">
        <v>127</v>
      </c>
      <c r="IC48" s="107" t="s">
        <v>136</v>
      </c>
      <c r="ID48" s="100" t="s">
        <v>127</v>
      </c>
      <c r="IE48" s="107" t="s">
        <v>136</v>
      </c>
      <c r="IF48" s="100" t="s">
        <v>127</v>
      </c>
      <c r="IG48" s="107" t="s">
        <v>136</v>
      </c>
      <c r="IH48" s="100" t="s">
        <v>127</v>
      </c>
      <c r="II48" s="107" t="s">
        <v>136</v>
      </c>
      <c r="IJ48" s="100" t="s">
        <v>127</v>
      </c>
      <c r="IK48" s="107" t="s">
        <v>136</v>
      </c>
      <c r="IL48" s="100" t="s">
        <v>127</v>
      </c>
      <c r="IM48" s="107" t="s">
        <v>136</v>
      </c>
      <c r="IN48" s="100" t="s">
        <v>127</v>
      </c>
      <c r="IO48" s="107" t="s">
        <v>136</v>
      </c>
      <c r="IP48" s="100" t="s">
        <v>127</v>
      </c>
      <c r="IQ48" s="107" t="s">
        <v>136</v>
      </c>
      <c r="IR48" s="100" t="s">
        <v>127</v>
      </c>
      <c r="IS48" s="107" t="s">
        <v>136</v>
      </c>
      <c r="IT48" s="100" t="s">
        <v>127</v>
      </c>
      <c r="IU48" s="107" t="s">
        <v>136</v>
      </c>
      <c r="IV48" s="100" t="s">
        <v>127</v>
      </c>
      <c r="IW48" s="107" t="s">
        <v>136</v>
      </c>
      <c r="IX48" s="100" t="s">
        <v>127</v>
      </c>
      <c r="IY48" s="107" t="s">
        <v>136</v>
      </c>
      <c r="IZ48" s="100" t="s">
        <v>127</v>
      </c>
      <c r="JA48" s="107" t="s">
        <v>136</v>
      </c>
      <c r="JB48" s="100" t="s">
        <v>127</v>
      </c>
      <c r="JC48" s="107" t="s">
        <v>136</v>
      </c>
      <c r="JD48" s="100" t="s">
        <v>127</v>
      </c>
      <c r="JE48" s="107" t="s">
        <v>136</v>
      </c>
      <c r="JF48" s="100" t="s">
        <v>127</v>
      </c>
      <c r="JG48" s="107" t="s">
        <v>136</v>
      </c>
      <c r="JH48" s="100" t="s">
        <v>127</v>
      </c>
      <c r="JI48" s="107" t="s">
        <v>136</v>
      </c>
      <c r="JJ48" s="100" t="s">
        <v>127</v>
      </c>
      <c r="JK48" s="107" t="s">
        <v>136</v>
      </c>
      <c r="JL48" s="100" t="s">
        <v>127</v>
      </c>
      <c r="JM48" s="107" t="s">
        <v>136</v>
      </c>
      <c r="JN48" s="100" t="s">
        <v>127</v>
      </c>
      <c r="JO48" s="107" t="s">
        <v>136</v>
      </c>
      <c r="JP48" s="100" t="s">
        <v>127</v>
      </c>
      <c r="JQ48" s="107" t="s">
        <v>136</v>
      </c>
      <c r="JR48" s="100" t="s">
        <v>127</v>
      </c>
      <c r="JS48" s="107" t="s">
        <v>136</v>
      </c>
      <c r="JT48" s="100" t="s">
        <v>127</v>
      </c>
      <c r="JU48" s="107" t="s">
        <v>136</v>
      </c>
      <c r="JV48" s="100" t="s">
        <v>127</v>
      </c>
      <c r="JW48" s="107" t="s">
        <v>136</v>
      </c>
      <c r="JX48" s="100" t="s">
        <v>127</v>
      </c>
      <c r="JY48" s="107" t="s">
        <v>136</v>
      </c>
      <c r="JZ48" s="100" t="s">
        <v>127</v>
      </c>
      <c r="KA48" s="107" t="s">
        <v>136</v>
      </c>
      <c r="KB48" s="100" t="s">
        <v>127</v>
      </c>
      <c r="KC48" s="107" t="s">
        <v>136</v>
      </c>
      <c r="KD48" s="100" t="s">
        <v>127</v>
      </c>
      <c r="KE48" s="107" t="s">
        <v>136</v>
      </c>
      <c r="KF48" s="100" t="s">
        <v>127</v>
      </c>
      <c r="KG48" s="107" t="s">
        <v>136</v>
      </c>
      <c r="KH48" s="100" t="s">
        <v>127</v>
      </c>
      <c r="KI48" s="107" t="s">
        <v>136</v>
      </c>
    </row>
    <row r="49" spans="2:295" x14ac:dyDescent="0.25">
      <c r="B49" s="15">
        <f t="shared" si="2"/>
        <v>1</v>
      </c>
      <c r="C49" s="25" t="str">
        <f t="shared" si="2"/>
        <v>DSL-DHK</v>
      </c>
      <c r="D49" s="25" t="str">
        <f t="shared" si="2"/>
        <v xml:space="preserve">Md. Shohidul </v>
      </c>
      <c r="E49" s="26">
        <f t="shared" si="2"/>
        <v>1418</v>
      </c>
      <c r="F49" s="112">
        <f>H49+J49+L49+N49+P49+R49+T49+V49+X49+Z49+AB49+AD49+AF49+AH49+AJ49+AL49+AN49+AP49+AR49+AT49+AV49+AX49+AZ49+BB49+BD49+BF49+BH49+BJ49+BL49+BN49+BP49+BR49+BT49+BV49+BX49+BZ49+CB49+CD49+CF49+CH49+CJ49+CL49+CN49+CP49+CR49+CT49+CV49+CX49+CZ49+DB49+DD49+DF49+DH49+DJ49+DL49+DN49+DP49+DR49+DT49+DV49+DX49+DZ49+EB49+ED49+EF49+EH49+EJ49+EL49+EN49+EP49+ER49+ET49+EV49+EX49+EZ49+FB49+FD49+FF49+FH49+FJ49+FL49+FN49+FP49+FR49+FT49+FV49+FX49+FZ49+GB49+GD49+GF49+GH49+GJ49+GL49+GN49+GP49+GR49+GT49+GV49+GX49+GZ49+HB49+HD49+HF49+HH49+HJ49+HL49+HN49+HP49+HR49+HT49+HV49+HX49+HZ49+IB49+ID49+IF49+IH49+IJ49+IL49+IN49+IP49+IR49+IT49+IV49+IX49+IZ49+JB49+JD49+JF49+JH49+JJ49+JL49+JN49+JP49+JR49+JT49+JV49+JX49+JZ49+KB49+KD49+KF49+KH49</f>
        <v>7150</v>
      </c>
      <c r="G49" s="112">
        <f>I49+K49+M49+O49+Q49+S49+U49+W49+Y49+AA49+AC49+AE49+AG49+AI49+AK49+AM49+AO49+AQ49+AS49+AU49+AW49+AY49+BA49+BC49+BE49+BG49+BI49+BK49+BM49+BO49+BQ49+BS49+BU49+BW49+BY49+CA49+CC49+CE49+CG49+CI49+CK49+CM49+CO49+CQ49+CS49+CU49+CW49+CY49+DA49+DC49+DE49+DG49+DI49+DK49+DM49+DO49+DQ49+DS49+DU49+DW49+DY49+EA49+EC49+EE49+EG49+EI49+EK49+EM49+EO49+EQ49+ES49+EU49+EW49+EY49+FA49+FC49+FE49+FG49+FI49+FK49+FM49+FO49+FQ49+FS49+FU49+FW49+FY49+GA49+GC49+GE49+GG49+GI49+GK49+GM49+GO49+GQ49+GS49+GU49+GW49+GY49+HA49+HC49+HE49+HG49+HI49+HK49+HM49+HO49+HQ49+HS49+HU49+HW49+HY49+IA49+IC49+IE49+IG49+II49+IK49+IM49+IO49+IQ49+IS49+IU49+IW49+IY49+JA49+JC49+JE49+JG49+JI49+JK49+JM49+JO49+JQ49+JS49+JU49+JW49+JY49+KA49+KC49+KE49+KG49+KI49</f>
        <v>0</v>
      </c>
      <c r="H49" s="85">
        <f>IF(H6&lt;=Condition!$E$16,0,IF(H6&lt;=Condition!$F$16,Condition!$D$16,IF(H6&lt;=Condition!$F$17,Condition!$D$17,IF(H6&lt;=Condition!$F$18,Condition!$D$18,IF(H6&gt;Condition!$E$19,Condition!$D$19,"")))))</f>
        <v>150</v>
      </c>
      <c r="I49" s="85">
        <f>IF(I6&lt;=Condition!$E$16,0,IF(I6&lt;=Condition!$F$16,Condition!$D$16,IF(I6&lt;=Condition!$F$17,Condition!$D$17,IF(I6&lt;=Condition!$F$18,Condition!$D$18,IF(I6&gt;Condition!$E$19,Condition!$D$19,"")))))</f>
        <v>0</v>
      </c>
      <c r="J49" s="85">
        <f>IF(J6&lt;=Condition!$E$16,0,IF(J6&lt;=Condition!$F$16,Condition!$D$16,IF(J6&lt;=Condition!$F$17,Condition!$D$17,IF(J6&lt;=Condition!$F$18,Condition!$D$18,IF(J6&gt;Condition!$E$19,Condition!$D$19,"")))))</f>
        <v>150</v>
      </c>
      <c r="K49" s="85">
        <f>IF(K6&lt;=Condition!$E$16,0,IF(K6&lt;=Condition!$F$16,Condition!$D$16,IF(K6&lt;=Condition!$F$17,Condition!$D$17,IF(K6&lt;=Condition!$F$18,Condition!$D$18,IF(K6&gt;Condition!$E$19,Condition!$D$19,"")))))</f>
        <v>0</v>
      </c>
      <c r="L49" s="85">
        <f>IF(L6&lt;=Condition!$E$16,0,IF(L6&lt;=Condition!$F$16,Condition!$D$16,IF(L6&lt;=Condition!$F$17,Condition!$D$17,IF(L6&lt;=Condition!$F$18,Condition!$D$18,IF(L6&gt;Condition!$E$19,Condition!$D$19,"")))))</f>
        <v>300</v>
      </c>
      <c r="M49" s="85">
        <f>IF(M6&lt;=Condition!$E$16,0,IF(M6&lt;=Condition!$F$16,Condition!$D$16,IF(M6&lt;=Condition!$F$17,Condition!$D$17,IF(M6&lt;=Condition!$F$18,Condition!$D$18,IF(M6&gt;Condition!$E$19,Condition!$D$19,"")))))</f>
        <v>0</v>
      </c>
      <c r="N49" s="85">
        <f>IF(N6&lt;=Condition!$E$16,0,IF(N6&lt;=Condition!$F$16,Condition!$D$16,IF(N6&lt;=Condition!$F$17,Condition!$D$17,IF(N6&lt;=Condition!$F$18,Condition!$D$18,IF(N6&gt;Condition!$E$19,Condition!$D$19,"")))))</f>
        <v>300</v>
      </c>
      <c r="O49" s="85">
        <f>IF(O6&lt;=Condition!$E$16,0,IF(O6&lt;=Condition!$F$16,Condition!$D$16,IF(O6&lt;=Condition!$F$17,Condition!$D$17,IF(O6&lt;=Condition!$F$18,Condition!$D$18,IF(O6&gt;Condition!$E$19,Condition!$D$19,"")))))</f>
        <v>0</v>
      </c>
      <c r="P49" s="85">
        <f>IF(P6&lt;=Condition!$E$16,0,IF(P6&lt;=Condition!$F$16,Condition!$D$16,IF(P6&lt;=Condition!$F$17,Condition!$D$17,IF(P6&lt;=Condition!$F$18,Condition!$D$18,IF(P6&gt;Condition!$E$19,Condition!$D$19,"")))))</f>
        <v>300</v>
      </c>
      <c r="Q49" s="85">
        <f>IF(Q6&lt;=Condition!$E$16,0,IF(Q6&lt;=Condition!$F$16,Condition!$D$16,IF(Q6&lt;=Condition!$F$17,Condition!$D$17,IF(Q6&lt;=Condition!$F$18,Condition!$D$18,IF(Q6&gt;Condition!$E$19,Condition!$D$19,"")))))</f>
        <v>0</v>
      </c>
      <c r="R49" s="85">
        <f>IF(R6&lt;=Condition!$E$16,0,IF(R6&lt;=Condition!$F$16,Condition!$D$16,IF(R6&lt;=Condition!$F$17,Condition!$D$17,IF(R6&lt;=Condition!$F$18,Condition!$D$18,IF(R6&gt;Condition!$E$19,Condition!$D$19,"")))))</f>
        <v>150</v>
      </c>
      <c r="S49" s="85">
        <f>IF(S6&lt;=Condition!$E$16,0,IF(S6&lt;=Condition!$F$16,Condition!$D$16,IF(S6&lt;=Condition!$F$17,Condition!$D$17,IF(S6&lt;=Condition!$F$18,Condition!$D$18,IF(S6&gt;Condition!$E$19,Condition!$D$19,"")))))</f>
        <v>0</v>
      </c>
      <c r="T49" s="85">
        <f>IF(T6&lt;=Condition!$E$16,0,IF(T6&lt;=Condition!$F$16,Condition!$D$16,IF(T6&lt;=Condition!$F$17,Condition!$D$17,IF(T6&lt;=Condition!$F$18,Condition!$D$18,IF(T6&gt;Condition!$E$19,Condition!$D$19,"")))))</f>
        <v>150</v>
      </c>
      <c r="U49" s="85">
        <f>IF(U6&lt;=Condition!$E$16,0,IF(U6&lt;=Condition!$F$16,Condition!$D$16,IF(U6&lt;=Condition!$F$17,Condition!$D$17,IF(U6&lt;=Condition!$F$18,Condition!$D$18,IF(U6&gt;Condition!$E$19,Condition!$D$19,"")))))</f>
        <v>0</v>
      </c>
      <c r="V49" s="85">
        <f>IF(V6&lt;=Condition!$E$16,0,IF(V6&lt;=Condition!$F$16,Condition!$D$16,IF(V6&lt;=Condition!$F$17,Condition!$D$17,IF(V6&lt;=Condition!$F$18,Condition!$D$18,IF(V6&gt;Condition!$E$19,Condition!$D$19,"")))))</f>
        <v>400</v>
      </c>
      <c r="W49" s="85">
        <f>IF(W6&lt;=Condition!$E$16,0,IF(W6&lt;=Condition!$F$16,Condition!$D$16,IF(W6&lt;=Condition!$F$17,Condition!$D$17,IF(W6&lt;=Condition!$F$18,Condition!$D$18,IF(W6&gt;Condition!$E$19,Condition!$D$19,"")))))</f>
        <v>0</v>
      </c>
      <c r="X49" s="85">
        <f>IF(X6&lt;=Condition!$E$16,0,IF(X6&lt;=Condition!$F$16,Condition!$D$16,IF(X6&lt;=Condition!$F$17,Condition!$D$17,IF(X6&lt;=Condition!$F$18,Condition!$D$18,IF(X6&gt;Condition!$E$19,Condition!$D$19,"")))))</f>
        <v>400</v>
      </c>
      <c r="Y49" s="85">
        <f>IF(Y6&lt;=Condition!$E$16,0,IF(Y6&lt;=Condition!$F$16,Condition!$D$16,IF(Y6&lt;=Condition!$F$17,Condition!$D$17,IF(Y6&lt;=Condition!$F$18,Condition!$D$18,IF(Y6&gt;Condition!$E$19,Condition!$D$19,"")))))</f>
        <v>0</v>
      </c>
      <c r="Z49" s="85">
        <f>IF(Z6&lt;=Condition!$E$16,0,IF(Z6&lt;=Condition!$F$16,Condition!$D$16,IF(Z6&lt;=Condition!$F$17,Condition!$D$17,IF(Z6&lt;=Condition!$F$18,Condition!$D$18,IF(Z6&gt;Condition!$E$19,Condition!$D$19,"")))))</f>
        <v>400</v>
      </c>
      <c r="AA49" s="85">
        <f>IF(AA6&lt;=Condition!$E$16,0,IF(AA6&lt;=Condition!$F$16,Condition!$D$16,IF(AA6&lt;=Condition!$F$17,Condition!$D$17,IF(AA6&lt;=Condition!$F$18,Condition!$D$18,IF(AA6&gt;Condition!$E$19,Condition!$D$19,"")))))</f>
        <v>0</v>
      </c>
      <c r="AB49" s="85">
        <f>IF(AB6&lt;=Condition!$E$16,0,IF(AB6&lt;=Condition!$F$16,Condition!$D$16,IF(AB6&lt;=Condition!$F$17,Condition!$D$17,IF(AB6&lt;=Condition!$F$18,Condition!$D$18,IF(AB6&gt;Condition!$E$19,Condition!$D$19,"")))))</f>
        <v>500</v>
      </c>
      <c r="AC49" s="85">
        <f>IF(AC6&lt;=Condition!$E$16,0,IF(AC6&lt;=Condition!$F$16,Condition!$D$16,IF(AC6&lt;=Condition!$F$17,Condition!$D$17,IF(AC6&lt;=Condition!$F$18,Condition!$D$18,IF(AC6&gt;Condition!$E$19,Condition!$D$19,"")))))</f>
        <v>0</v>
      </c>
      <c r="AD49" s="85">
        <f>IF(AD6&lt;=Condition!$E$16,0,IF(AD6&lt;=Condition!$F$16,Condition!$D$16,IF(AD6&lt;=Condition!$F$17,Condition!$D$17,IF(AD6&lt;=Condition!$F$18,Condition!$D$18,IF(AD6&gt;Condition!$E$19,Condition!$D$19,"")))))</f>
        <v>400</v>
      </c>
      <c r="AE49" s="85">
        <f>IF(AE6&lt;=Condition!$E$16,0,IF(AE6&lt;=Condition!$F$16,Condition!$D$16,IF(AE6&lt;=Condition!$F$17,Condition!$D$17,IF(AE6&lt;=Condition!$F$18,Condition!$D$18,IF(AE6&gt;Condition!$E$19,Condition!$D$19,"")))))</f>
        <v>0</v>
      </c>
      <c r="AF49" s="85">
        <f>IF(AF6&lt;=Condition!$E$16,0,IF(AF6&lt;=Condition!$F$16,Condition!$D$16,IF(AF6&lt;=Condition!$F$17,Condition!$D$17,IF(AF6&lt;=Condition!$F$18,Condition!$D$18,IF(AF6&gt;Condition!$E$19,Condition!$D$19,"")))))</f>
        <v>400</v>
      </c>
      <c r="AG49" s="85">
        <f>IF(AG6&lt;=Condition!$E$16,0,IF(AG6&lt;=Condition!$F$16,Condition!$D$16,IF(AG6&lt;=Condition!$F$17,Condition!$D$17,IF(AG6&lt;=Condition!$F$18,Condition!$D$18,IF(AG6&gt;Condition!$E$19,Condition!$D$19,"")))))</f>
        <v>0</v>
      </c>
      <c r="AH49" s="85">
        <f>IF(AH6&lt;=Condition!$E$16,0,IF(AH6&lt;=Condition!$F$16,Condition!$D$16,IF(AH6&lt;=Condition!$F$17,Condition!$D$17,IF(AH6&lt;=Condition!$F$18,Condition!$D$18,IF(AH6&gt;Condition!$E$19,Condition!$D$19,"")))))</f>
        <v>150</v>
      </c>
      <c r="AI49" s="85">
        <f>IF(AI6&lt;=Condition!$E$16,0,IF(AI6&lt;=Condition!$F$16,Condition!$D$16,IF(AI6&lt;=Condition!$F$17,Condition!$D$17,IF(AI6&lt;=Condition!$F$18,Condition!$D$18,IF(AI6&gt;Condition!$E$19,Condition!$D$19,"")))))</f>
        <v>0</v>
      </c>
      <c r="AJ49" s="85">
        <f>IF(AJ6&lt;=Condition!$E$16,0,IF(AJ6&lt;=Condition!$F$16,Condition!$D$16,IF(AJ6&lt;=Condition!$F$17,Condition!$D$17,IF(AJ6&lt;=Condition!$F$18,Condition!$D$18,IF(AJ6&gt;Condition!$E$19,Condition!$D$19,"")))))</f>
        <v>150</v>
      </c>
      <c r="AK49" s="85">
        <f>IF(AK6&lt;=Condition!$E$16,0,IF(AK6&lt;=Condition!$F$16,Condition!$D$16,IF(AK6&lt;=Condition!$F$17,Condition!$D$17,IF(AK6&lt;=Condition!$F$18,Condition!$D$18,IF(AK6&gt;Condition!$E$19,Condition!$D$19,"")))))</f>
        <v>0</v>
      </c>
      <c r="AL49" s="85">
        <f>IF(AL6&lt;=Condition!$E$16,0,IF(AL6&lt;=Condition!$F$16,Condition!$D$16,IF(AL6&lt;=Condition!$F$17,Condition!$D$17,IF(AL6&lt;=Condition!$F$18,Condition!$D$18,IF(AL6&gt;Condition!$E$19,Condition!$D$19,"")))))</f>
        <v>400</v>
      </c>
      <c r="AM49" s="85">
        <f>IF(AM6&lt;=Condition!$E$16,0,IF(AM6&lt;=Condition!$F$16,Condition!$D$16,IF(AM6&lt;=Condition!$F$17,Condition!$D$17,IF(AM6&lt;=Condition!$F$18,Condition!$D$18,IF(AM6&gt;Condition!$E$19,Condition!$D$19,"")))))</f>
        <v>0</v>
      </c>
      <c r="AN49" s="85">
        <f>IF(AN6&lt;=Condition!$E$16,0,IF(AN6&lt;=Condition!$F$16,Condition!$D$16,IF(AN6&lt;=Condition!$F$17,Condition!$D$17,IF(AN6&lt;=Condition!$F$18,Condition!$D$18,IF(AN6&gt;Condition!$E$19,Condition!$D$19,"")))))</f>
        <v>400</v>
      </c>
      <c r="AO49" s="85">
        <f>IF(AO6&lt;=Condition!$E$16,0,IF(AO6&lt;=Condition!$F$16,Condition!$D$16,IF(AO6&lt;=Condition!$F$17,Condition!$D$17,IF(AO6&lt;=Condition!$F$18,Condition!$D$18,IF(AO6&gt;Condition!$E$19,Condition!$D$19,"")))))</f>
        <v>0</v>
      </c>
      <c r="AP49" s="85">
        <f>IF(AP6&lt;=Condition!$E$16,0,IF(AP6&lt;=Condition!$F$16,Condition!$D$16,IF(AP6&lt;=Condition!$F$17,Condition!$D$17,IF(AP6&lt;=Condition!$F$18,Condition!$D$18,IF(AP6&gt;Condition!$E$19,Condition!$D$19,"")))))</f>
        <v>150</v>
      </c>
      <c r="AQ49" s="85">
        <f>IF(AQ6&lt;=Condition!$E$16,0,IF(AQ6&lt;=Condition!$F$16,Condition!$D$16,IF(AQ6&lt;=Condition!$F$17,Condition!$D$17,IF(AQ6&lt;=Condition!$F$18,Condition!$D$18,IF(AQ6&gt;Condition!$E$19,Condition!$D$19,"")))))</f>
        <v>0</v>
      </c>
      <c r="AR49" s="85">
        <f>IF(AR6&lt;=Condition!$E$16,0,IF(AR6&lt;=Condition!$F$16,Condition!$D$16,IF(AR6&lt;=Condition!$F$17,Condition!$D$17,IF(AR6&lt;=Condition!$F$18,Condition!$D$18,IF(AR6&gt;Condition!$E$19,Condition!$D$19,"")))))</f>
        <v>300</v>
      </c>
      <c r="AS49" s="85">
        <f>IF(AS6&lt;=Condition!$E$16,0,IF(AS6&lt;=Condition!$F$16,Condition!$D$16,IF(AS6&lt;=Condition!$F$17,Condition!$D$17,IF(AS6&lt;=Condition!$F$18,Condition!$D$18,IF(AS6&gt;Condition!$E$19,Condition!$D$19,"")))))</f>
        <v>0</v>
      </c>
      <c r="AT49" s="85">
        <f>IF(AT6&lt;=Condition!$E$16,0,IF(AT6&lt;=Condition!$F$16,Condition!$D$16,IF(AT6&lt;=Condition!$F$17,Condition!$D$17,IF(AT6&lt;=Condition!$F$18,Condition!$D$18,IF(AT6&gt;Condition!$E$19,Condition!$D$19,"")))))</f>
        <v>400</v>
      </c>
      <c r="AU49" s="85">
        <f>IF(AU6&lt;=Condition!$E$16,0,IF(AU6&lt;=Condition!$F$16,Condition!$D$16,IF(AU6&lt;=Condition!$F$17,Condition!$D$17,IF(AU6&lt;=Condition!$F$18,Condition!$D$18,IF(AU6&gt;Condition!$E$19,Condition!$D$19,"")))))</f>
        <v>0</v>
      </c>
      <c r="AV49" s="85">
        <f>IF(AV6&lt;=Condition!$E$16,0,IF(AV6&lt;=Condition!$F$16,Condition!$D$16,IF(AV6&lt;=Condition!$F$17,Condition!$D$17,IF(AV6&lt;=Condition!$F$18,Condition!$D$18,IF(AV6&gt;Condition!$E$19,Condition!$D$19,"")))))</f>
        <v>300</v>
      </c>
      <c r="AW49" s="85">
        <f>IF(AW6&lt;=Condition!$E$16,0,IF(AW6&lt;=Condition!$F$16,Condition!$D$16,IF(AW6&lt;=Condition!$F$17,Condition!$D$17,IF(AW6&lt;=Condition!$F$18,Condition!$D$18,IF(AW6&gt;Condition!$E$19,Condition!$D$19,"")))))</f>
        <v>0</v>
      </c>
      <c r="AX49" s="85">
        <f>IF(AX6&lt;=Condition!$E$16,0,IF(AX6&lt;=Condition!$F$16,Condition!$D$16,IF(AX6&lt;=Condition!$F$17,Condition!$D$17,IF(AX6&lt;=Condition!$F$18,Condition!$D$18,IF(AX6&gt;Condition!$E$19,Condition!$D$19,"")))))</f>
        <v>0</v>
      </c>
      <c r="AY49" s="85">
        <f>IF(AY6&lt;=Condition!$E$16,0,IF(AY6&lt;=Condition!$F$16,Condition!$D$16,IF(AY6&lt;=Condition!$F$17,Condition!$D$17,IF(AY6&lt;=Condition!$F$18,Condition!$D$18,IF(AY6&gt;Condition!$E$19,Condition!$D$19,"")))))</f>
        <v>0</v>
      </c>
      <c r="AZ49" s="85">
        <f>IF(AZ6&lt;=Condition!$E$16,0,IF(AZ6&lt;=Condition!$F$16,Condition!$D$16,IF(AZ6&lt;=Condition!$F$17,Condition!$D$17,IF(AZ6&lt;=Condition!$F$18,Condition!$D$18,IF(AZ6&gt;Condition!$E$19,Condition!$D$19,"")))))</f>
        <v>500</v>
      </c>
      <c r="BA49" s="85">
        <f>IF(BA6&lt;=Condition!$E$16,0,IF(BA6&lt;=Condition!$F$16,Condition!$D$16,IF(BA6&lt;=Condition!$F$17,Condition!$D$17,IF(BA6&lt;=Condition!$F$18,Condition!$D$18,IF(BA6&gt;Condition!$E$19,Condition!$D$19,"")))))</f>
        <v>0</v>
      </c>
      <c r="BB49" s="85">
        <f>IF(BB6&lt;=Condition!$E$16,0,IF(BB6&lt;=Condition!$F$16,Condition!$D$16,IF(BB6&lt;=Condition!$F$17,Condition!$D$17,IF(BB6&lt;=Condition!$F$18,Condition!$D$18,IF(BB6&gt;Condition!$E$19,Condition!$D$19,"")))))</f>
        <v>400</v>
      </c>
      <c r="BC49" s="85">
        <f>IF(BC6&lt;=Condition!$E$16,0,IF(BC6&lt;=Condition!$F$16,Condition!$D$16,IF(BC6&lt;=Condition!$F$17,Condition!$D$17,IF(BC6&lt;=Condition!$F$18,Condition!$D$18,IF(BC6&gt;Condition!$E$19,Condition!$D$19,"")))))</f>
        <v>0</v>
      </c>
      <c r="BD49" s="85">
        <f>IF(BD6&lt;=Condition!$E$16,0,IF(BD6&lt;=Condition!$F$16,Condition!$D$16,IF(BD6&lt;=Condition!$F$17,Condition!$D$17,IF(BD6&lt;=Condition!$F$18,Condition!$D$18,IF(BD6&gt;Condition!$E$19,Condition!$D$19,"")))))</f>
        <v>0</v>
      </c>
      <c r="BE49" s="85">
        <f>IF(BE6&lt;=Condition!$E$16,0,IF(BE6&lt;=Condition!$F$16,Condition!$D$16,IF(BE6&lt;=Condition!$F$17,Condition!$D$17,IF(BE6&lt;=Condition!$F$18,Condition!$D$18,IF(BE6&gt;Condition!$E$19,Condition!$D$19,"")))))</f>
        <v>0</v>
      </c>
      <c r="BF49" s="85">
        <f>IF(BF6&lt;=Condition!$E$16,0,IF(BF6&lt;=Condition!$F$16,Condition!$D$16,IF(BF6&lt;=Condition!$F$17,Condition!$D$17,IF(BF6&lt;=Condition!$F$18,Condition!$D$18,IF(BF6&gt;Condition!$E$19,Condition!$D$19,"")))))</f>
        <v>0</v>
      </c>
      <c r="BG49" s="85">
        <f>IF(BG6&lt;=Condition!$E$16,0,IF(BG6&lt;=Condition!$F$16,Condition!$D$16,IF(BG6&lt;=Condition!$F$17,Condition!$D$17,IF(BG6&lt;=Condition!$F$18,Condition!$D$18,IF(BG6&gt;Condition!$E$19,Condition!$D$19,"")))))</f>
        <v>0</v>
      </c>
      <c r="BH49" s="85">
        <f>IF(BH6&lt;=Condition!$E$16,0,IF(BH6&lt;=Condition!$F$16,Condition!$D$16,IF(BH6&lt;=Condition!$F$17,Condition!$D$17,IF(BH6&lt;=Condition!$F$18,Condition!$D$18,IF(BH6&gt;Condition!$E$19,Condition!$D$19,"")))))</f>
        <v>0</v>
      </c>
      <c r="BI49" s="85">
        <f>IF(BI6&lt;=Condition!$E$16,0,IF(BI6&lt;=Condition!$F$16,Condition!$D$16,IF(BI6&lt;=Condition!$F$17,Condition!$D$17,IF(BI6&lt;=Condition!$F$18,Condition!$D$18,IF(BI6&gt;Condition!$E$19,Condition!$D$19,"")))))</f>
        <v>0</v>
      </c>
      <c r="BJ49" s="85">
        <f>IF(BJ6&lt;=Condition!$E$16,0,IF(BJ6&lt;=Condition!$F$16,Condition!$D$16,IF(BJ6&lt;=Condition!$F$17,Condition!$D$17,IF(BJ6&lt;=Condition!$F$18,Condition!$D$18,IF(BJ6&gt;Condition!$E$19,Condition!$D$19,"")))))</f>
        <v>0</v>
      </c>
      <c r="BK49" s="85">
        <f>IF(BK6&lt;=Condition!$E$16,0,IF(BK6&lt;=Condition!$F$16,Condition!$D$16,IF(BK6&lt;=Condition!$F$17,Condition!$D$17,IF(BK6&lt;=Condition!$F$18,Condition!$D$18,IF(BK6&gt;Condition!$E$19,Condition!$D$19,"")))))</f>
        <v>0</v>
      </c>
      <c r="BL49" s="85">
        <f>IF(BL6&lt;=Condition!$E$16,0,IF(BL6&lt;=Condition!$F$16,Condition!$D$16,IF(BL6&lt;=Condition!$F$17,Condition!$D$17,IF(BL6&lt;=Condition!$F$18,Condition!$D$18,IF(BL6&gt;Condition!$E$19,Condition!$D$19,"")))))</f>
        <v>0</v>
      </c>
      <c r="BM49" s="85">
        <f>IF(BM6&lt;=Condition!$E$16,0,IF(BM6&lt;=Condition!$F$16,Condition!$D$16,IF(BM6&lt;=Condition!$F$17,Condition!$D$17,IF(BM6&lt;=Condition!$F$18,Condition!$D$18,IF(BM6&gt;Condition!$E$19,Condition!$D$19,"")))))</f>
        <v>0</v>
      </c>
      <c r="BN49" s="85">
        <f>IF(BN6&lt;=Condition!$E$16,0,IF(BN6&lt;=Condition!$F$16,Condition!$D$16,IF(BN6&lt;=Condition!$F$17,Condition!$D$17,IF(BN6&lt;=Condition!$F$18,Condition!$D$18,IF(BN6&gt;Condition!$E$19,Condition!$D$19,"")))))</f>
        <v>0</v>
      </c>
      <c r="BO49" s="85">
        <f>IF(BO6&lt;=Condition!$E$16,0,IF(BO6&lt;=Condition!$F$16,Condition!$D$16,IF(BO6&lt;=Condition!$F$17,Condition!$D$17,IF(BO6&lt;=Condition!$F$18,Condition!$D$18,IF(BO6&gt;Condition!$E$19,Condition!$D$19,"")))))</f>
        <v>0</v>
      </c>
      <c r="BP49" s="85">
        <f>IF(BP6&lt;=Condition!$E$16,0,IF(BP6&lt;=Condition!$F$16,Condition!$D$16,IF(BP6&lt;=Condition!$F$17,Condition!$D$17,IF(BP6&lt;=Condition!$F$18,Condition!$D$18,IF(BP6&gt;Condition!$E$19,Condition!$D$19,"")))))</f>
        <v>0</v>
      </c>
      <c r="BQ49" s="85">
        <f>IF(BQ6&lt;=Condition!$E$16,0,IF(BQ6&lt;=Condition!$F$16,Condition!$D$16,IF(BQ6&lt;=Condition!$F$17,Condition!$D$17,IF(BQ6&lt;=Condition!$F$18,Condition!$D$18,IF(BQ6&gt;Condition!$E$19,Condition!$D$19,"")))))</f>
        <v>0</v>
      </c>
      <c r="BR49" s="85">
        <f>IF(BR6&lt;=Condition!$E$16,0,IF(BR6&lt;=Condition!$F$16,Condition!$D$16,IF(BR6&lt;=Condition!$F$17,Condition!$D$17,IF(BR6&lt;=Condition!$F$18,Condition!$D$18,IF(BR6&gt;Condition!$E$19,Condition!$D$19,"")))))</f>
        <v>0</v>
      </c>
      <c r="BS49" s="85">
        <f>IF(BS6&lt;=Condition!$E$16,0,IF(BS6&lt;=Condition!$F$16,Condition!$D$16,IF(BS6&lt;=Condition!$F$17,Condition!$D$17,IF(BS6&lt;=Condition!$F$18,Condition!$D$18,IF(BS6&gt;Condition!$E$19,Condition!$D$19,"")))))</f>
        <v>0</v>
      </c>
      <c r="BT49" s="85">
        <f>IF(BT6&lt;=Condition!$E$16,0,IF(BT6&lt;=Condition!$F$16,Condition!$D$16,IF(BT6&lt;=Condition!$F$17,Condition!$D$17,IF(BT6&lt;=Condition!$F$18,Condition!$D$18,IF(BT6&gt;Condition!$E$19,Condition!$D$19,"")))))</f>
        <v>0</v>
      </c>
      <c r="BU49" s="85">
        <f>IF(BU6&lt;=Condition!$E$16,0,IF(BU6&lt;=Condition!$F$16,Condition!$D$16,IF(BU6&lt;=Condition!$F$17,Condition!$D$17,IF(BU6&lt;=Condition!$F$18,Condition!$D$18,IF(BU6&gt;Condition!$E$19,Condition!$D$19,"")))))</f>
        <v>0</v>
      </c>
      <c r="BV49" s="85">
        <f>IF(BV6&lt;=Condition!$E$16,0,IF(BV6&lt;=Condition!$F$16,Condition!$D$16,IF(BV6&lt;=Condition!$F$17,Condition!$D$17,IF(BV6&lt;=Condition!$F$18,Condition!$D$18,IF(BV6&gt;Condition!$E$19,Condition!$D$19,"")))))</f>
        <v>0</v>
      </c>
      <c r="BW49" s="85">
        <f>IF(BW6&lt;=Condition!$E$16,0,IF(BW6&lt;=Condition!$F$16,Condition!$D$16,IF(BW6&lt;=Condition!$F$17,Condition!$D$17,IF(BW6&lt;=Condition!$F$18,Condition!$D$18,IF(BW6&gt;Condition!$E$19,Condition!$D$19,"")))))</f>
        <v>0</v>
      </c>
      <c r="BX49" s="85">
        <f>IF(BX6&lt;=Condition!$E$16,0,IF(BX6&lt;=Condition!$F$16,Condition!$D$16,IF(BX6&lt;=Condition!$F$17,Condition!$D$17,IF(BX6&lt;=Condition!$F$18,Condition!$D$18,IF(BX6&gt;Condition!$E$19,Condition!$D$19,"")))))</f>
        <v>0</v>
      </c>
      <c r="BY49" s="85">
        <f>IF(BY6&lt;=Condition!$E$16,0,IF(BY6&lt;=Condition!$F$16,Condition!$D$16,IF(BY6&lt;=Condition!$F$17,Condition!$D$17,IF(BY6&lt;=Condition!$F$18,Condition!$D$18,IF(BY6&gt;Condition!$E$19,Condition!$D$19,"")))))</f>
        <v>0</v>
      </c>
      <c r="BZ49" s="85">
        <f>IF(BZ6&lt;=Condition!$E$16,0,IF(BZ6&lt;=Condition!$F$16,Condition!$D$16,IF(BZ6&lt;=Condition!$F$17,Condition!$D$17,IF(BZ6&lt;=Condition!$F$18,Condition!$D$18,IF(BZ6&gt;Condition!$E$19,Condition!$D$19,"")))))</f>
        <v>0</v>
      </c>
      <c r="CA49" s="85">
        <f>IF(CA6&lt;=Condition!$E$16,0,IF(CA6&lt;=Condition!$F$16,Condition!$D$16,IF(CA6&lt;=Condition!$F$17,Condition!$D$17,IF(CA6&lt;=Condition!$F$18,Condition!$D$18,IF(CA6&gt;Condition!$E$19,Condition!$D$19,"")))))</f>
        <v>0</v>
      </c>
      <c r="CB49" s="85">
        <f>IF(CB6&lt;=Condition!$E$16,0,IF(CB6&lt;=Condition!$F$16,Condition!$D$16,IF(CB6&lt;=Condition!$F$17,Condition!$D$17,IF(CB6&lt;=Condition!$F$18,Condition!$D$18,IF(CB6&gt;Condition!$E$19,Condition!$D$19,"")))))</f>
        <v>0</v>
      </c>
      <c r="CC49" s="85">
        <f>IF(CC6&lt;=Condition!$E$16,0,IF(CC6&lt;=Condition!$F$16,Condition!$D$16,IF(CC6&lt;=Condition!$F$17,Condition!$D$17,IF(CC6&lt;=Condition!$F$18,Condition!$D$18,IF(CC6&gt;Condition!$E$19,Condition!$D$19,"")))))</f>
        <v>0</v>
      </c>
      <c r="CD49" s="85">
        <f>IF(CD6&lt;=Condition!$E$16,0,IF(CD6&lt;=Condition!$F$16,Condition!$D$16,IF(CD6&lt;=Condition!$F$17,Condition!$D$17,IF(CD6&lt;=Condition!$F$18,Condition!$D$18,IF(CD6&gt;Condition!$E$19,Condition!$D$19,"")))))</f>
        <v>0</v>
      </c>
      <c r="CE49" s="85">
        <f>IF(CE6&lt;=Condition!$E$16,0,IF(CE6&lt;=Condition!$F$16,Condition!$D$16,IF(CE6&lt;=Condition!$F$17,Condition!$D$17,IF(CE6&lt;=Condition!$F$18,Condition!$D$18,IF(CE6&gt;Condition!$E$19,Condition!$D$19,"")))))</f>
        <v>0</v>
      </c>
      <c r="CF49" s="85">
        <f>IF(CF6&lt;=Condition!$E$16,0,IF(CF6&lt;=Condition!$F$16,Condition!$D$16,IF(CF6&lt;=Condition!$F$17,Condition!$D$17,IF(CF6&lt;=Condition!$F$18,Condition!$D$18,IF(CF6&gt;Condition!$E$19,Condition!$D$19,"")))))</f>
        <v>0</v>
      </c>
      <c r="CG49" s="85">
        <f>IF(CG6&lt;=Condition!$E$16,0,IF(CG6&lt;=Condition!$F$16,Condition!$D$16,IF(CG6&lt;=Condition!$F$17,Condition!$D$17,IF(CG6&lt;=Condition!$F$18,Condition!$D$18,IF(CG6&gt;Condition!$E$19,Condition!$D$19,"")))))</f>
        <v>0</v>
      </c>
      <c r="CH49" s="85">
        <f>IF(CH6&lt;=Condition!$E$16,0,IF(CH6&lt;=Condition!$F$16,Condition!$D$16,IF(CH6&lt;=Condition!$F$17,Condition!$D$17,IF(CH6&lt;=Condition!$F$18,Condition!$D$18,IF(CH6&gt;Condition!$E$19,Condition!$D$19,"")))))</f>
        <v>0</v>
      </c>
      <c r="CI49" s="85">
        <f>IF(CI6&lt;=Condition!$E$16,0,IF(CI6&lt;=Condition!$F$16,Condition!$D$16,IF(CI6&lt;=Condition!$F$17,Condition!$D$17,IF(CI6&lt;=Condition!$F$18,Condition!$D$18,IF(CI6&gt;Condition!$E$19,Condition!$D$19,"")))))</f>
        <v>0</v>
      </c>
      <c r="CJ49" s="85">
        <f>IF(CJ6&lt;=Condition!$E$16,0,IF(CJ6&lt;=Condition!$F$16,Condition!$D$16,IF(CJ6&lt;=Condition!$F$17,Condition!$D$17,IF(CJ6&lt;=Condition!$F$18,Condition!$D$18,IF(CJ6&gt;Condition!$E$19,Condition!$D$19,"")))))</f>
        <v>0</v>
      </c>
      <c r="CK49" s="85">
        <f>IF(CK6&lt;=Condition!$E$16,0,IF(CK6&lt;=Condition!$F$16,Condition!$D$16,IF(CK6&lt;=Condition!$F$17,Condition!$D$17,IF(CK6&lt;=Condition!$F$18,Condition!$D$18,IF(CK6&gt;Condition!$E$19,Condition!$D$19,"")))))</f>
        <v>0</v>
      </c>
      <c r="CL49" s="85">
        <f>IF(CL6&lt;=Condition!$E$16,0,IF(CL6&lt;=Condition!$F$16,Condition!$D$16,IF(CL6&lt;=Condition!$F$17,Condition!$D$17,IF(CL6&lt;=Condition!$F$18,Condition!$D$18,IF(CL6&gt;Condition!$E$19,Condition!$D$19,"")))))</f>
        <v>0</v>
      </c>
      <c r="CM49" s="85">
        <f>IF(CM6&lt;=Condition!$E$16,0,IF(CM6&lt;=Condition!$F$16,Condition!$D$16,IF(CM6&lt;=Condition!$F$17,Condition!$D$17,IF(CM6&lt;=Condition!$F$18,Condition!$D$18,IF(CM6&gt;Condition!$E$19,Condition!$D$19,"")))))</f>
        <v>0</v>
      </c>
      <c r="CN49" s="85">
        <f>IF(CN6&lt;=Condition!$E$16,0,IF(CN6&lt;=Condition!$F$16,Condition!$D$16,IF(CN6&lt;=Condition!$F$17,Condition!$D$17,IF(CN6&lt;=Condition!$F$18,Condition!$D$18,IF(CN6&gt;Condition!$E$19,Condition!$D$19,"")))))</f>
        <v>0</v>
      </c>
      <c r="CO49" s="85">
        <f>IF(CO6&lt;=Condition!$E$16,0,IF(CO6&lt;=Condition!$F$16,Condition!$D$16,IF(CO6&lt;=Condition!$F$17,Condition!$D$17,IF(CO6&lt;=Condition!$F$18,Condition!$D$18,IF(CO6&gt;Condition!$E$19,Condition!$D$19,"")))))</f>
        <v>0</v>
      </c>
      <c r="CP49" s="85">
        <f>IF(CP6&lt;=Condition!$E$16,0,IF(CP6&lt;=Condition!$F$16,Condition!$D$16,IF(CP6&lt;=Condition!$F$17,Condition!$D$17,IF(CP6&lt;=Condition!$F$18,Condition!$D$18,IF(CP6&gt;Condition!$E$19,Condition!$D$19,"")))))</f>
        <v>0</v>
      </c>
      <c r="CQ49" s="85">
        <f>IF(CQ6&lt;=Condition!$E$16,0,IF(CQ6&lt;=Condition!$F$16,Condition!$D$16,IF(CQ6&lt;=Condition!$F$17,Condition!$D$17,IF(CQ6&lt;=Condition!$F$18,Condition!$D$18,IF(CQ6&gt;Condition!$E$19,Condition!$D$19,"")))))</f>
        <v>0</v>
      </c>
      <c r="CR49" s="85">
        <f>IF(CR6&lt;=Condition!$E$16,0,IF(CR6&lt;=Condition!$F$16,Condition!$D$16,IF(CR6&lt;=Condition!$F$17,Condition!$D$17,IF(CR6&lt;=Condition!$F$18,Condition!$D$18,IF(CR6&gt;Condition!$E$19,Condition!$D$19,"")))))</f>
        <v>0</v>
      </c>
      <c r="CS49" s="85">
        <f>IF(CS6&lt;=Condition!$E$16,0,IF(CS6&lt;=Condition!$F$16,Condition!$D$16,IF(CS6&lt;=Condition!$F$17,Condition!$D$17,IF(CS6&lt;=Condition!$F$18,Condition!$D$18,IF(CS6&gt;Condition!$E$19,Condition!$D$19,"")))))</f>
        <v>0</v>
      </c>
      <c r="CT49" s="85">
        <f>IF(CT6&lt;=Condition!$E$16,0,IF(CT6&lt;=Condition!$F$16,Condition!$D$16,IF(CT6&lt;=Condition!$F$17,Condition!$D$17,IF(CT6&lt;=Condition!$F$18,Condition!$D$18,IF(CT6&gt;Condition!$E$19,Condition!$D$19,"")))))</f>
        <v>0</v>
      </c>
      <c r="CU49" s="85">
        <f>IF(CU6&lt;=Condition!$E$16,0,IF(CU6&lt;=Condition!$F$16,Condition!$D$16,IF(CU6&lt;=Condition!$F$17,Condition!$D$17,IF(CU6&lt;=Condition!$F$18,Condition!$D$18,IF(CU6&gt;Condition!$E$19,Condition!$D$19,"")))))</f>
        <v>0</v>
      </c>
      <c r="CV49" s="85">
        <f>IF(CV6&lt;=Condition!$E$16,0,IF(CV6&lt;=Condition!$F$16,Condition!$D$16,IF(CV6&lt;=Condition!$F$17,Condition!$D$17,IF(CV6&lt;=Condition!$F$18,Condition!$D$18,IF(CV6&gt;Condition!$E$19,Condition!$D$19,"")))))</f>
        <v>0</v>
      </c>
      <c r="CW49" s="85">
        <f>IF(CW6&lt;=Condition!$E$16,0,IF(CW6&lt;=Condition!$F$16,Condition!$D$16,IF(CW6&lt;=Condition!$F$17,Condition!$D$17,IF(CW6&lt;=Condition!$F$18,Condition!$D$18,IF(CW6&gt;Condition!$E$19,Condition!$D$19,"")))))</f>
        <v>0</v>
      </c>
      <c r="CX49" s="85">
        <f>IF(CX6&lt;=Condition!$E$16,0,IF(CX6&lt;=Condition!$F$16,Condition!$D$16,IF(CX6&lt;=Condition!$F$17,Condition!$D$17,IF(CX6&lt;=Condition!$F$18,Condition!$D$18,IF(CX6&gt;Condition!$E$19,Condition!$D$19,"")))))</f>
        <v>0</v>
      </c>
      <c r="CY49" s="85">
        <f>IF(CY6&lt;=Condition!$E$16,0,IF(CY6&lt;=Condition!$F$16,Condition!$D$16,IF(CY6&lt;=Condition!$F$17,Condition!$D$17,IF(CY6&lt;=Condition!$F$18,Condition!$D$18,IF(CY6&gt;Condition!$E$19,Condition!$D$19,"")))))</f>
        <v>0</v>
      </c>
      <c r="CZ49" s="85">
        <f>IF(CZ6&lt;=Condition!$E$16,0,IF(CZ6&lt;=Condition!$F$16,Condition!$D$16,IF(CZ6&lt;=Condition!$F$17,Condition!$D$17,IF(CZ6&lt;=Condition!$F$18,Condition!$D$18,IF(CZ6&gt;Condition!$E$19,Condition!$D$19,"")))))</f>
        <v>0</v>
      </c>
      <c r="DA49" s="85">
        <f>IF(DA6&lt;=Condition!$E$16,0,IF(DA6&lt;=Condition!$F$16,Condition!$D$16,IF(DA6&lt;=Condition!$F$17,Condition!$D$17,IF(DA6&lt;=Condition!$F$18,Condition!$D$18,IF(DA6&gt;Condition!$E$19,Condition!$D$19,"")))))</f>
        <v>0</v>
      </c>
      <c r="DB49" s="85">
        <f>IF(DB6&lt;=Condition!$E$16,0,IF(DB6&lt;=Condition!$F$16,Condition!$D$16,IF(DB6&lt;=Condition!$F$17,Condition!$D$17,IF(DB6&lt;=Condition!$F$18,Condition!$D$18,IF(DB6&gt;Condition!$E$19,Condition!$D$19,"")))))</f>
        <v>0</v>
      </c>
      <c r="DC49" s="85">
        <f>IF(DC6&lt;=Condition!$E$16,0,IF(DC6&lt;=Condition!$F$16,Condition!$D$16,IF(DC6&lt;=Condition!$F$17,Condition!$D$17,IF(DC6&lt;=Condition!$F$18,Condition!$D$18,IF(DC6&gt;Condition!$E$19,Condition!$D$19,"")))))</f>
        <v>0</v>
      </c>
      <c r="DD49" s="85">
        <f>IF(DD6&lt;=Condition!$E$16,0,IF(DD6&lt;=Condition!$F$16,Condition!$D$16,IF(DD6&lt;=Condition!$F$17,Condition!$D$17,IF(DD6&lt;=Condition!$F$18,Condition!$D$18,IF(DD6&gt;Condition!$E$19,Condition!$D$19,"")))))</f>
        <v>0</v>
      </c>
      <c r="DE49" s="85">
        <f>IF(DE6&lt;=Condition!$E$16,0,IF(DE6&lt;=Condition!$F$16,Condition!$D$16,IF(DE6&lt;=Condition!$F$17,Condition!$D$17,IF(DE6&lt;=Condition!$F$18,Condition!$D$18,IF(DE6&gt;Condition!$E$19,Condition!$D$19,"")))))</f>
        <v>0</v>
      </c>
      <c r="DF49" s="85">
        <f>IF(DF6&lt;=Condition!$E$16,0,IF(DF6&lt;=Condition!$F$16,Condition!$D$16,IF(DF6&lt;=Condition!$F$17,Condition!$D$17,IF(DF6&lt;=Condition!$F$18,Condition!$D$18,IF(DF6&gt;Condition!$E$19,Condition!$D$19,"")))))</f>
        <v>0</v>
      </c>
      <c r="DG49" s="85">
        <f>IF(DG6&lt;=Condition!$E$16,0,IF(DG6&lt;=Condition!$F$16,Condition!$D$16,IF(DG6&lt;=Condition!$F$17,Condition!$D$17,IF(DG6&lt;=Condition!$F$18,Condition!$D$18,IF(DG6&gt;Condition!$E$19,Condition!$D$19,"")))))</f>
        <v>0</v>
      </c>
      <c r="DH49" s="85">
        <f>IF(DH6&lt;=Condition!$E$16,0,IF(DH6&lt;=Condition!$F$16,Condition!$D$16,IF(DH6&lt;=Condition!$F$17,Condition!$D$17,IF(DH6&lt;=Condition!$F$18,Condition!$D$18,IF(DH6&gt;Condition!$E$19,Condition!$D$19,"")))))</f>
        <v>0</v>
      </c>
      <c r="DI49" s="85">
        <f>IF(DI6&lt;=Condition!$E$16,0,IF(DI6&lt;=Condition!$F$16,Condition!$D$16,IF(DI6&lt;=Condition!$F$17,Condition!$D$17,IF(DI6&lt;=Condition!$F$18,Condition!$D$18,IF(DI6&gt;Condition!$E$19,Condition!$D$19,"")))))</f>
        <v>0</v>
      </c>
      <c r="DJ49" s="85">
        <f>IF(DJ6&lt;=Condition!$E$16,0,IF(DJ6&lt;=Condition!$F$16,Condition!$D$16,IF(DJ6&lt;=Condition!$F$17,Condition!$D$17,IF(DJ6&lt;=Condition!$F$18,Condition!$D$18,IF(DJ6&gt;Condition!$E$19,Condition!$D$19,"")))))</f>
        <v>0</v>
      </c>
      <c r="DK49" s="85">
        <f>IF(DK6&lt;=Condition!$E$16,0,IF(DK6&lt;=Condition!$F$16,Condition!$D$16,IF(DK6&lt;=Condition!$F$17,Condition!$D$17,IF(DK6&lt;=Condition!$F$18,Condition!$D$18,IF(DK6&gt;Condition!$E$19,Condition!$D$19,"")))))</f>
        <v>0</v>
      </c>
      <c r="DL49" s="85">
        <f>IF(DL6&lt;=Condition!$E$16,0,IF(DL6&lt;=Condition!$F$16,Condition!$D$16,IF(DL6&lt;=Condition!$F$17,Condition!$D$17,IF(DL6&lt;=Condition!$F$18,Condition!$D$18,IF(DL6&gt;Condition!$E$19,Condition!$D$19,"")))))</f>
        <v>0</v>
      </c>
      <c r="DM49" s="85">
        <f>IF(DM6&lt;=Condition!$E$16,0,IF(DM6&lt;=Condition!$F$16,Condition!$D$16,IF(DM6&lt;=Condition!$F$17,Condition!$D$17,IF(DM6&lt;=Condition!$F$18,Condition!$D$18,IF(DM6&gt;Condition!$E$19,Condition!$D$19,"")))))</f>
        <v>0</v>
      </c>
      <c r="DN49" s="85">
        <f>IF(DN6&lt;=Condition!$E$16,0,IF(DN6&lt;=Condition!$F$16,Condition!$D$16,IF(DN6&lt;=Condition!$F$17,Condition!$D$17,IF(DN6&lt;=Condition!$F$18,Condition!$D$18,IF(DN6&gt;Condition!$E$19,Condition!$D$19,"")))))</f>
        <v>0</v>
      </c>
      <c r="DO49" s="85">
        <f>IF(DO6&lt;=Condition!$E$16,0,IF(DO6&lt;=Condition!$F$16,Condition!$D$16,IF(DO6&lt;=Condition!$F$17,Condition!$D$17,IF(DO6&lt;=Condition!$F$18,Condition!$D$18,IF(DO6&gt;Condition!$E$19,Condition!$D$19,"")))))</f>
        <v>0</v>
      </c>
      <c r="DP49" s="85">
        <f>IF(DP6&lt;=Condition!$E$16,0,IF(DP6&lt;=Condition!$F$16,Condition!$D$16,IF(DP6&lt;=Condition!$F$17,Condition!$D$17,IF(DP6&lt;=Condition!$F$18,Condition!$D$18,IF(DP6&gt;Condition!$E$19,Condition!$D$19,"")))))</f>
        <v>0</v>
      </c>
      <c r="DQ49" s="85">
        <f>IF(DQ6&lt;=Condition!$E$16,0,IF(DQ6&lt;=Condition!$F$16,Condition!$D$16,IF(DQ6&lt;=Condition!$F$17,Condition!$D$17,IF(DQ6&lt;=Condition!$F$18,Condition!$D$18,IF(DQ6&gt;Condition!$E$19,Condition!$D$19,"")))))</f>
        <v>0</v>
      </c>
      <c r="DR49" s="85">
        <f>IF(DR6&lt;=Condition!$E$16,0,IF(DR6&lt;=Condition!$F$16,Condition!$D$16,IF(DR6&lt;=Condition!$F$17,Condition!$D$17,IF(DR6&lt;=Condition!$F$18,Condition!$D$18,IF(DR6&gt;Condition!$E$19,Condition!$D$19,"")))))</f>
        <v>0</v>
      </c>
      <c r="DS49" s="85">
        <f>IF(DS6&lt;=Condition!$E$16,0,IF(DS6&lt;=Condition!$F$16,Condition!$D$16,IF(DS6&lt;=Condition!$F$17,Condition!$D$17,IF(DS6&lt;=Condition!$F$18,Condition!$D$18,IF(DS6&gt;Condition!$E$19,Condition!$D$19,"")))))</f>
        <v>0</v>
      </c>
      <c r="DT49" s="85">
        <f>IF(DT6&lt;=Condition!$E$16,0,IF(DT6&lt;=Condition!$F$16,Condition!$D$16,IF(DT6&lt;=Condition!$F$17,Condition!$D$17,IF(DT6&lt;=Condition!$F$18,Condition!$D$18,IF(DT6&gt;Condition!$E$19,Condition!$D$19,"")))))</f>
        <v>0</v>
      </c>
      <c r="DU49" s="85">
        <f>IF(DU6&lt;=Condition!$E$16,0,IF(DU6&lt;=Condition!$F$16,Condition!$D$16,IF(DU6&lt;=Condition!$F$17,Condition!$D$17,IF(DU6&lt;=Condition!$F$18,Condition!$D$18,IF(DU6&gt;Condition!$E$19,Condition!$D$19,"")))))</f>
        <v>0</v>
      </c>
      <c r="DV49" s="85">
        <f>IF(DV6&lt;=Condition!$E$16,0,IF(DV6&lt;=Condition!$F$16,Condition!$D$16,IF(DV6&lt;=Condition!$F$17,Condition!$D$17,IF(DV6&lt;=Condition!$F$18,Condition!$D$18,IF(DV6&gt;Condition!$E$19,Condition!$D$19,"")))))</f>
        <v>0</v>
      </c>
      <c r="DW49" s="85">
        <f>IF(DW6&lt;=Condition!$E$16,0,IF(DW6&lt;=Condition!$F$16,Condition!$D$16,IF(DW6&lt;=Condition!$F$17,Condition!$D$17,IF(DW6&lt;=Condition!$F$18,Condition!$D$18,IF(DW6&gt;Condition!$E$19,Condition!$D$19,"")))))</f>
        <v>0</v>
      </c>
      <c r="DX49" s="85">
        <f>IF(DX6&lt;=Condition!$E$16,0,IF(DX6&lt;=Condition!$F$16,Condition!$D$16,IF(DX6&lt;=Condition!$F$17,Condition!$D$17,IF(DX6&lt;=Condition!$F$18,Condition!$D$18,IF(DX6&gt;Condition!$E$19,Condition!$D$19,"")))))</f>
        <v>0</v>
      </c>
      <c r="DY49" s="85">
        <f>IF(DY6&lt;=Condition!$E$16,0,IF(DY6&lt;=Condition!$F$16,Condition!$D$16,IF(DY6&lt;=Condition!$F$17,Condition!$D$17,IF(DY6&lt;=Condition!$F$18,Condition!$D$18,IF(DY6&gt;Condition!$E$19,Condition!$D$19,"")))))</f>
        <v>0</v>
      </c>
      <c r="DZ49" s="85">
        <f>IF(DZ6&lt;=Condition!$E$16,0,IF(DZ6&lt;=Condition!$F$16,Condition!$D$16,IF(DZ6&lt;=Condition!$F$17,Condition!$D$17,IF(DZ6&lt;=Condition!$F$18,Condition!$D$18,IF(DZ6&gt;Condition!$E$19,Condition!$D$19,"")))))</f>
        <v>0</v>
      </c>
      <c r="EA49" s="85">
        <f>IF(EA6&lt;=Condition!$E$16,0,IF(EA6&lt;=Condition!$F$16,Condition!$D$16,IF(EA6&lt;=Condition!$F$17,Condition!$D$17,IF(EA6&lt;=Condition!$F$18,Condition!$D$18,IF(EA6&gt;Condition!$E$19,Condition!$D$19,"")))))</f>
        <v>0</v>
      </c>
      <c r="EB49" s="85">
        <f>IF(EB6&lt;=Condition!$E$16,0,IF(EB6&lt;=Condition!$F$16,Condition!$D$16,IF(EB6&lt;=Condition!$F$17,Condition!$D$17,IF(EB6&lt;=Condition!$F$18,Condition!$D$18,IF(EB6&gt;Condition!$E$19,Condition!$D$19,"")))))</f>
        <v>0</v>
      </c>
      <c r="EC49" s="85">
        <f>IF(EC6&lt;=Condition!$E$16,0,IF(EC6&lt;=Condition!$F$16,Condition!$D$16,IF(EC6&lt;=Condition!$F$17,Condition!$D$17,IF(EC6&lt;=Condition!$F$18,Condition!$D$18,IF(EC6&gt;Condition!$E$19,Condition!$D$19,"")))))</f>
        <v>0</v>
      </c>
      <c r="ED49" s="85">
        <f>IF(ED6&lt;=Condition!$E$16,0,IF(ED6&lt;=Condition!$F$16,Condition!$D$16,IF(ED6&lt;=Condition!$F$17,Condition!$D$17,IF(ED6&lt;=Condition!$F$18,Condition!$D$18,IF(ED6&gt;Condition!$E$19,Condition!$D$19,"")))))</f>
        <v>0</v>
      </c>
      <c r="EE49" s="85">
        <f>IF(EE6&lt;=Condition!$E$16,0,IF(EE6&lt;=Condition!$F$16,Condition!$D$16,IF(EE6&lt;=Condition!$F$17,Condition!$D$17,IF(EE6&lt;=Condition!$F$18,Condition!$D$18,IF(EE6&gt;Condition!$E$19,Condition!$D$19,"")))))</f>
        <v>0</v>
      </c>
      <c r="EF49" s="85">
        <f>IF(EF6&lt;=Condition!$E$16,0,IF(EF6&lt;=Condition!$F$16,Condition!$D$16,IF(EF6&lt;=Condition!$F$17,Condition!$D$17,IF(EF6&lt;=Condition!$F$18,Condition!$D$18,IF(EF6&gt;Condition!$E$19,Condition!$D$19,"")))))</f>
        <v>0</v>
      </c>
      <c r="EG49" s="85">
        <f>IF(EG6&lt;=Condition!$E$16,0,IF(EG6&lt;=Condition!$F$16,Condition!$D$16,IF(EG6&lt;=Condition!$F$17,Condition!$D$17,IF(EG6&lt;=Condition!$F$18,Condition!$D$18,IF(EG6&gt;Condition!$E$19,Condition!$D$19,"")))))</f>
        <v>0</v>
      </c>
      <c r="EH49" s="85">
        <f>IF(EH6&lt;=Condition!$E$16,0,IF(EH6&lt;=Condition!$F$16,Condition!$D$16,IF(EH6&lt;=Condition!$F$17,Condition!$D$17,IF(EH6&lt;=Condition!$F$18,Condition!$D$18,IF(EH6&gt;Condition!$E$19,Condition!$D$19,"")))))</f>
        <v>0</v>
      </c>
      <c r="EI49" s="85">
        <f>IF(EI6&lt;=Condition!$E$16,0,IF(EI6&lt;=Condition!$F$16,Condition!$D$16,IF(EI6&lt;=Condition!$F$17,Condition!$D$17,IF(EI6&lt;=Condition!$F$18,Condition!$D$18,IF(EI6&gt;Condition!$E$19,Condition!$D$19,"")))))</f>
        <v>0</v>
      </c>
      <c r="EJ49" s="85">
        <f>IF(EJ6&lt;=Condition!$E$16,0,IF(EJ6&lt;=Condition!$F$16,Condition!$D$16,IF(EJ6&lt;=Condition!$F$17,Condition!$D$17,IF(EJ6&lt;=Condition!$F$18,Condition!$D$18,IF(EJ6&gt;Condition!$E$19,Condition!$D$19,"")))))</f>
        <v>0</v>
      </c>
      <c r="EK49" s="85">
        <f>IF(EK6&lt;=Condition!$E$16,0,IF(EK6&lt;=Condition!$F$16,Condition!$D$16,IF(EK6&lt;=Condition!$F$17,Condition!$D$17,IF(EK6&lt;=Condition!$F$18,Condition!$D$18,IF(EK6&gt;Condition!$E$19,Condition!$D$19,"")))))</f>
        <v>0</v>
      </c>
      <c r="EL49" s="85">
        <f>IF(EL6&lt;=Condition!$E$16,0,IF(EL6&lt;=Condition!$F$16,Condition!$D$16,IF(EL6&lt;=Condition!$F$17,Condition!$D$17,IF(EL6&lt;=Condition!$F$18,Condition!$D$18,IF(EL6&gt;Condition!$E$19,Condition!$D$19,"")))))</f>
        <v>0</v>
      </c>
      <c r="EM49" s="85">
        <f>IF(EM6&lt;=Condition!$E$16,0,IF(EM6&lt;=Condition!$F$16,Condition!$D$16,IF(EM6&lt;=Condition!$F$17,Condition!$D$17,IF(EM6&lt;=Condition!$F$18,Condition!$D$18,IF(EM6&gt;Condition!$E$19,Condition!$D$19,"")))))</f>
        <v>0</v>
      </c>
      <c r="EN49" s="85">
        <f>IF(EN6&lt;=Condition!$E$16,0,IF(EN6&lt;=Condition!$F$16,Condition!$D$16,IF(EN6&lt;=Condition!$F$17,Condition!$D$17,IF(EN6&lt;=Condition!$F$18,Condition!$D$18,IF(EN6&gt;Condition!$E$19,Condition!$D$19,"")))))</f>
        <v>0</v>
      </c>
      <c r="EO49" s="85">
        <f>IF(EO6&lt;=Condition!$E$16,0,IF(EO6&lt;=Condition!$F$16,Condition!$D$16,IF(EO6&lt;=Condition!$F$17,Condition!$D$17,IF(EO6&lt;=Condition!$F$18,Condition!$D$18,IF(EO6&gt;Condition!$E$19,Condition!$D$19,"")))))</f>
        <v>0</v>
      </c>
      <c r="EP49" s="85">
        <f>IF(EP6&lt;=Condition!$E$16,0,IF(EP6&lt;=Condition!$F$16,Condition!$D$16,IF(EP6&lt;=Condition!$F$17,Condition!$D$17,IF(EP6&lt;=Condition!$F$18,Condition!$D$18,IF(EP6&gt;Condition!$E$19,Condition!$D$19,"")))))</f>
        <v>0</v>
      </c>
      <c r="EQ49" s="85">
        <f>IF(EQ6&lt;=Condition!$E$16,0,IF(EQ6&lt;=Condition!$F$16,Condition!$D$16,IF(EQ6&lt;=Condition!$F$17,Condition!$D$17,IF(EQ6&lt;=Condition!$F$18,Condition!$D$18,IF(EQ6&gt;Condition!$E$19,Condition!$D$19,"")))))</f>
        <v>0</v>
      </c>
      <c r="ER49" s="85">
        <f>IF(ER6&lt;=Condition!$E$16,0,IF(ER6&lt;=Condition!$F$16,Condition!$D$16,IF(ER6&lt;=Condition!$F$17,Condition!$D$17,IF(ER6&lt;=Condition!$F$18,Condition!$D$18,IF(ER6&gt;Condition!$E$19,Condition!$D$19,"")))))</f>
        <v>0</v>
      </c>
      <c r="ES49" s="85">
        <f>IF(ES6&lt;=Condition!$E$16,0,IF(ES6&lt;=Condition!$F$16,Condition!$D$16,IF(ES6&lt;=Condition!$F$17,Condition!$D$17,IF(ES6&lt;=Condition!$F$18,Condition!$D$18,IF(ES6&gt;Condition!$E$19,Condition!$D$19,"")))))</f>
        <v>0</v>
      </c>
      <c r="ET49" s="85">
        <f>IF(ET6&lt;=Condition!$E$16,0,IF(ET6&lt;=Condition!$F$16,Condition!$D$16,IF(ET6&lt;=Condition!$F$17,Condition!$D$17,IF(ET6&lt;=Condition!$F$18,Condition!$D$18,IF(ET6&gt;Condition!$E$19,Condition!$D$19,"")))))</f>
        <v>0</v>
      </c>
      <c r="EU49" s="85">
        <f>IF(EU6&lt;=Condition!$E$16,0,IF(EU6&lt;=Condition!$F$16,Condition!$D$16,IF(EU6&lt;=Condition!$F$17,Condition!$D$17,IF(EU6&lt;=Condition!$F$18,Condition!$D$18,IF(EU6&gt;Condition!$E$19,Condition!$D$19,"")))))</f>
        <v>0</v>
      </c>
      <c r="EV49" s="85">
        <f>IF(EV6&lt;=Condition!$E$16,0,IF(EV6&lt;=Condition!$F$16,Condition!$D$16,IF(EV6&lt;=Condition!$F$17,Condition!$D$17,IF(EV6&lt;=Condition!$F$18,Condition!$D$18,IF(EV6&gt;Condition!$E$19,Condition!$D$19,"")))))</f>
        <v>0</v>
      </c>
      <c r="EW49" s="85">
        <f>IF(EW6&lt;=Condition!$E$16,0,IF(EW6&lt;=Condition!$F$16,Condition!$D$16,IF(EW6&lt;=Condition!$F$17,Condition!$D$17,IF(EW6&lt;=Condition!$F$18,Condition!$D$18,IF(EW6&gt;Condition!$E$19,Condition!$D$19,"")))))</f>
        <v>0</v>
      </c>
      <c r="EX49" s="85">
        <f>IF(EX6&lt;=Condition!$E$16,0,IF(EX6&lt;=Condition!$F$16,Condition!$D$16,IF(EX6&lt;=Condition!$F$17,Condition!$D$17,IF(EX6&lt;=Condition!$F$18,Condition!$D$18,IF(EX6&gt;Condition!$E$19,Condition!$D$19,"")))))</f>
        <v>0</v>
      </c>
      <c r="EY49" s="85">
        <f>IF(EY6&lt;=Condition!$E$16,0,IF(EY6&lt;=Condition!$F$16,Condition!$D$16,IF(EY6&lt;=Condition!$F$17,Condition!$D$17,IF(EY6&lt;=Condition!$F$18,Condition!$D$18,IF(EY6&gt;Condition!$E$19,Condition!$D$19,"")))))</f>
        <v>0</v>
      </c>
      <c r="EZ49" s="85">
        <f>IF(EZ6&lt;=Condition!$E$16,0,IF(EZ6&lt;=Condition!$F$16,Condition!$D$16,IF(EZ6&lt;=Condition!$F$17,Condition!$D$17,IF(EZ6&lt;=Condition!$F$18,Condition!$D$18,IF(EZ6&gt;Condition!$E$19,Condition!$D$19,"")))))</f>
        <v>0</v>
      </c>
      <c r="FA49" s="85">
        <f>IF(FA6&lt;=Condition!$E$16,0,IF(FA6&lt;=Condition!$F$16,Condition!$D$16,IF(FA6&lt;=Condition!$F$17,Condition!$D$17,IF(FA6&lt;=Condition!$F$18,Condition!$D$18,IF(FA6&gt;Condition!$E$19,Condition!$D$19,"")))))</f>
        <v>0</v>
      </c>
      <c r="FB49" s="85">
        <f>IF(FB6&lt;=Condition!$E$16,0,IF(FB6&lt;=Condition!$F$16,Condition!$D$16,IF(FB6&lt;=Condition!$F$17,Condition!$D$17,IF(FB6&lt;=Condition!$F$18,Condition!$D$18,IF(FB6&gt;Condition!$E$19,Condition!$D$19,"")))))</f>
        <v>0</v>
      </c>
      <c r="FC49" s="85">
        <f>IF(FC6&lt;=Condition!$E$16,0,IF(FC6&lt;=Condition!$F$16,Condition!$D$16,IF(FC6&lt;=Condition!$F$17,Condition!$D$17,IF(FC6&lt;=Condition!$F$18,Condition!$D$18,IF(FC6&gt;Condition!$E$19,Condition!$D$19,"")))))</f>
        <v>0</v>
      </c>
      <c r="FD49" s="85">
        <f>IF(FD6&lt;=Condition!$E$16,0,IF(FD6&lt;=Condition!$F$16,Condition!$D$16,IF(FD6&lt;=Condition!$F$17,Condition!$D$17,IF(FD6&lt;=Condition!$F$18,Condition!$D$18,IF(FD6&gt;Condition!$E$19,Condition!$D$19,"")))))</f>
        <v>0</v>
      </c>
      <c r="FE49" s="85">
        <f>IF(FE6&lt;=Condition!$E$16,0,IF(FE6&lt;=Condition!$F$16,Condition!$D$16,IF(FE6&lt;=Condition!$F$17,Condition!$D$17,IF(FE6&lt;=Condition!$F$18,Condition!$D$18,IF(FE6&gt;Condition!$E$19,Condition!$D$19,"")))))</f>
        <v>0</v>
      </c>
      <c r="FF49" s="85">
        <f>IF(FF6&lt;=Condition!$E$16,0,IF(FF6&lt;=Condition!$F$16,Condition!$D$16,IF(FF6&lt;=Condition!$F$17,Condition!$D$17,IF(FF6&lt;=Condition!$F$18,Condition!$D$18,IF(FF6&gt;Condition!$E$19,Condition!$D$19,"")))))</f>
        <v>0</v>
      </c>
      <c r="FG49" s="85">
        <f>IF(FG6&lt;=Condition!$E$16,0,IF(FG6&lt;=Condition!$F$16,Condition!$D$16,IF(FG6&lt;=Condition!$F$17,Condition!$D$17,IF(FG6&lt;=Condition!$F$18,Condition!$D$18,IF(FG6&gt;Condition!$E$19,Condition!$D$19,"")))))</f>
        <v>0</v>
      </c>
      <c r="FH49" s="85">
        <f>IF(FH6&lt;=Condition!$E$16,0,IF(FH6&lt;=Condition!$F$16,Condition!$D$16,IF(FH6&lt;=Condition!$F$17,Condition!$D$17,IF(FH6&lt;=Condition!$F$18,Condition!$D$18,IF(FH6&gt;Condition!$E$19,Condition!$D$19,"")))))</f>
        <v>0</v>
      </c>
      <c r="FI49" s="85">
        <f>IF(FI6&lt;=Condition!$E$16,0,IF(FI6&lt;=Condition!$F$16,Condition!$D$16,IF(FI6&lt;=Condition!$F$17,Condition!$D$17,IF(FI6&lt;=Condition!$F$18,Condition!$D$18,IF(FI6&gt;Condition!$E$19,Condition!$D$19,"")))))</f>
        <v>0</v>
      </c>
      <c r="FJ49" s="85">
        <f>IF(FJ6&lt;=Condition!$E$16,0,IF(FJ6&lt;=Condition!$F$16,Condition!$D$16,IF(FJ6&lt;=Condition!$F$17,Condition!$D$17,IF(FJ6&lt;=Condition!$F$18,Condition!$D$18,IF(FJ6&gt;Condition!$E$19,Condition!$D$19,"")))))</f>
        <v>0</v>
      </c>
      <c r="FK49" s="85">
        <f>IF(FK6&lt;=Condition!$E$16,0,IF(FK6&lt;=Condition!$F$16,Condition!$D$16,IF(FK6&lt;=Condition!$F$17,Condition!$D$17,IF(FK6&lt;=Condition!$F$18,Condition!$D$18,IF(FK6&gt;Condition!$E$19,Condition!$D$19,"")))))</f>
        <v>0</v>
      </c>
      <c r="FL49" s="85">
        <f>IF(FL6&lt;=Condition!$E$16,0,IF(FL6&lt;=Condition!$F$16,Condition!$D$16,IF(FL6&lt;=Condition!$F$17,Condition!$D$17,IF(FL6&lt;=Condition!$F$18,Condition!$D$18,IF(FL6&gt;Condition!$E$19,Condition!$D$19,"")))))</f>
        <v>0</v>
      </c>
      <c r="FM49" s="85">
        <f>IF(FM6&lt;=Condition!$E$16,0,IF(FM6&lt;=Condition!$F$16,Condition!$D$16,IF(FM6&lt;=Condition!$F$17,Condition!$D$17,IF(FM6&lt;=Condition!$F$18,Condition!$D$18,IF(FM6&gt;Condition!$E$19,Condition!$D$19,"")))))</f>
        <v>0</v>
      </c>
      <c r="FN49" s="85">
        <f>IF(FN6&lt;=Condition!$E$16,0,IF(FN6&lt;=Condition!$F$16,Condition!$D$16,IF(FN6&lt;=Condition!$F$17,Condition!$D$17,IF(FN6&lt;=Condition!$F$18,Condition!$D$18,IF(FN6&gt;Condition!$E$19,Condition!$D$19,"")))))</f>
        <v>0</v>
      </c>
      <c r="FO49" s="85">
        <f>IF(FO6&lt;=Condition!$E$16,0,IF(FO6&lt;=Condition!$F$16,Condition!$D$16,IF(FO6&lt;=Condition!$F$17,Condition!$D$17,IF(FO6&lt;=Condition!$F$18,Condition!$D$18,IF(FO6&gt;Condition!$E$19,Condition!$D$19,"")))))</f>
        <v>0</v>
      </c>
      <c r="FP49" s="85">
        <f>IF(FP6&lt;=Condition!$E$16,0,IF(FP6&lt;=Condition!$F$16,Condition!$D$16,IF(FP6&lt;=Condition!$F$17,Condition!$D$17,IF(FP6&lt;=Condition!$F$18,Condition!$D$18,IF(FP6&gt;Condition!$E$19,Condition!$D$19,"")))))</f>
        <v>0</v>
      </c>
      <c r="FQ49" s="85">
        <f>IF(FQ6&lt;=Condition!$E$16,0,IF(FQ6&lt;=Condition!$F$16,Condition!$D$16,IF(FQ6&lt;=Condition!$F$17,Condition!$D$17,IF(FQ6&lt;=Condition!$F$18,Condition!$D$18,IF(FQ6&gt;Condition!$E$19,Condition!$D$19,"")))))</f>
        <v>0</v>
      </c>
      <c r="FR49" s="85">
        <f>IF(FR6&lt;=Condition!$E$16,0,IF(FR6&lt;=Condition!$F$16,Condition!$D$16,IF(FR6&lt;=Condition!$F$17,Condition!$D$17,IF(FR6&lt;=Condition!$F$18,Condition!$D$18,IF(FR6&gt;Condition!$E$19,Condition!$D$19,"")))))</f>
        <v>0</v>
      </c>
      <c r="FS49" s="85">
        <f>IF(FS6&lt;=Condition!$E$16,0,IF(FS6&lt;=Condition!$F$16,Condition!$D$16,IF(FS6&lt;=Condition!$F$17,Condition!$D$17,IF(FS6&lt;=Condition!$F$18,Condition!$D$18,IF(FS6&gt;Condition!$E$19,Condition!$D$19,"")))))</f>
        <v>0</v>
      </c>
      <c r="FT49" s="85">
        <f>IF(FT6&lt;=Condition!$E$16,0,IF(FT6&lt;=Condition!$F$16,Condition!$D$16,IF(FT6&lt;=Condition!$F$17,Condition!$D$17,IF(FT6&lt;=Condition!$F$18,Condition!$D$18,IF(FT6&gt;Condition!$E$19,Condition!$D$19,"")))))</f>
        <v>0</v>
      </c>
      <c r="FU49" s="85">
        <f>IF(FU6&lt;=Condition!$E$16,0,IF(FU6&lt;=Condition!$F$16,Condition!$D$16,IF(FU6&lt;=Condition!$F$17,Condition!$D$17,IF(FU6&lt;=Condition!$F$18,Condition!$D$18,IF(FU6&gt;Condition!$E$19,Condition!$D$19,"")))))</f>
        <v>0</v>
      </c>
      <c r="FV49" s="85">
        <f>IF(FV6&lt;=Condition!$E$16,0,IF(FV6&lt;=Condition!$F$16,Condition!$D$16,IF(FV6&lt;=Condition!$F$17,Condition!$D$17,IF(FV6&lt;=Condition!$F$18,Condition!$D$18,IF(FV6&gt;Condition!$E$19,Condition!$D$19,"")))))</f>
        <v>0</v>
      </c>
      <c r="FW49" s="85">
        <f>IF(FW6&lt;=Condition!$E$16,0,IF(FW6&lt;=Condition!$F$16,Condition!$D$16,IF(FW6&lt;=Condition!$F$17,Condition!$D$17,IF(FW6&lt;=Condition!$F$18,Condition!$D$18,IF(FW6&gt;Condition!$E$19,Condition!$D$19,"")))))</f>
        <v>0</v>
      </c>
      <c r="FX49" s="85">
        <f>IF(FX6&lt;=Condition!$E$16,0,IF(FX6&lt;=Condition!$F$16,Condition!$D$16,IF(FX6&lt;=Condition!$F$17,Condition!$D$17,IF(FX6&lt;=Condition!$F$18,Condition!$D$18,IF(FX6&gt;Condition!$E$19,Condition!$D$19,"")))))</f>
        <v>0</v>
      </c>
      <c r="FY49" s="85">
        <f>IF(FY6&lt;=Condition!$E$16,0,IF(FY6&lt;=Condition!$F$16,Condition!$D$16,IF(FY6&lt;=Condition!$F$17,Condition!$D$17,IF(FY6&lt;=Condition!$F$18,Condition!$D$18,IF(FY6&gt;Condition!$E$19,Condition!$D$19,"")))))</f>
        <v>0</v>
      </c>
      <c r="FZ49" s="85">
        <f>IF(FZ6&lt;=Condition!$E$16,0,IF(FZ6&lt;=Condition!$F$16,Condition!$D$16,IF(FZ6&lt;=Condition!$F$17,Condition!$D$17,IF(FZ6&lt;=Condition!$F$18,Condition!$D$18,IF(FZ6&gt;Condition!$E$19,Condition!$D$19,"")))))</f>
        <v>0</v>
      </c>
      <c r="GA49" s="85">
        <f>IF(GA6&lt;=Condition!$E$16,0,IF(GA6&lt;=Condition!$F$16,Condition!$D$16,IF(GA6&lt;=Condition!$F$17,Condition!$D$17,IF(GA6&lt;=Condition!$F$18,Condition!$D$18,IF(GA6&gt;Condition!$E$19,Condition!$D$19,"")))))</f>
        <v>0</v>
      </c>
      <c r="GB49" s="85">
        <f>IF(GB6&lt;=Condition!$E$16,0,IF(GB6&lt;=Condition!$F$16,Condition!$D$16,IF(GB6&lt;=Condition!$F$17,Condition!$D$17,IF(GB6&lt;=Condition!$F$18,Condition!$D$18,IF(GB6&gt;Condition!$E$19,Condition!$D$19,"")))))</f>
        <v>0</v>
      </c>
      <c r="GC49" s="85">
        <f>IF(GC6&lt;=Condition!$E$16,0,IF(GC6&lt;=Condition!$F$16,Condition!$D$16,IF(GC6&lt;=Condition!$F$17,Condition!$D$17,IF(GC6&lt;=Condition!$F$18,Condition!$D$18,IF(GC6&gt;Condition!$E$19,Condition!$D$19,"")))))</f>
        <v>0</v>
      </c>
      <c r="GD49" s="85">
        <f>IF(GD6&lt;=Condition!$E$16,0,IF(GD6&lt;=Condition!$F$16,Condition!$D$16,IF(GD6&lt;=Condition!$F$17,Condition!$D$17,IF(GD6&lt;=Condition!$F$18,Condition!$D$18,IF(GD6&gt;Condition!$E$19,Condition!$D$19,"")))))</f>
        <v>0</v>
      </c>
      <c r="GE49" s="85">
        <f>IF(GE6&lt;=Condition!$E$16,0,IF(GE6&lt;=Condition!$F$16,Condition!$D$16,IF(GE6&lt;=Condition!$F$17,Condition!$D$17,IF(GE6&lt;=Condition!$F$18,Condition!$D$18,IF(GE6&gt;Condition!$E$19,Condition!$D$19,"")))))</f>
        <v>0</v>
      </c>
      <c r="GF49" s="85">
        <f>IF(GF6&lt;=Condition!$E$16,0,IF(GF6&lt;=Condition!$F$16,Condition!$D$16,IF(GF6&lt;=Condition!$F$17,Condition!$D$17,IF(GF6&lt;=Condition!$F$18,Condition!$D$18,IF(GF6&gt;Condition!$E$19,Condition!$D$19,"")))))</f>
        <v>0</v>
      </c>
      <c r="GG49" s="85">
        <f>IF(GG6&lt;=Condition!$E$16,0,IF(GG6&lt;=Condition!$F$16,Condition!$D$16,IF(GG6&lt;=Condition!$F$17,Condition!$D$17,IF(GG6&lt;=Condition!$F$18,Condition!$D$18,IF(GG6&gt;Condition!$E$19,Condition!$D$19,"")))))</f>
        <v>0</v>
      </c>
      <c r="GH49" s="85">
        <f>IF(GH6&lt;=Condition!$E$16,0,IF(GH6&lt;=Condition!$F$16,Condition!$D$16,IF(GH6&lt;=Condition!$F$17,Condition!$D$17,IF(GH6&lt;=Condition!$F$18,Condition!$D$18,IF(GH6&gt;Condition!$E$19,Condition!$D$19,"")))))</f>
        <v>0</v>
      </c>
      <c r="GI49" s="85">
        <f>IF(GI6&lt;=Condition!$E$16,0,IF(GI6&lt;=Condition!$F$16,Condition!$D$16,IF(GI6&lt;=Condition!$F$17,Condition!$D$17,IF(GI6&lt;=Condition!$F$18,Condition!$D$18,IF(GI6&gt;Condition!$E$19,Condition!$D$19,"")))))</f>
        <v>0</v>
      </c>
      <c r="GJ49" s="85">
        <f>IF(GJ6&lt;=Condition!$E$16,0,IF(GJ6&lt;=Condition!$F$16,Condition!$D$16,IF(GJ6&lt;=Condition!$F$17,Condition!$D$17,IF(GJ6&lt;=Condition!$F$18,Condition!$D$18,IF(GJ6&gt;Condition!$E$19,Condition!$D$19,"")))))</f>
        <v>0</v>
      </c>
      <c r="GK49" s="85">
        <f>IF(GK6&lt;=Condition!$E$16,0,IF(GK6&lt;=Condition!$F$16,Condition!$D$16,IF(GK6&lt;=Condition!$F$17,Condition!$D$17,IF(GK6&lt;=Condition!$F$18,Condition!$D$18,IF(GK6&gt;Condition!$E$19,Condition!$D$19,"")))))</f>
        <v>0</v>
      </c>
      <c r="GL49" s="85">
        <f>IF(GL6&lt;=Condition!$E$16,0,IF(GL6&lt;=Condition!$F$16,Condition!$D$16,IF(GL6&lt;=Condition!$F$17,Condition!$D$17,IF(GL6&lt;=Condition!$F$18,Condition!$D$18,IF(GL6&gt;Condition!$E$19,Condition!$D$19,"")))))</f>
        <v>0</v>
      </c>
      <c r="GM49" s="85">
        <f>IF(GM6&lt;=Condition!$E$16,0,IF(GM6&lt;=Condition!$F$16,Condition!$D$16,IF(GM6&lt;=Condition!$F$17,Condition!$D$17,IF(GM6&lt;=Condition!$F$18,Condition!$D$18,IF(GM6&gt;Condition!$E$19,Condition!$D$19,"")))))</f>
        <v>0</v>
      </c>
      <c r="GN49" s="85">
        <f>IF(GN6&lt;=Condition!$E$16,0,IF(GN6&lt;=Condition!$F$16,Condition!$D$16,IF(GN6&lt;=Condition!$F$17,Condition!$D$17,IF(GN6&lt;=Condition!$F$18,Condition!$D$18,IF(GN6&gt;Condition!$E$19,Condition!$D$19,"")))))</f>
        <v>0</v>
      </c>
      <c r="GO49" s="85">
        <f>IF(GO6&lt;=Condition!$E$16,0,IF(GO6&lt;=Condition!$F$16,Condition!$D$16,IF(GO6&lt;=Condition!$F$17,Condition!$D$17,IF(GO6&lt;=Condition!$F$18,Condition!$D$18,IF(GO6&gt;Condition!$E$19,Condition!$D$19,"")))))</f>
        <v>0</v>
      </c>
      <c r="GP49" s="85">
        <f>IF(GP6&lt;=Condition!$E$16,0,IF(GP6&lt;=Condition!$F$16,Condition!$D$16,IF(GP6&lt;=Condition!$F$17,Condition!$D$17,IF(GP6&lt;=Condition!$F$18,Condition!$D$18,IF(GP6&gt;Condition!$E$19,Condition!$D$19,"")))))</f>
        <v>0</v>
      </c>
      <c r="GQ49" s="85">
        <f>IF(GQ6&lt;=Condition!$E$16,0,IF(GQ6&lt;=Condition!$F$16,Condition!$D$16,IF(GQ6&lt;=Condition!$F$17,Condition!$D$17,IF(GQ6&lt;=Condition!$F$18,Condition!$D$18,IF(GQ6&gt;Condition!$E$19,Condition!$D$19,"")))))</f>
        <v>0</v>
      </c>
      <c r="GR49" s="85">
        <f>IF(GR6&lt;=Condition!$E$16,0,IF(GR6&lt;=Condition!$F$16,Condition!$D$16,IF(GR6&lt;=Condition!$F$17,Condition!$D$17,IF(GR6&lt;=Condition!$F$18,Condition!$D$18,IF(GR6&gt;Condition!$E$19,Condition!$D$19,"")))))</f>
        <v>0</v>
      </c>
      <c r="GS49" s="85">
        <f>IF(GS6&lt;=Condition!$E$16,0,IF(GS6&lt;=Condition!$F$16,Condition!$D$16,IF(GS6&lt;=Condition!$F$17,Condition!$D$17,IF(GS6&lt;=Condition!$F$18,Condition!$D$18,IF(GS6&gt;Condition!$E$19,Condition!$D$19,"")))))</f>
        <v>0</v>
      </c>
      <c r="GT49" s="85">
        <f>IF(GT6&lt;=Condition!$E$16,0,IF(GT6&lt;=Condition!$F$16,Condition!$D$16,IF(GT6&lt;=Condition!$F$17,Condition!$D$17,IF(GT6&lt;=Condition!$F$18,Condition!$D$18,IF(GT6&gt;Condition!$E$19,Condition!$D$19,"")))))</f>
        <v>0</v>
      </c>
      <c r="GU49" s="85">
        <f>IF(GU6&lt;=Condition!$E$16,0,IF(GU6&lt;=Condition!$F$16,Condition!$D$16,IF(GU6&lt;=Condition!$F$17,Condition!$D$17,IF(GU6&lt;=Condition!$F$18,Condition!$D$18,IF(GU6&gt;Condition!$E$19,Condition!$D$19,"")))))</f>
        <v>0</v>
      </c>
      <c r="GV49" s="85">
        <f>IF(GV6&lt;=Condition!$E$16,0,IF(GV6&lt;=Condition!$F$16,Condition!$D$16,IF(GV6&lt;=Condition!$F$17,Condition!$D$17,IF(GV6&lt;=Condition!$F$18,Condition!$D$18,IF(GV6&gt;Condition!$E$19,Condition!$D$19,"")))))</f>
        <v>0</v>
      </c>
      <c r="GW49" s="85">
        <f>IF(GW6&lt;=Condition!$E$16,0,IF(GW6&lt;=Condition!$F$16,Condition!$D$16,IF(GW6&lt;=Condition!$F$17,Condition!$D$17,IF(GW6&lt;=Condition!$F$18,Condition!$D$18,IF(GW6&gt;Condition!$E$19,Condition!$D$19,"")))))</f>
        <v>0</v>
      </c>
      <c r="GX49" s="85">
        <f>IF(GX6&lt;=Condition!$E$16,0,IF(GX6&lt;=Condition!$F$16,Condition!$D$16,IF(GX6&lt;=Condition!$F$17,Condition!$D$17,IF(GX6&lt;=Condition!$F$18,Condition!$D$18,IF(GX6&gt;Condition!$E$19,Condition!$D$19,"")))))</f>
        <v>0</v>
      </c>
      <c r="GY49" s="85">
        <f>IF(GY6&lt;=Condition!$E$16,0,IF(GY6&lt;=Condition!$F$16,Condition!$D$16,IF(GY6&lt;=Condition!$F$17,Condition!$D$17,IF(GY6&lt;=Condition!$F$18,Condition!$D$18,IF(GY6&gt;Condition!$E$19,Condition!$D$19,"")))))</f>
        <v>0</v>
      </c>
      <c r="GZ49" s="85">
        <f>IF(GZ6&lt;=Condition!$E$16,0,IF(GZ6&lt;=Condition!$F$16,Condition!$D$16,IF(GZ6&lt;=Condition!$F$17,Condition!$D$17,IF(GZ6&lt;=Condition!$F$18,Condition!$D$18,IF(GZ6&gt;Condition!$E$19,Condition!$D$19,"")))))</f>
        <v>0</v>
      </c>
      <c r="HA49" s="85">
        <f>IF(HA6&lt;=Condition!$E$16,0,IF(HA6&lt;=Condition!$F$16,Condition!$D$16,IF(HA6&lt;=Condition!$F$17,Condition!$D$17,IF(HA6&lt;=Condition!$F$18,Condition!$D$18,IF(HA6&gt;Condition!$E$19,Condition!$D$19,"")))))</f>
        <v>0</v>
      </c>
      <c r="HB49" s="85">
        <f>IF(HB6&lt;=Condition!$E$16,0,IF(HB6&lt;=Condition!$F$16,Condition!$D$16,IF(HB6&lt;=Condition!$F$17,Condition!$D$17,IF(HB6&lt;=Condition!$F$18,Condition!$D$18,IF(HB6&gt;Condition!$E$19,Condition!$D$19,"")))))</f>
        <v>0</v>
      </c>
      <c r="HC49" s="85">
        <f>IF(HC6&lt;=Condition!$E$16,0,IF(HC6&lt;=Condition!$F$16,Condition!$D$16,IF(HC6&lt;=Condition!$F$17,Condition!$D$17,IF(HC6&lt;=Condition!$F$18,Condition!$D$18,IF(HC6&gt;Condition!$E$19,Condition!$D$19,"")))))</f>
        <v>0</v>
      </c>
      <c r="HD49" s="85">
        <f>IF(HD6&lt;=Condition!$E$16,0,IF(HD6&lt;=Condition!$F$16,Condition!$D$16,IF(HD6&lt;=Condition!$F$17,Condition!$D$17,IF(HD6&lt;=Condition!$F$18,Condition!$D$18,IF(HD6&gt;Condition!$E$19,Condition!$D$19,"")))))</f>
        <v>0</v>
      </c>
      <c r="HE49" s="85">
        <f>IF(HE6&lt;=Condition!$E$16,0,IF(HE6&lt;=Condition!$F$16,Condition!$D$16,IF(HE6&lt;=Condition!$F$17,Condition!$D$17,IF(HE6&lt;=Condition!$F$18,Condition!$D$18,IF(HE6&gt;Condition!$E$19,Condition!$D$19,"")))))</f>
        <v>0</v>
      </c>
      <c r="HF49" s="85">
        <f>IF(HF6&lt;=Condition!$E$16,0,IF(HF6&lt;=Condition!$F$16,Condition!$D$16,IF(HF6&lt;=Condition!$F$17,Condition!$D$17,IF(HF6&lt;=Condition!$F$18,Condition!$D$18,IF(HF6&gt;Condition!$E$19,Condition!$D$19,"")))))</f>
        <v>0</v>
      </c>
      <c r="HG49" s="85">
        <f>IF(HG6&lt;=Condition!$E$16,0,IF(HG6&lt;=Condition!$F$16,Condition!$D$16,IF(HG6&lt;=Condition!$F$17,Condition!$D$17,IF(HG6&lt;=Condition!$F$18,Condition!$D$18,IF(HG6&gt;Condition!$E$19,Condition!$D$19,"")))))</f>
        <v>0</v>
      </c>
      <c r="HH49" s="85">
        <f>IF(HH6&lt;=Condition!$E$16,0,IF(HH6&lt;=Condition!$F$16,Condition!$D$16,IF(HH6&lt;=Condition!$F$17,Condition!$D$17,IF(HH6&lt;=Condition!$F$18,Condition!$D$18,IF(HH6&gt;Condition!$E$19,Condition!$D$19,"")))))</f>
        <v>0</v>
      </c>
      <c r="HI49" s="85">
        <f>IF(HI6&lt;=Condition!$E$16,0,IF(HI6&lt;=Condition!$F$16,Condition!$D$16,IF(HI6&lt;=Condition!$F$17,Condition!$D$17,IF(HI6&lt;=Condition!$F$18,Condition!$D$18,IF(HI6&gt;Condition!$E$19,Condition!$D$19,"")))))</f>
        <v>0</v>
      </c>
      <c r="HJ49" s="85">
        <f>IF(HJ6&lt;=Condition!$E$16,0,IF(HJ6&lt;=Condition!$F$16,Condition!$D$16,IF(HJ6&lt;=Condition!$F$17,Condition!$D$17,IF(HJ6&lt;=Condition!$F$18,Condition!$D$18,IF(HJ6&gt;Condition!$E$19,Condition!$D$19,"")))))</f>
        <v>0</v>
      </c>
      <c r="HK49" s="85">
        <f>IF(HK6&lt;=Condition!$E$16,0,IF(HK6&lt;=Condition!$F$16,Condition!$D$16,IF(HK6&lt;=Condition!$F$17,Condition!$D$17,IF(HK6&lt;=Condition!$F$18,Condition!$D$18,IF(HK6&gt;Condition!$E$19,Condition!$D$19,"")))))</f>
        <v>0</v>
      </c>
      <c r="HL49" s="85">
        <f>IF(HL6&lt;=Condition!$E$16,0,IF(HL6&lt;=Condition!$F$16,Condition!$D$16,IF(HL6&lt;=Condition!$F$17,Condition!$D$17,IF(HL6&lt;=Condition!$F$18,Condition!$D$18,IF(HL6&gt;Condition!$E$19,Condition!$D$19,"")))))</f>
        <v>0</v>
      </c>
      <c r="HM49" s="85">
        <f>IF(HM6&lt;=Condition!$E$16,0,IF(HM6&lt;=Condition!$F$16,Condition!$D$16,IF(HM6&lt;=Condition!$F$17,Condition!$D$17,IF(HM6&lt;=Condition!$F$18,Condition!$D$18,IF(HM6&gt;Condition!$E$19,Condition!$D$19,"")))))</f>
        <v>0</v>
      </c>
      <c r="HN49" s="85">
        <f>IF(HN6&lt;=Condition!$E$16,0,IF(HN6&lt;=Condition!$F$16,Condition!$D$16,IF(HN6&lt;=Condition!$F$17,Condition!$D$17,IF(HN6&lt;=Condition!$F$18,Condition!$D$18,IF(HN6&gt;Condition!$E$19,Condition!$D$19,"")))))</f>
        <v>0</v>
      </c>
      <c r="HO49" s="85">
        <f>IF(HO6&lt;=Condition!$E$16,0,IF(HO6&lt;=Condition!$F$16,Condition!$D$16,IF(HO6&lt;=Condition!$F$17,Condition!$D$17,IF(HO6&lt;=Condition!$F$18,Condition!$D$18,IF(HO6&gt;Condition!$E$19,Condition!$D$19,"")))))</f>
        <v>0</v>
      </c>
      <c r="HP49" s="85">
        <f>IF(HP6&lt;=Condition!$E$16,0,IF(HP6&lt;=Condition!$F$16,Condition!$D$16,IF(HP6&lt;=Condition!$F$17,Condition!$D$17,IF(HP6&lt;=Condition!$F$18,Condition!$D$18,IF(HP6&gt;Condition!$E$19,Condition!$D$19,"")))))</f>
        <v>0</v>
      </c>
      <c r="HQ49" s="85">
        <f>IF(HQ6&lt;=Condition!$E$16,0,IF(HQ6&lt;=Condition!$F$16,Condition!$D$16,IF(HQ6&lt;=Condition!$F$17,Condition!$D$17,IF(HQ6&lt;=Condition!$F$18,Condition!$D$18,IF(HQ6&gt;Condition!$E$19,Condition!$D$19,"")))))</f>
        <v>0</v>
      </c>
      <c r="HR49" s="85">
        <f>IF(HR6&lt;=Condition!$E$16,0,IF(HR6&lt;=Condition!$F$16,Condition!$D$16,IF(HR6&lt;=Condition!$F$17,Condition!$D$17,IF(HR6&lt;=Condition!$F$18,Condition!$D$18,IF(HR6&gt;Condition!$E$19,Condition!$D$19,"")))))</f>
        <v>0</v>
      </c>
      <c r="HS49" s="85">
        <f>IF(HS6&lt;=Condition!$E$16,0,IF(HS6&lt;=Condition!$F$16,Condition!$D$16,IF(HS6&lt;=Condition!$F$17,Condition!$D$17,IF(HS6&lt;=Condition!$F$18,Condition!$D$18,IF(HS6&gt;Condition!$E$19,Condition!$D$19,"")))))</f>
        <v>0</v>
      </c>
      <c r="HT49" s="85">
        <f>IF(HT6&lt;=Condition!$E$16,0,IF(HT6&lt;=Condition!$F$16,Condition!$D$16,IF(HT6&lt;=Condition!$F$17,Condition!$D$17,IF(HT6&lt;=Condition!$F$18,Condition!$D$18,IF(HT6&gt;Condition!$E$19,Condition!$D$19,"")))))</f>
        <v>0</v>
      </c>
      <c r="HU49" s="85">
        <f>IF(HU6&lt;=Condition!$E$16,0,IF(HU6&lt;=Condition!$F$16,Condition!$D$16,IF(HU6&lt;=Condition!$F$17,Condition!$D$17,IF(HU6&lt;=Condition!$F$18,Condition!$D$18,IF(HU6&gt;Condition!$E$19,Condition!$D$19,"")))))</f>
        <v>0</v>
      </c>
      <c r="HV49" s="85">
        <f>IF(HV6&lt;=Condition!$E$16,0,IF(HV6&lt;=Condition!$F$16,Condition!$D$16,IF(HV6&lt;=Condition!$F$17,Condition!$D$17,IF(HV6&lt;=Condition!$F$18,Condition!$D$18,IF(HV6&gt;Condition!$E$19,Condition!$D$19,"")))))</f>
        <v>0</v>
      </c>
      <c r="HW49" s="85">
        <f>IF(HW6&lt;=Condition!$E$16,0,IF(HW6&lt;=Condition!$F$16,Condition!$D$16,IF(HW6&lt;=Condition!$F$17,Condition!$D$17,IF(HW6&lt;=Condition!$F$18,Condition!$D$18,IF(HW6&gt;Condition!$E$19,Condition!$D$19,"")))))</f>
        <v>0</v>
      </c>
      <c r="HX49" s="85">
        <f>IF(HX6&lt;=Condition!$E$16,0,IF(HX6&lt;=Condition!$F$16,Condition!$D$16,IF(HX6&lt;=Condition!$F$17,Condition!$D$17,IF(HX6&lt;=Condition!$F$18,Condition!$D$18,IF(HX6&gt;Condition!$E$19,Condition!$D$19,"")))))</f>
        <v>0</v>
      </c>
      <c r="HY49" s="85">
        <f>IF(HY6&lt;=Condition!$E$16,0,IF(HY6&lt;=Condition!$F$16,Condition!$D$16,IF(HY6&lt;=Condition!$F$17,Condition!$D$17,IF(HY6&lt;=Condition!$F$18,Condition!$D$18,IF(HY6&gt;Condition!$E$19,Condition!$D$19,"")))))</f>
        <v>0</v>
      </c>
      <c r="HZ49" s="85">
        <f>IF(HZ6&lt;=Condition!$E$16,0,IF(HZ6&lt;=Condition!$F$16,Condition!$D$16,IF(HZ6&lt;=Condition!$F$17,Condition!$D$17,IF(HZ6&lt;=Condition!$F$18,Condition!$D$18,IF(HZ6&gt;Condition!$E$19,Condition!$D$19,"")))))</f>
        <v>0</v>
      </c>
      <c r="IA49" s="85">
        <f>IF(IA6&lt;=Condition!$E$16,0,IF(IA6&lt;=Condition!$F$16,Condition!$D$16,IF(IA6&lt;=Condition!$F$17,Condition!$D$17,IF(IA6&lt;=Condition!$F$18,Condition!$D$18,IF(IA6&gt;Condition!$E$19,Condition!$D$19,"")))))</f>
        <v>0</v>
      </c>
      <c r="IB49" s="85">
        <f>IF(IB6&lt;=Condition!$E$16,0,IF(IB6&lt;=Condition!$F$16,Condition!$D$16,IF(IB6&lt;=Condition!$F$17,Condition!$D$17,IF(IB6&lt;=Condition!$F$18,Condition!$D$18,IF(IB6&gt;Condition!$E$19,Condition!$D$19,"")))))</f>
        <v>0</v>
      </c>
      <c r="IC49" s="85">
        <f>IF(IC6&lt;=Condition!$E$16,0,IF(IC6&lt;=Condition!$F$16,Condition!$D$16,IF(IC6&lt;=Condition!$F$17,Condition!$D$17,IF(IC6&lt;=Condition!$F$18,Condition!$D$18,IF(IC6&gt;Condition!$E$19,Condition!$D$19,"")))))</f>
        <v>0</v>
      </c>
      <c r="ID49" s="85">
        <f>IF(ID6&lt;=Condition!$E$16,0,IF(ID6&lt;=Condition!$F$16,Condition!$D$16,IF(ID6&lt;=Condition!$F$17,Condition!$D$17,IF(ID6&lt;=Condition!$F$18,Condition!$D$18,IF(ID6&gt;Condition!$E$19,Condition!$D$19,"")))))</f>
        <v>0</v>
      </c>
      <c r="IE49" s="85">
        <f>IF(IE6&lt;=Condition!$E$16,0,IF(IE6&lt;=Condition!$F$16,Condition!$D$16,IF(IE6&lt;=Condition!$F$17,Condition!$D$17,IF(IE6&lt;=Condition!$F$18,Condition!$D$18,IF(IE6&gt;Condition!$E$19,Condition!$D$19,"")))))</f>
        <v>0</v>
      </c>
      <c r="IF49" s="85">
        <f>IF(IF6&lt;=Condition!$E$16,0,IF(IF6&lt;=Condition!$F$16,Condition!$D$16,IF(IF6&lt;=Condition!$F$17,Condition!$D$17,IF(IF6&lt;=Condition!$F$18,Condition!$D$18,IF(IF6&gt;Condition!$E$19,Condition!$D$19,"")))))</f>
        <v>0</v>
      </c>
      <c r="IG49" s="85">
        <f>IF(IG6&lt;=Condition!$E$16,0,IF(IG6&lt;=Condition!$F$16,Condition!$D$16,IF(IG6&lt;=Condition!$F$17,Condition!$D$17,IF(IG6&lt;=Condition!$F$18,Condition!$D$18,IF(IG6&gt;Condition!$E$19,Condition!$D$19,"")))))</f>
        <v>0</v>
      </c>
      <c r="IH49" s="85">
        <f>IF(IH6&lt;=Condition!$E$16,0,IF(IH6&lt;=Condition!$F$16,Condition!$D$16,IF(IH6&lt;=Condition!$F$17,Condition!$D$17,IF(IH6&lt;=Condition!$F$18,Condition!$D$18,IF(IH6&gt;Condition!$E$19,Condition!$D$19,"")))))</f>
        <v>0</v>
      </c>
      <c r="II49" s="85">
        <f>IF(II6&lt;=Condition!$E$16,0,IF(II6&lt;=Condition!$F$16,Condition!$D$16,IF(II6&lt;=Condition!$F$17,Condition!$D$17,IF(II6&lt;=Condition!$F$18,Condition!$D$18,IF(II6&gt;Condition!$E$19,Condition!$D$19,"")))))</f>
        <v>0</v>
      </c>
      <c r="IJ49" s="85">
        <f>IF(IJ6&lt;=Condition!$E$16,0,IF(IJ6&lt;=Condition!$F$16,Condition!$D$16,IF(IJ6&lt;=Condition!$F$17,Condition!$D$17,IF(IJ6&lt;=Condition!$F$18,Condition!$D$18,IF(IJ6&gt;Condition!$E$19,Condition!$D$19,"")))))</f>
        <v>0</v>
      </c>
      <c r="IK49" s="85">
        <f>IF(IK6&lt;=Condition!$E$16,0,IF(IK6&lt;=Condition!$F$16,Condition!$D$16,IF(IK6&lt;=Condition!$F$17,Condition!$D$17,IF(IK6&lt;=Condition!$F$18,Condition!$D$18,IF(IK6&gt;Condition!$E$19,Condition!$D$19,"")))))</f>
        <v>0</v>
      </c>
      <c r="IL49" s="85">
        <f>IF(IL6&lt;=Condition!$E$16,0,IF(IL6&lt;=Condition!$F$16,Condition!$D$16,IF(IL6&lt;=Condition!$F$17,Condition!$D$17,IF(IL6&lt;=Condition!$F$18,Condition!$D$18,IF(IL6&gt;Condition!$E$19,Condition!$D$19,"")))))</f>
        <v>0</v>
      </c>
      <c r="IM49" s="85">
        <f>IF(IM6&lt;=Condition!$E$16,0,IF(IM6&lt;=Condition!$F$16,Condition!$D$16,IF(IM6&lt;=Condition!$F$17,Condition!$D$17,IF(IM6&lt;=Condition!$F$18,Condition!$D$18,IF(IM6&gt;Condition!$E$19,Condition!$D$19,"")))))</f>
        <v>0</v>
      </c>
      <c r="IN49" s="85">
        <f>IF(IN6&lt;=Condition!$E$16,0,IF(IN6&lt;=Condition!$F$16,Condition!$D$16,IF(IN6&lt;=Condition!$F$17,Condition!$D$17,IF(IN6&lt;=Condition!$F$18,Condition!$D$18,IF(IN6&gt;Condition!$E$19,Condition!$D$19,"")))))</f>
        <v>0</v>
      </c>
      <c r="IO49" s="85">
        <f>IF(IO6&lt;=Condition!$E$16,0,IF(IO6&lt;=Condition!$F$16,Condition!$D$16,IF(IO6&lt;=Condition!$F$17,Condition!$D$17,IF(IO6&lt;=Condition!$F$18,Condition!$D$18,IF(IO6&gt;Condition!$E$19,Condition!$D$19,"")))))</f>
        <v>0</v>
      </c>
      <c r="IP49" s="85">
        <f>IF(IP6&lt;=Condition!$E$16,0,IF(IP6&lt;=Condition!$F$16,Condition!$D$16,IF(IP6&lt;=Condition!$F$17,Condition!$D$17,IF(IP6&lt;=Condition!$F$18,Condition!$D$18,IF(IP6&gt;Condition!$E$19,Condition!$D$19,"")))))</f>
        <v>0</v>
      </c>
      <c r="IQ49" s="85">
        <f>IF(IQ6&lt;=Condition!$E$16,0,IF(IQ6&lt;=Condition!$F$16,Condition!$D$16,IF(IQ6&lt;=Condition!$F$17,Condition!$D$17,IF(IQ6&lt;=Condition!$F$18,Condition!$D$18,IF(IQ6&gt;Condition!$E$19,Condition!$D$19,"")))))</f>
        <v>0</v>
      </c>
      <c r="IR49" s="85">
        <f>IF(IR6&lt;=Condition!$E$16,0,IF(IR6&lt;=Condition!$F$16,Condition!$D$16,IF(IR6&lt;=Condition!$F$17,Condition!$D$17,IF(IR6&lt;=Condition!$F$18,Condition!$D$18,IF(IR6&gt;Condition!$E$19,Condition!$D$19,"")))))</f>
        <v>0</v>
      </c>
      <c r="IS49" s="85">
        <f>IF(IS6&lt;=Condition!$E$16,0,IF(IS6&lt;=Condition!$F$16,Condition!$D$16,IF(IS6&lt;=Condition!$F$17,Condition!$D$17,IF(IS6&lt;=Condition!$F$18,Condition!$D$18,IF(IS6&gt;Condition!$E$19,Condition!$D$19,"")))))</f>
        <v>0</v>
      </c>
      <c r="IT49" s="85">
        <f>IF(IT6&lt;=Condition!$E$16,0,IF(IT6&lt;=Condition!$F$16,Condition!$D$16,IF(IT6&lt;=Condition!$F$17,Condition!$D$17,IF(IT6&lt;=Condition!$F$18,Condition!$D$18,IF(IT6&gt;Condition!$E$19,Condition!$D$19,"")))))</f>
        <v>0</v>
      </c>
      <c r="IU49" s="85">
        <f>IF(IU6&lt;=Condition!$E$16,0,IF(IU6&lt;=Condition!$F$16,Condition!$D$16,IF(IU6&lt;=Condition!$F$17,Condition!$D$17,IF(IU6&lt;=Condition!$F$18,Condition!$D$18,IF(IU6&gt;Condition!$E$19,Condition!$D$19,"")))))</f>
        <v>0</v>
      </c>
      <c r="IV49" s="85">
        <f>IF(IV6&lt;=Condition!$E$16,0,IF(IV6&lt;=Condition!$F$16,Condition!$D$16,IF(IV6&lt;=Condition!$F$17,Condition!$D$17,IF(IV6&lt;=Condition!$F$18,Condition!$D$18,IF(IV6&gt;Condition!$E$19,Condition!$D$19,"")))))</f>
        <v>0</v>
      </c>
      <c r="IW49" s="85">
        <f>IF(IW6&lt;=Condition!$E$16,0,IF(IW6&lt;=Condition!$F$16,Condition!$D$16,IF(IW6&lt;=Condition!$F$17,Condition!$D$17,IF(IW6&lt;=Condition!$F$18,Condition!$D$18,IF(IW6&gt;Condition!$E$19,Condition!$D$19,"")))))</f>
        <v>0</v>
      </c>
      <c r="IX49" s="85">
        <f>IF(IX6&lt;=Condition!$E$16,0,IF(IX6&lt;=Condition!$F$16,Condition!$D$16,IF(IX6&lt;=Condition!$F$17,Condition!$D$17,IF(IX6&lt;=Condition!$F$18,Condition!$D$18,IF(IX6&gt;Condition!$E$19,Condition!$D$19,"")))))</f>
        <v>0</v>
      </c>
      <c r="IY49" s="85">
        <f>IF(IY6&lt;=Condition!$E$16,0,IF(IY6&lt;=Condition!$F$16,Condition!$D$16,IF(IY6&lt;=Condition!$F$17,Condition!$D$17,IF(IY6&lt;=Condition!$F$18,Condition!$D$18,IF(IY6&gt;Condition!$E$19,Condition!$D$19,"")))))</f>
        <v>0</v>
      </c>
      <c r="IZ49" s="85">
        <f>IF(IZ6&lt;=Condition!$E$16,0,IF(IZ6&lt;=Condition!$F$16,Condition!$D$16,IF(IZ6&lt;=Condition!$F$17,Condition!$D$17,IF(IZ6&lt;=Condition!$F$18,Condition!$D$18,IF(IZ6&gt;Condition!$E$19,Condition!$D$19,"")))))</f>
        <v>0</v>
      </c>
      <c r="JA49" s="85">
        <f>IF(JA6&lt;=Condition!$E$16,0,IF(JA6&lt;=Condition!$F$16,Condition!$D$16,IF(JA6&lt;=Condition!$F$17,Condition!$D$17,IF(JA6&lt;=Condition!$F$18,Condition!$D$18,IF(JA6&gt;Condition!$E$19,Condition!$D$19,"")))))</f>
        <v>0</v>
      </c>
      <c r="JB49" s="85">
        <f>IF(JB6&lt;=Condition!$E$16,0,IF(JB6&lt;=Condition!$F$16,Condition!$D$16,IF(JB6&lt;=Condition!$F$17,Condition!$D$17,IF(JB6&lt;=Condition!$F$18,Condition!$D$18,IF(JB6&gt;Condition!$E$19,Condition!$D$19,"")))))</f>
        <v>0</v>
      </c>
      <c r="JC49" s="85">
        <f>IF(JC6&lt;=Condition!$E$16,0,IF(JC6&lt;=Condition!$F$16,Condition!$D$16,IF(JC6&lt;=Condition!$F$17,Condition!$D$17,IF(JC6&lt;=Condition!$F$18,Condition!$D$18,IF(JC6&gt;Condition!$E$19,Condition!$D$19,"")))))</f>
        <v>0</v>
      </c>
      <c r="JD49" s="85">
        <f>IF(JD6&lt;=Condition!$E$16,0,IF(JD6&lt;=Condition!$F$16,Condition!$D$16,IF(JD6&lt;=Condition!$F$17,Condition!$D$17,IF(JD6&lt;=Condition!$F$18,Condition!$D$18,IF(JD6&gt;Condition!$E$19,Condition!$D$19,"")))))</f>
        <v>0</v>
      </c>
      <c r="JE49" s="85">
        <f>IF(JE6&lt;=Condition!$E$16,0,IF(JE6&lt;=Condition!$F$16,Condition!$D$16,IF(JE6&lt;=Condition!$F$17,Condition!$D$17,IF(JE6&lt;=Condition!$F$18,Condition!$D$18,IF(JE6&gt;Condition!$E$19,Condition!$D$19,"")))))</f>
        <v>0</v>
      </c>
      <c r="JF49" s="85">
        <f>IF(JF6&lt;=Condition!$E$16,0,IF(JF6&lt;=Condition!$F$16,Condition!$D$16,IF(JF6&lt;=Condition!$F$17,Condition!$D$17,IF(JF6&lt;=Condition!$F$18,Condition!$D$18,IF(JF6&gt;Condition!$E$19,Condition!$D$19,"")))))</f>
        <v>0</v>
      </c>
      <c r="JG49" s="85">
        <f>IF(JG6&lt;=Condition!$E$16,0,IF(JG6&lt;=Condition!$F$16,Condition!$D$16,IF(JG6&lt;=Condition!$F$17,Condition!$D$17,IF(JG6&lt;=Condition!$F$18,Condition!$D$18,IF(JG6&gt;Condition!$E$19,Condition!$D$19,"")))))</f>
        <v>0</v>
      </c>
      <c r="JH49" s="85">
        <f>IF(JH6&lt;=Condition!$E$16,0,IF(JH6&lt;=Condition!$F$16,Condition!$D$16,IF(JH6&lt;=Condition!$F$17,Condition!$D$17,IF(JH6&lt;=Condition!$F$18,Condition!$D$18,IF(JH6&gt;Condition!$E$19,Condition!$D$19,"")))))</f>
        <v>0</v>
      </c>
      <c r="JI49" s="85">
        <f>IF(JI6&lt;=Condition!$E$16,0,IF(JI6&lt;=Condition!$F$16,Condition!$D$16,IF(JI6&lt;=Condition!$F$17,Condition!$D$17,IF(JI6&lt;=Condition!$F$18,Condition!$D$18,IF(JI6&gt;Condition!$E$19,Condition!$D$19,"")))))</f>
        <v>0</v>
      </c>
      <c r="JJ49" s="85">
        <f>IF(JJ6&lt;=Condition!$E$16,0,IF(JJ6&lt;=Condition!$F$16,Condition!$D$16,IF(JJ6&lt;=Condition!$F$17,Condition!$D$17,IF(JJ6&lt;=Condition!$F$18,Condition!$D$18,IF(JJ6&gt;Condition!$E$19,Condition!$D$19,"")))))</f>
        <v>0</v>
      </c>
      <c r="JK49" s="85">
        <f>IF(JK6&lt;=Condition!$E$16,0,IF(JK6&lt;=Condition!$F$16,Condition!$D$16,IF(JK6&lt;=Condition!$F$17,Condition!$D$17,IF(JK6&lt;=Condition!$F$18,Condition!$D$18,IF(JK6&gt;Condition!$E$19,Condition!$D$19,"")))))</f>
        <v>0</v>
      </c>
      <c r="JL49" s="85">
        <f>IF(JL6&lt;=Condition!$E$16,0,IF(JL6&lt;=Condition!$F$16,Condition!$D$16,IF(JL6&lt;=Condition!$F$17,Condition!$D$17,IF(JL6&lt;=Condition!$F$18,Condition!$D$18,IF(JL6&gt;Condition!$E$19,Condition!$D$19,"")))))</f>
        <v>0</v>
      </c>
      <c r="JM49" s="85">
        <f>IF(JM6&lt;=Condition!$E$16,0,IF(JM6&lt;=Condition!$F$16,Condition!$D$16,IF(JM6&lt;=Condition!$F$17,Condition!$D$17,IF(JM6&lt;=Condition!$F$18,Condition!$D$18,IF(JM6&gt;Condition!$E$19,Condition!$D$19,"")))))</f>
        <v>0</v>
      </c>
      <c r="JN49" s="85">
        <f>IF(JN6&lt;=Condition!$E$16,0,IF(JN6&lt;=Condition!$F$16,Condition!$D$16,IF(JN6&lt;=Condition!$F$17,Condition!$D$17,IF(JN6&lt;=Condition!$F$18,Condition!$D$18,IF(JN6&gt;Condition!$E$19,Condition!$D$19,"")))))</f>
        <v>0</v>
      </c>
      <c r="JO49" s="85">
        <f>IF(JO6&lt;=Condition!$E$16,0,IF(JO6&lt;=Condition!$F$16,Condition!$D$16,IF(JO6&lt;=Condition!$F$17,Condition!$D$17,IF(JO6&lt;=Condition!$F$18,Condition!$D$18,IF(JO6&gt;Condition!$E$19,Condition!$D$19,"")))))</f>
        <v>0</v>
      </c>
      <c r="JP49" s="85">
        <f>IF(JP6&lt;=Condition!$E$16,0,IF(JP6&lt;=Condition!$F$16,Condition!$D$16,IF(JP6&lt;=Condition!$F$17,Condition!$D$17,IF(JP6&lt;=Condition!$F$18,Condition!$D$18,IF(JP6&gt;Condition!$E$19,Condition!$D$19,"")))))</f>
        <v>0</v>
      </c>
      <c r="JQ49" s="85">
        <f>IF(JQ6&lt;=Condition!$E$16,0,IF(JQ6&lt;=Condition!$F$16,Condition!$D$16,IF(JQ6&lt;=Condition!$F$17,Condition!$D$17,IF(JQ6&lt;=Condition!$F$18,Condition!$D$18,IF(JQ6&gt;Condition!$E$19,Condition!$D$19,"")))))</f>
        <v>0</v>
      </c>
      <c r="JR49" s="85">
        <f>IF(JR6&lt;=Condition!$E$16,0,IF(JR6&lt;=Condition!$F$16,Condition!$D$16,IF(JR6&lt;=Condition!$F$17,Condition!$D$17,IF(JR6&lt;=Condition!$F$18,Condition!$D$18,IF(JR6&gt;Condition!$E$19,Condition!$D$19,"")))))</f>
        <v>0</v>
      </c>
      <c r="JS49" s="85">
        <f>IF(JS6&lt;=Condition!$E$16,0,IF(JS6&lt;=Condition!$F$16,Condition!$D$16,IF(JS6&lt;=Condition!$F$17,Condition!$D$17,IF(JS6&lt;=Condition!$F$18,Condition!$D$18,IF(JS6&gt;Condition!$E$19,Condition!$D$19,"")))))</f>
        <v>0</v>
      </c>
      <c r="JT49" s="85">
        <f>IF(JT6&lt;=Condition!$E$16,0,IF(JT6&lt;=Condition!$F$16,Condition!$D$16,IF(JT6&lt;=Condition!$F$17,Condition!$D$17,IF(JT6&lt;=Condition!$F$18,Condition!$D$18,IF(JT6&gt;Condition!$E$19,Condition!$D$19,"")))))</f>
        <v>0</v>
      </c>
      <c r="JU49" s="85">
        <f>IF(JU6&lt;=Condition!$E$16,0,IF(JU6&lt;=Condition!$F$16,Condition!$D$16,IF(JU6&lt;=Condition!$F$17,Condition!$D$17,IF(JU6&lt;=Condition!$F$18,Condition!$D$18,IF(JU6&gt;Condition!$E$19,Condition!$D$19,"")))))</f>
        <v>0</v>
      </c>
      <c r="JV49" s="85">
        <f>IF(JV6&lt;=Condition!$E$16,0,IF(JV6&lt;=Condition!$F$16,Condition!$D$16,IF(JV6&lt;=Condition!$F$17,Condition!$D$17,IF(JV6&lt;=Condition!$F$18,Condition!$D$18,IF(JV6&gt;Condition!$E$19,Condition!$D$19,"")))))</f>
        <v>0</v>
      </c>
      <c r="JW49" s="85">
        <f>IF(JW6&lt;=Condition!$E$16,0,IF(JW6&lt;=Condition!$F$16,Condition!$D$16,IF(JW6&lt;=Condition!$F$17,Condition!$D$17,IF(JW6&lt;=Condition!$F$18,Condition!$D$18,IF(JW6&gt;Condition!$E$19,Condition!$D$19,"")))))</f>
        <v>0</v>
      </c>
      <c r="JX49" s="85">
        <f>IF(JX6&lt;=Condition!$E$16,0,IF(JX6&lt;=Condition!$F$16,Condition!$D$16,IF(JX6&lt;=Condition!$F$17,Condition!$D$17,IF(JX6&lt;=Condition!$F$18,Condition!$D$18,IF(JX6&gt;Condition!$E$19,Condition!$D$19,"")))))</f>
        <v>0</v>
      </c>
      <c r="JY49" s="85">
        <f>IF(JY6&lt;=Condition!$E$16,0,IF(JY6&lt;=Condition!$F$16,Condition!$D$16,IF(JY6&lt;=Condition!$F$17,Condition!$D$17,IF(JY6&lt;=Condition!$F$18,Condition!$D$18,IF(JY6&gt;Condition!$E$19,Condition!$D$19,"")))))</f>
        <v>0</v>
      </c>
      <c r="JZ49" s="85">
        <f>IF(JZ6&lt;=Condition!$E$16,0,IF(JZ6&lt;=Condition!$F$16,Condition!$D$16,IF(JZ6&lt;=Condition!$F$17,Condition!$D$17,IF(JZ6&lt;=Condition!$F$18,Condition!$D$18,IF(JZ6&gt;Condition!$E$19,Condition!$D$19,"")))))</f>
        <v>0</v>
      </c>
      <c r="KA49" s="85">
        <f>IF(KA6&lt;=Condition!$E$16,0,IF(KA6&lt;=Condition!$F$16,Condition!$D$16,IF(KA6&lt;=Condition!$F$17,Condition!$D$17,IF(KA6&lt;=Condition!$F$18,Condition!$D$18,IF(KA6&gt;Condition!$E$19,Condition!$D$19,"")))))</f>
        <v>0</v>
      </c>
      <c r="KB49" s="85">
        <f>IF(KB6&lt;=Condition!$E$16,0,IF(KB6&lt;=Condition!$F$16,Condition!$D$16,IF(KB6&lt;=Condition!$F$17,Condition!$D$17,IF(KB6&lt;=Condition!$F$18,Condition!$D$18,IF(KB6&gt;Condition!$E$19,Condition!$D$19,"")))))</f>
        <v>0</v>
      </c>
      <c r="KC49" s="85">
        <f>IF(KC6&lt;=Condition!$E$16,0,IF(KC6&lt;=Condition!$F$16,Condition!$D$16,IF(KC6&lt;=Condition!$F$17,Condition!$D$17,IF(KC6&lt;=Condition!$F$18,Condition!$D$18,IF(KC6&gt;Condition!$E$19,Condition!$D$19,"")))))</f>
        <v>0</v>
      </c>
      <c r="KD49" s="85">
        <f>IF(KD6&lt;=Condition!$E$16,0,IF(KD6&lt;=Condition!$F$16,Condition!$D$16,IF(KD6&lt;=Condition!$F$17,Condition!$D$17,IF(KD6&lt;=Condition!$F$18,Condition!$D$18,IF(KD6&gt;Condition!$E$19,Condition!$D$19,"")))))</f>
        <v>0</v>
      </c>
      <c r="KE49" s="85">
        <f>IF(KE6&lt;=Condition!$E$16,0,IF(KE6&lt;=Condition!$F$16,Condition!$D$16,IF(KE6&lt;=Condition!$F$17,Condition!$D$17,IF(KE6&lt;=Condition!$F$18,Condition!$D$18,IF(KE6&gt;Condition!$E$19,Condition!$D$19,"")))))</f>
        <v>0</v>
      </c>
      <c r="KF49" s="85">
        <f>IF(KF6&lt;=Condition!$E$16,0,IF(KF6&lt;=Condition!$F$16,Condition!$D$16,IF(KF6&lt;=Condition!$F$17,Condition!$D$17,IF(KF6&lt;=Condition!$F$18,Condition!$D$18,IF(KF6&gt;Condition!$E$19,Condition!$D$19,"")))))</f>
        <v>0</v>
      </c>
      <c r="KG49" s="85">
        <f>IF(KG6&lt;=Condition!$E$16,0,IF(KG6&lt;=Condition!$F$16,Condition!$D$16,IF(KG6&lt;=Condition!$F$17,Condition!$D$17,IF(KG6&lt;=Condition!$F$18,Condition!$D$18,IF(KG6&gt;Condition!$E$19,Condition!$D$19,"")))))</f>
        <v>0</v>
      </c>
      <c r="KH49" s="85">
        <f>IF(KH6&lt;=Condition!$E$16,0,IF(KH6&lt;=Condition!$F$16,Condition!$D$16,IF(KH6&lt;=Condition!$F$17,Condition!$D$17,IF(KH6&lt;=Condition!$F$18,Condition!$D$18,IF(KH6&gt;Condition!$E$19,Condition!$D$19,"")))))</f>
        <v>0</v>
      </c>
      <c r="KI49" s="85">
        <f>IF(KI6&lt;=Condition!$E$16,0,IF(KI6&lt;=Condition!$F$16,Condition!$D$16,IF(KI6&lt;=Condition!$F$17,Condition!$D$17,IF(KI6&lt;=Condition!$F$18,Condition!$D$18,IF(KI6&gt;Condition!$E$19,Condition!$D$19,"")))))</f>
        <v>0</v>
      </c>
    </row>
    <row r="50" spans="2:295" x14ac:dyDescent="0.25">
      <c r="B50" s="15">
        <f t="shared" ref="B50:E50" si="3">B7</f>
        <v>2</v>
      </c>
      <c r="C50" s="25" t="str">
        <f t="shared" si="3"/>
        <v>DSL-DHK</v>
      </c>
      <c r="D50" s="25" t="str">
        <f t="shared" si="3"/>
        <v>Sagar Chakrobarti</v>
      </c>
      <c r="E50" s="26">
        <f t="shared" si="3"/>
        <v>2701</v>
      </c>
      <c r="F50" s="112">
        <f t="shared" ref="F50:F79" si="4">H50+J50+L50+N50+P50+R50+T50+V50+X50+Z50+AB50+AD50+AF50+AH50+AJ50+AL50+AN50+AP50+AR50+AT50+AV50+AX50+AZ50+BB50+BD50+BF50+BH50+BJ50+BL50+BN50+BP50+BR50+BT50+BV50+BX50+BZ50+CB50+CD50+CF50+CH50+CJ50+CL50+CN50+CP50+CR50+CT50+CV50+CX50+CZ50+DB50+DD50+DF50+DH50+DJ50+DL50+DN50+DP50+DR50+DT50+DV50+DX50+DZ50+EB50+ED50+EF50+EH50+EJ50+EL50+EN50+EP50+ER50+ET50+EV50+EX50+EZ50+FB50+FD50+FF50+FH50+FJ50+FL50+FN50+FP50+FR50+FT50+FV50+FX50+FZ50+GB50+GD50+GF50+GH50+GJ50+GL50+GN50+GP50+GR50+GT50+GV50+GX50+GZ50+HB50+HD50+HF50+HH50+HJ50+HL50+HN50+HP50+HR50+HT50+HV50+HX50+HZ50+IB50+ID50+IF50+IH50+IJ50+IL50+IN50+IP50+IR50+IT50+IV50+IX50+IZ50+JB50+JD50+JF50+JH50+JJ50+JL50+JN50+JP50+JR50+JT50+JV50+JX50+JZ50+KB50+KD50+KF50+KH50</f>
        <v>0</v>
      </c>
      <c r="G50" s="112">
        <f t="shared" ref="G50:G79" si="5">I50+K50+M50+O50+Q50+S50+U50+W50+Y50+AA50+AC50+AE50+AG50+AI50+AK50+AM50+AO50+AQ50+AS50+AU50+AW50+AY50+BA50+BC50+BE50+BG50+BI50+BK50+BM50+BO50+BQ50+BS50+BU50+BW50+BY50+CA50+CC50+CE50+CG50+CI50+CK50+CM50+CO50+CQ50+CS50+CU50+CW50+CY50+DA50+DC50+DE50+DG50+DI50+DK50+DM50+DO50+DQ50+DS50+DU50+DW50+DY50+EA50+EC50+EE50+EG50+EI50+EK50+EM50+EO50+EQ50+ES50+EU50+EW50+EY50+FA50+FC50+FE50+FG50+FI50+FK50+FM50+FO50+FQ50+FS50+FU50+FW50+FY50+GA50+GC50+GE50+GG50+GI50+GK50+GM50+GO50+GQ50+GS50+GU50+GW50+GY50+HA50+HC50+HE50+HG50+HI50+HK50+HM50+HO50+HQ50+HS50+HU50+HW50+HY50+IA50+IC50+IE50+IG50+II50+IK50+IM50+IO50+IQ50+IS50+IU50+IW50+IY50+JA50+JC50+JE50+JG50+JI50+JK50+JM50+JO50+JQ50+JS50+JU50+JW50+JY50+KA50+KC50+KE50+KG50+KI50</f>
        <v>0</v>
      </c>
      <c r="H50" s="85">
        <f>IF(H7&lt;=Condition!$E$16,0,IF(H7&lt;=Condition!$F$16,Condition!$D$16,IF(H7&lt;=Condition!$F$17,Condition!$D$17,IF(H7&lt;=Condition!$F$18,Condition!$D$18,IF(H7&gt;Condition!$E$19,Condition!$D$19,"")))))</f>
        <v>0</v>
      </c>
      <c r="I50" s="85">
        <f>IF(I7&lt;=Condition!$E$16,0,IF(I7&lt;=Condition!$F$16,Condition!$D$16,IF(I7&lt;=Condition!$F$17,Condition!$D$17,IF(I7&lt;=Condition!$F$18,Condition!$D$18,IF(I7&gt;Condition!$E$19,Condition!$D$19,"")))))</f>
        <v>0</v>
      </c>
      <c r="J50" s="85">
        <f>IF(J7&lt;=Condition!$E$16,0,IF(J7&lt;=Condition!$F$16,Condition!$D$16,IF(J7&lt;=Condition!$F$17,Condition!$D$17,IF(J7&lt;=Condition!$F$18,Condition!$D$18,IF(J7&gt;Condition!$E$19,Condition!$D$19,"")))))</f>
        <v>0</v>
      </c>
      <c r="K50" s="85">
        <f>IF(K7&lt;=Condition!$E$16,0,IF(K7&lt;=Condition!$F$16,Condition!$D$16,IF(K7&lt;=Condition!$F$17,Condition!$D$17,IF(K7&lt;=Condition!$F$18,Condition!$D$18,IF(K7&gt;Condition!$E$19,Condition!$D$19,"")))))</f>
        <v>0</v>
      </c>
      <c r="L50" s="85">
        <f>IF(L7&lt;=Condition!$E$16,0,IF(L7&lt;=Condition!$F$16,Condition!$D$16,IF(L7&lt;=Condition!$F$17,Condition!$D$17,IF(L7&lt;=Condition!$F$18,Condition!$D$18,IF(L7&gt;Condition!$E$19,Condition!$D$19,"")))))</f>
        <v>0</v>
      </c>
      <c r="M50" s="85">
        <f>IF(M7&lt;=Condition!$E$16,0,IF(M7&lt;=Condition!$F$16,Condition!$D$16,IF(M7&lt;=Condition!$F$17,Condition!$D$17,IF(M7&lt;=Condition!$F$18,Condition!$D$18,IF(M7&gt;Condition!$E$19,Condition!$D$19,"")))))</f>
        <v>0</v>
      </c>
      <c r="N50" s="85">
        <f>IF(N7&lt;=Condition!$E$16,0,IF(N7&lt;=Condition!$F$16,Condition!$D$16,IF(N7&lt;=Condition!$F$17,Condition!$D$17,IF(N7&lt;=Condition!$F$18,Condition!$D$18,IF(N7&gt;Condition!$E$19,Condition!$D$19,"")))))</f>
        <v>0</v>
      </c>
      <c r="O50" s="85">
        <f>IF(O7&lt;=Condition!$E$16,0,IF(O7&lt;=Condition!$F$16,Condition!$D$16,IF(O7&lt;=Condition!$F$17,Condition!$D$17,IF(O7&lt;=Condition!$F$18,Condition!$D$18,IF(O7&gt;Condition!$E$19,Condition!$D$19,"")))))</f>
        <v>0</v>
      </c>
      <c r="P50" s="85">
        <f>IF(P7&lt;=Condition!$E$16,0,IF(P7&lt;=Condition!$F$16,Condition!$D$16,IF(P7&lt;=Condition!$F$17,Condition!$D$17,IF(P7&lt;=Condition!$F$18,Condition!$D$18,IF(P7&gt;Condition!$E$19,Condition!$D$19,"")))))</f>
        <v>0</v>
      </c>
      <c r="Q50" s="85">
        <f>IF(Q7&lt;=Condition!$E$16,0,IF(Q7&lt;=Condition!$F$16,Condition!$D$16,IF(Q7&lt;=Condition!$F$17,Condition!$D$17,IF(Q7&lt;=Condition!$F$18,Condition!$D$18,IF(Q7&gt;Condition!$E$19,Condition!$D$19,"")))))</f>
        <v>0</v>
      </c>
      <c r="R50" s="85">
        <f>IF(R7&lt;=Condition!$E$16,0,IF(R7&lt;=Condition!$F$16,Condition!$D$16,IF(R7&lt;=Condition!$F$17,Condition!$D$17,IF(R7&lt;=Condition!$F$18,Condition!$D$18,IF(R7&gt;Condition!$E$19,Condition!$D$19,"")))))</f>
        <v>0</v>
      </c>
      <c r="S50" s="85">
        <f>IF(S7&lt;=Condition!$E$16,0,IF(S7&lt;=Condition!$F$16,Condition!$D$16,IF(S7&lt;=Condition!$F$17,Condition!$D$17,IF(S7&lt;=Condition!$F$18,Condition!$D$18,IF(S7&gt;Condition!$E$19,Condition!$D$19,"")))))</f>
        <v>0</v>
      </c>
      <c r="T50" s="85">
        <f>IF(T7&lt;=Condition!$E$16,0,IF(T7&lt;=Condition!$F$16,Condition!$D$16,IF(T7&lt;=Condition!$F$17,Condition!$D$17,IF(T7&lt;=Condition!$F$18,Condition!$D$18,IF(T7&gt;Condition!$E$19,Condition!$D$19,"")))))</f>
        <v>0</v>
      </c>
      <c r="U50" s="85">
        <f>IF(U7&lt;=Condition!$E$16,0,IF(U7&lt;=Condition!$F$16,Condition!$D$16,IF(U7&lt;=Condition!$F$17,Condition!$D$17,IF(U7&lt;=Condition!$F$18,Condition!$D$18,IF(U7&gt;Condition!$E$19,Condition!$D$19,"")))))</f>
        <v>0</v>
      </c>
      <c r="V50" s="85">
        <f>IF(V7&lt;=Condition!$E$16,0,IF(V7&lt;=Condition!$F$16,Condition!$D$16,IF(V7&lt;=Condition!$F$17,Condition!$D$17,IF(V7&lt;=Condition!$F$18,Condition!$D$18,IF(V7&gt;Condition!$E$19,Condition!$D$19,"")))))</f>
        <v>0</v>
      </c>
      <c r="W50" s="85">
        <f>IF(W7&lt;=Condition!$E$16,0,IF(W7&lt;=Condition!$F$16,Condition!$D$16,IF(W7&lt;=Condition!$F$17,Condition!$D$17,IF(W7&lt;=Condition!$F$18,Condition!$D$18,IF(W7&gt;Condition!$E$19,Condition!$D$19,"")))))</f>
        <v>0</v>
      </c>
      <c r="X50" s="85">
        <f>IF(X7&lt;=Condition!$E$16,0,IF(X7&lt;=Condition!$F$16,Condition!$D$16,IF(X7&lt;=Condition!$F$17,Condition!$D$17,IF(X7&lt;=Condition!$F$18,Condition!$D$18,IF(X7&gt;Condition!$E$19,Condition!$D$19,"")))))</f>
        <v>0</v>
      </c>
      <c r="Y50" s="85">
        <f>IF(Y7&lt;=Condition!$E$16,0,IF(Y7&lt;=Condition!$F$16,Condition!$D$16,IF(Y7&lt;=Condition!$F$17,Condition!$D$17,IF(Y7&lt;=Condition!$F$18,Condition!$D$18,IF(Y7&gt;Condition!$E$19,Condition!$D$19,"")))))</f>
        <v>0</v>
      </c>
      <c r="Z50" s="85">
        <f>IF(Z7&lt;=Condition!$E$16,0,IF(Z7&lt;=Condition!$F$16,Condition!$D$16,IF(Z7&lt;=Condition!$F$17,Condition!$D$17,IF(Z7&lt;=Condition!$F$18,Condition!$D$18,IF(Z7&gt;Condition!$E$19,Condition!$D$19,"")))))</f>
        <v>0</v>
      </c>
      <c r="AA50" s="85">
        <f>IF(AA7&lt;=Condition!$E$16,0,IF(AA7&lt;=Condition!$F$16,Condition!$D$16,IF(AA7&lt;=Condition!$F$17,Condition!$D$17,IF(AA7&lt;=Condition!$F$18,Condition!$D$18,IF(AA7&gt;Condition!$E$19,Condition!$D$19,"")))))</f>
        <v>0</v>
      </c>
      <c r="AB50" s="85">
        <f>IF(AB7&lt;=Condition!$E$16,0,IF(AB7&lt;=Condition!$F$16,Condition!$D$16,IF(AB7&lt;=Condition!$F$17,Condition!$D$17,IF(AB7&lt;=Condition!$F$18,Condition!$D$18,IF(AB7&gt;Condition!$E$19,Condition!$D$19,"")))))</f>
        <v>0</v>
      </c>
      <c r="AC50" s="85">
        <f>IF(AC7&lt;=Condition!$E$16,0,IF(AC7&lt;=Condition!$F$16,Condition!$D$16,IF(AC7&lt;=Condition!$F$17,Condition!$D$17,IF(AC7&lt;=Condition!$F$18,Condition!$D$18,IF(AC7&gt;Condition!$E$19,Condition!$D$19,"")))))</f>
        <v>0</v>
      </c>
      <c r="AD50" s="85">
        <f>IF(AD7&lt;=Condition!$E$16,0,IF(AD7&lt;=Condition!$F$16,Condition!$D$16,IF(AD7&lt;=Condition!$F$17,Condition!$D$17,IF(AD7&lt;=Condition!$F$18,Condition!$D$18,IF(AD7&gt;Condition!$E$19,Condition!$D$19,"")))))</f>
        <v>0</v>
      </c>
      <c r="AE50" s="85">
        <f>IF(AE7&lt;=Condition!$E$16,0,IF(AE7&lt;=Condition!$F$16,Condition!$D$16,IF(AE7&lt;=Condition!$F$17,Condition!$D$17,IF(AE7&lt;=Condition!$F$18,Condition!$D$18,IF(AE7&gt;Condition!$E$19,Condition!$D$19,"")))))</f>
        <v>0</v>
      </c>
      <c r="AF50" s="85">
        <f>IF(AF7&lt;=Condition!$E$16,0,IF(AF7&lt;=Condition!$F$16,Condition!$D$16,IF(AF7&lt;=Condition!$F$17,Condition!$D$17,IF(AF7&lt;=Condition!$F$18,Condition!$D$18,IF(AF7&gt;Condition!$E$19,Condition!$D$19,"")))))</f>
        <v>0</v>
      </c>
      <c r="AG50" s="85">
        <f>IF(AG7&lt;=Condition!$E$16,0,IF(AG7&lt;=Condition!$F$16,Condition!$D$16,IF(AG7&lt;=Condition!$F$17,Condition!$D$17,IF(AG7&lt;=Condition!$F$18,Condition!$D$18,IF(AG7&gt;Condition!$E$19,Condition!$D$19,"")))))</f>
        <v>0</v>
      </c>
      <c r="AH50" s="85">
        <f>IF(AH7&lt;=Condition!$E$16,0,IF(AH7&lt;=Condition!$F$16,Condition!$D$16,IF(AH7&lt;=Condition!$F$17,Condition!$D$17,IF(AH7&lt;=Condition!$F$18,Condition!$D$18,IF(AH7&gt;Condition!$E$19,Condition!$D$19,"")))))</f>
        <v>0</v>
      </c>
      <c r="AI50" s="85">
        <f>IF(AI7&lt;=Condition!$E$16,0,IF(AI7&lt;=Condition!$F$16,Condition!$D$16,IF(AI7&lt;=Condition!$F$17,Condition!$D$17,IF(AI7&lt;=Condition!$F$18,Condition!$D$18,IF(AI7&gt;Condition!$E$19,Condition!$D$19,"")))))</f>
        <v>0</v>
      </c>
      <c r="AJ50" s="85">
        <f>IF(AJ7&lt;=Condition!$E$16,0,IF(AJ7&lt;=Condition!$F$16,Condition!$D$16,IF(AJ7&lt;=Condition!$F$17,Condition!$D$17,IF(AJ7&lt;=Condition!$F$18,Condition!$D$18,IF(AJ7&gt;Condition!$E$19,Condition!$D$19,"")))))</f>
        <v>0</v>
      </c>
      <c r="AK50" s="85">
        <f>IF(AK7&lt;=Condition!$E$16,0,IF(AK7&lt;=Condition!$F$16,Condition!$D$16,IF(AK7&lt;=Condition!$F$17,Condition!$D$17,IF(AK7&lt;=Condition!$F$18,Condition!$D$18,IF(AK7&gt;Condition!$E$19,Condition!$D$19,"")))))</f>
        <v>0</v>
      </c>
      <c r="AL50" s="85">
        <f>IF(AL7&lt;=Condition!$E$16,0,IF(AL7&lt;=Condition!$F$16,Condition!$D$16,IF(AL7&lt;=Condition!$F$17,Condition!$D$17,IF(AL7&lt;=Condition!$F$18,Condition!$D$18,IF(AL7&gt;Condition!$E$19,Condition!$D$19,"")))))</f>
        <v>0</v>
      </c>
      <c r="AM50" s="85">
        <f>IF(AM7&lt;=Condition!$E$16,0,IF(AM7&lt;=Condition!$F$16,Condition!$D$16,IF(AM7&lt;=Condition!$F$17,Condition!$D$17,IF(AM7&lt;=Condition!$F$18,Condition!$D$18,IF(AM7&gt;Condition!$E$19,Condition!$D$19,"")))))</f>
        <v>0</v>
      </c>
      <c r="AN50" s="85">
        <f>IF(AN7&lt;=Condition!$E$16,0,IF(AN7&lt;=Condition!$F$16,Condition!$D$16,IF(AN7&lt;=Condition!$F$17,Condition!$D$17,IF(AN7&lt;=Condition!$F$18,Condition!$D$18,IF(AN7&gt;Condition!$E$19,Condition!$D$19,"")))))</f>
        <v>0</v>
      </c>
      <c r="AO50" s="85">
        <f>IF(AO7&lt;=Condition!$E$16,0,IF(AO7&lt;=Condition!$F$16,Condition!$D$16,IF(AO7&lt;=Condition!$F$17,Condition!$D$17,IF(AO7&lt;=Condition!$F$18,Condition!$D$18,IF(AO7&gt;Condition!$E$19,Condition!$D$19,"")))))</f>
        <v>0</v>
      </c>
      <c r="AP50" s="85">
        <f>IF(AP7&lt;=Condition!$E$16,0,IF(AP7&lt;=Condition!$F$16,Condition!$D$16,IF(AP7&lt;=Condition!$F$17,Condition!$D$17,IF(AP7&lt;=Condition!$F$18,Condition!$D$18,IF(AP7&gt;Condition!$E$19,Condition!$D$19,"")))))</f>
        <v>0</v>
      </c>
      <c r="AQ50" s="85">
        <f>IF(AQ7&lt;=Condition!$E$16,0,IF(AQ7&lt;=Condition!$F$16,Condition!$D$16,IF(AQ7&lt;=Condition!$F$17,Condition!$D$17,IF(AQ7&lt;=Condition!$F$18,Condition!$D$18,IF(AQ7&gt;Condition!$E$19,Condition!$D$19,"")))))</f>
        <v>0</v>
      </c>
      <c r="AR50" s="85">
        <f>IF(AR7&lt;=Condition!$E$16,0,IF(AR7&lt;=Condition!$F$16,Condition!$D$16,IF(AR7&lt;=Condition!$F$17,Condition!$D$17,IF(AR7&lt;=Condition!$F$18,Condition!$D$18,IF(AR7&gt;Condition!$E$19,Condition!$D$19,"")))))</f>
        <v>0</v>
      </c>
      <c r="AS50" s="85">
        <f>IF(AS7&lt;=Condition!$E$16,0,IF(AS7&lt;=Condition!$F$16,Condition!$D$16,IF(AS7&lt;=Condition!$F$17,Condition!$D$17,IF(AS7&lt;=Condition!$F$18,Condition!$D$18,IF(AS7&gt;Condition!$E$19,Condition!$D$19,"")))))</f>
        <v>0</v>
      </c>
      <c r="AT50" s="85">
        <f>IF(AT7&lt;=Condition!$E$16,0,IF(AT7&lt;=Condition!$F$16,Condition!$D$16,IF(AT7&lt;=Condition!$F$17,Condition!$D$17,IF(AT7&lt;=Condition!$F$18,Condition!$D$18,IF(AT7&gt;Condition!$E$19,Condition!$D$19,"")))))</f>
        <v>0</v>
      </c>
      <c r="AU50" s="85">
        <f>IF(AU7&lt;=Condition!$E$16,0,IF(AU7&lt;=Condition!$F$16,Condition!$D$16,IF(AU7&lt;=Condition!$F$17,Condition!$D$17,IF(AU7&lt;=Condition!$F$18,Condition!$D$18,IF(AU7&gt;Condition!$E$19,Condition!$D$19,"")))))</f>
        <v>0</v>
      </c>
      <c r="AV50" s="85">
        <f>IF(AV7&lt;=Condition!$E$16,0,IF(AV7&lt;=Condition!$F$16,Condition!$D$16,IF(AV7&lt;=Condition!$F$17,Condition!$D$17,IF(AV7&lt;=Condition!$F$18,Condition!$D$18,IF(AV7&gt;Condition!$E$19,Condition!$D$19,"")))))</f>
        <v>0</v>
      </c>
      <c r="AW50" s="85">
        <f>IF(AW7&lt;=Condition!$E$16,0,IF(AW7&lt;=Condition!$F$16,Condition!$D$16,IF(AW7&lt;=Condition!$F$17,Condition!$D$17,IF(AW7&lt;=Condition!$F$18,Condition!$D$18,IF(AW7&gt;Condition!$E$19,Condition!$D$19,"")))))</f>
        <v>0</v>
      </c>
      <c r="AX50" s="85">
        <f>IF(AX7&lt;=Condition!$E$16,0,IF(AX7&lt;=Condition!$F$16,Condition!$D$16,IF(AX7&lt;=Condition!$F$17,Condition!$D$17,IF(AX7&lt;=Condition!$F$18,Condition!$D$18,IF(AX7&gt;Condition!$E$19,Condition!$D$19,"")))))</f>
        <v>0</v>
      </c>
      <c r="AY50" s="85">
        <f>IF(AY7&lt;=Condition!$E$16,0,IF(AY7&lt;=Condition!$F$16,Condition!$D$16,IF(AY7&lt;=Condition!$F$17,Condition!$D$17,IF(AY7&lt;=Condition!$F$18,Condition!$D$18,IF(AY7&gt;Condition!$E$19,Condition!$D$19,"")))))</f>
        <v>0</v>
      </c>
      <c r="AZ50" s="85">
        <f>IF(AZ7&lt;=Condition!$E$16,0,IF(AZ7&lt;=Condition!$F$16,Condition!$D$16,IF(AZ7&lt;=Condition!$F$17,Condition!$D$17,IF(AZ7&lt;=Condition!$F$18,Condition!$D$18,IF(AZ7&gt;Condition!$E$19,Condition!$D$19,"")))))</f>
        <v>0</v>
      </c>
      <c r="BA50" s="85">
        <f>IF(BA7&lt;=Condition!$E$16,0,IF(BA7&lt;=Condition!$F$16,Condition!$D$16,IF(BA7&lt;=Condition!$F$17,Condition!$D$17,IF(BA7&lt;=Condition!$F$18,Condition!$D$18,IF(BA7&gt;Condition!$E$19,Condition!$D$19,"")))))</f>
        <v>0</v>
      </c>
      <c r="BB50" s="85">
        <f>IF(BB7&lt;=Condition!$E$16,0,IF(BB7&lt;=Condition!$F$16,Condition!$D$16,IF(BB7&lt;=Condition!$F$17,Condition!$D$17,IF(BB7&lt;=Condition!$F$18,Condition!$D$18,IF(BB7&gt;Condition!$E$19,Condition!$D$19,"")))))</f>
        <v>0</v>
      </c>
      <c r="BC50" s="85">
        <f>IF(BC7&lt;=Condition!$E$16,0,IF(BC7&lt;=Condition!$F$16,Condition!$D$16,IF(BC7&lt;=Condition!$F$17,Condition!$D$17,IF(BC7&lt;=Condition!$F$18,Condition!$D$18,IF(BC7&gt;Condition!$E$19,Condition!$D$19,"")))))</f>
        <v>0</v>
      </c>
      <c r="BD50" s="85">
        <f>IF(BD7&lt;=Condition!$E$16,0,IF(BD7&lt;=Condition!$F$16,Condition!$D$16,IF(BD7&lt;=Condition!$F$17,Condition!$D$17,IF(BD7&lt;=Condition!$F$18,Condition!$D$18,IF(BD7&gt;Condition!$E$19,Condition!$D$19,"")))))</f>
        <v>0</v>
      </c>
      <c r="BE50" s="85">
        <f>IF(BE7&lt;=Condition!$E$16,0,IF(BE7&lt;=Condition!$F$16,Condition!$D$16,IF(BE7&lt;=Condition!$F$17,Condition!$D$17,IF(BE7&lt;=Condition!$F$18,Condition!$D$18,IF(BE7&gt;Condition!$E$19,Condition!$D$19,"")))))</f>
        <v>0</v>
      </c>
      <c r="BF50" s="85">
        <f>IF(BF7&lt;=Condition!$E$16,0,IF(BF7&lt;=Condition!$F$16,Condition!$D$16,IF(BF7&lt;=Condition!$F$17,Condition!$D$17,IF(BF7&lt;=Condition!$F$18,Condition!$D$18,IF(BF7&gt;Condition!$E$19,Condition!$D$19,"")))))</f>
        <v>0</v>
      </c>
      <c r="BG50" s="85">
        <f>IF(BG7&lt;=Condition!$E$16,0,IF(BG7&lt;=Condition!$F$16,Condition!$D$16,IF(BG7&lt;=Condition!$F$17,Condition!$D$17,IF(BG7&lt;=Condition!$F$18,Condition!$D$18,IF(BG7&gt;Condition!$E$19,Condition!$D$19,"")))))</f>
        <v>0</v>
      </c>
      <c r="BH50" s="85">
        <f>IF(BH7&lt;=Condition!$E$16,0,IF(BH7&lt;=Condition!$F$16,Condition!$D$16,IF(BH7&lt;=Condition!$F$17,Condition!$D$17,IF(BH7&lt;=Condition!$F$18,Condition!$D$18,IF(BH7&gt;Condition!$E$19,Condition!$D$19,"")))))</f>
        <v>0</v>
      </c>
      <c r="BI50" s="85">
        <f>IF(BI7&lt;=Condition!$E$16,0,IF(BI7&lt;=Condition!$F$16,Condition!$D$16,IF(BI7&lt;=Condition!$F$17,Condition!$D$17,IF(BI7&lt;=Condition!$F$18,Condition!$D$18,IF(BI7&gt;Condition!$E$19,Condition!$D$19,"")))))</f>
        <v>0</v>
      </c>
      <c r="BJ50" s="85">
        <f>IF(BJ7&lt;=Condition!$E$16,0,IF(BJ7&lt;=Condition!$F$16,Condition!$D$16,IF(BJ7&lt;=Condition!$F$17,Condition!$D$17,IF(BJ7&lt;=Condition!$F$18,Condition!$D$18,IF(BJ7&gt;Condition!$E$19,Condition!$D$19,"")))))</f>
        <v>0</v>
      </c>
      <c r="BK50" s="85">
        <f>IF(BK7&lt;=Condition!$E$16,0,IF(BK7&lt;=Condition!$F$16,Condition!$D$16,IF(BK7&lt;=Condition!$F$17,Condition!$D$17,IF(BK7&lt;=Condition!$F$18,Condition!$D$18,IF(BK7&gt;Condition!$E$19,Condition!$D$19,"")))))</f>
        <v>0</v>
      </c>
      <c r="BL50" s="85">
        <f>IF(BL7&lt;=Condition!$E$16,0,IF(BL7&lt;=Condition!$F$16,Condition!$D$16,IF(BL7&lt;=Condition!$F$17,Condition!$D$17,IF(BL7&lt;=Condition!$F$18,Condition!$D$18,IF(BL7&gt;Condition!$E$19,Condition!$D$19,"")))))</f>
        <v>0</v>
      </c>
      <c r="BM50" s="85">
        <f>IF(BM7&lt;=Condition!$E$16,0,IF(BM7&lt;=Condition!$F$16,Condition!$D$16,IF(BM7&lt;=Condition!$F$17,Condition!$D$17,IF(BM7&lt;=Condition!$F$18,Condition!$D$18,IF(BM7&gt;Condition!$E$19,Condition!$D$19,"")))))</f>
        <v>0</v>
      </c>
      <c r="BN50" s="85">
        <f>IF(BN7&lt;=Condition!$E$16,0,IF(BN7&lt;=Condition!$F$16,Condition!$D$16,IF(BN7&lt;=Condition!$F$17,Condition!$D$17,IF(BN7&lt;=Condition!$F$18,Condition!$D$18,IF(BN7&gt;Condition!$E$19,Condition!$D$19,"")))))</f>
        <v>0</v>
      </c>
      <c r="BO50" s="85">
        <f>IF(BO7&lt;=Condition!$E$16,0,IF(BO7&lt;=Condition!$F$16,Condition!$D$16,IF(BO7&lt;=Condition!$F$17,Condition!$D$17,IF(BO7&lt;=Condition!$F$18,Condition!$D$18,IF(BO7&gt;Condition!$E$19,Condition!$D$19,"")))))</f>
        <v>0</v>
      </c>
      <c r="BP50" s="85">
        <f>IF(BP7&lt;=Condition!$E$16,0,IF(BP7&lt;=Condition!$F$16,Condition!$D$16,IF(BP7&lt;=Condition!$F$17,Condition!$D$17,IF(BP7&lt;=Condition!$F$18,Condition!$D$18,IF(BP7&gt;Condition!$E$19,Condition!$D$19,"")))))</f>
        <v>0</v>
      </c>
      <c r="BQ50" s="85">
        <f>IF(BQ7&lt;=Condition!$E$16,0,IF(BQ7&lt;=Condition!$F$16,Condition!$D$16,IF(BQ7&lt;=Condition!$F$17,Condition!$D$17,IF(BQ7&lt;=Condition!$F$18,Condition!$D$18,IF(BQ7&gt;Condition!$E$19,Condition!$D$19,"")))))</f>
        <v>0</v>
      </c>
      <c r="BR50" s="85">
        <f>IF(BR7&lt;=Condition!$E$16,0,IF(BR7&lt;=Condition!$F$16,Condition!$D$16,IF(BR7&lt;=Condition!$F$17,Condition!$D$17,IF(BR7&lt;=Condition!$F$18,Condition!$D$18,IF(BR7&gt;Condition!$E$19,Condition!$D$19,"")))))</f>
        <v>0</v>
      </c>
      <c r="BS50" s="85">
        <f>IF(BS7&lt;=Condition!$E$16,0,IF(BS7&lt;=Condition!$F$16,Condition!$D$16,IF(BS7&lt;=Condition!$F$17,Condition!$D$17,IF(BS7&lt;=Condition!$F$18,Condition!$D$18,IF(BS7&gt;Condition!$E$19,Condition!$D$19,"")))))</f>
        <v>0</v>
      </c>
      <c r="BT50" s="85">
        <f>IF(BT7&lt;=Condition!$E$16,0,IF(BT7&lt;=Condition!$F$16,Condition!$D$16,IF(BT7&lt;=Condition!$F$17,Condition!$D$17,IF(BT7&lt;=Condition!$F$18,Condition!$D$18,IF(BT7&gt;Condition!$E$19,Condition!$D$19,"")))))</f>
        <v>0</v>
      </c>
      <c r="BU50" s="85">
        <f>IF(BU7&lt;=Condition!$E$16,0,IF(BU7&lt;=Condition!$F$16,Condition!$D$16,IF(BU7&lt;=Condition!$F$17,Condition!$D$17,IF(BU7&lt;=Condition!$F$18,Condition!$D$18,IF(BU7&gt;Condition!$E$19,Condition!$D$19,"")))))</f>
        <v>0</v>
      </c>
      <c r="BV50" s="85">
        <f>IF(BV7&lt;=Condition!$E$16,0,IF(BV7&lt;=Condition!$F$16,Condition!$D$16,IF(BV7&lt;=Condition!$F$17,Condition!$D$17,IF(BV7&lt;=Condition!$F$18,Condition!$D$18,IF(BV7&gt;Condition!$E$19,Condition!$D$19,"")))))</f>
        <v>0</v>
      </c>
      <c r="BW50" s="85">
        <f>IF(BW7&lt;=Condition!$E$16,0,IF(BW7&lt;=Condition!$F$16,Condition!$D$16,IF(BW7&lt;=Condition!$F$17,Condition!$D$17,IF(BW7&lt;=Condition!$F$18,Condition!$D$18,IF(BW7&gt;Condition!$E$19,Condition!$D$19,"")))))</f>
        <v>0</v>
      </c>
      <c r="BX50" s="85">
        <f>IF(BX7&lt;=Condition!$E$16,0,IF(BX7&lt;=Condition!$F$16,Condition!$D$16,IF(BX7&lt;=Condition!$F$17,Condition!$D$17,IF(BX7&lt;=Condition!$F$18,Condition!$D$18,IF(BX7&gt;Condition!$E$19,Condition!$D$19,"")))))</f>
        <v>0</v>
      </c>
      <c r="BY50" s="85">
        <f>IF(BY7&lt;=Condition!$E$16,0,IF(BY7&lt;=Condition!$F$16,Condition!$D$16,IF(BY7&lt;=Condition!$F$17,Condition!$D$17,IF(BY7&lt;=Condition!$F$18,Condition!$D$18,IF(BY7&gt;Condition!$E$19,Condition!$D$19,"")))))</f>
        <v>0</v>
      </c>
      <c r="BZ50" s="85">
        <f>IF(BZ7&lt;=Condition!$E$16,0,IF(BZ7&lt;=Condition!$F$16,Condition!$D$16,IF(BZ7&lt;=Condition!$F$17,Condition!$D$17,IF(BZ7&lt;=Condition!$F$18,Condition!$D$18,IF(BZ7&gt;Condition!$E$19,Condition!$D$19,"")))))</f>
        <v>0</v>
      </c>
      <c r="CA50" s="85">
        <f>IF(CA7&lt;=Condition!$E$16,0,IF(CA7&lt;=Condition!$F$16,Condition!$D$16,IF(CA7&lt;=Condition!$F$17,Condition!$D$17,IF(CA7&lt;=Condition!$F$18,Condition!$D$18,IF(CA7&gt;Condition!$E$19,Condition!$D$19,"")))))</f>
        <v>0</v>
      </c>
      <c r="CB50" s="85">
        <f>IF(CB7&lt;=Condition!$E$16,0,IF(CB7&lt;=Condition!$F$16,Condition!$D$16,IF(CB7&lt;=Condition!$F$17,Condition!$D$17,IF(CB7&lt;=Condition!$F$18,Condition!$D$18,IF(CB7&gt;Condition!$E$19,Condition!$D$19,"")))))</f>
        <v>0</v>
      </c>
      <c r="CC50" s="85">
        <f>IF(CC7&lt;=Condition!$E$16,0,IF(CC7&lt;=Condition!$F$16,Condition!$D$16,IF(CC7&lt;=Condition!$F$17,Condition!$D$17,IF(CC7&lt;=Condition!$F$18,Condition!$D$18,IF(CC7&gt;Condition!$E$19,Condition!$D$19,"")))))</f>
        <v>0</v>
      </c>
      <c r="CD50" s="85">
        <f>IF(CD7&lt;=Condition!$E$16,0,IF(CD7&lt;=Condition!$F$16,Condition!$D$16,IF(CD7&lt;=Condition!$F$17,Condition!$D$17,IF(CD7&lt;=Condition!$F$18,Condition!$D$18,IF(CD7&gt;Condition!$E$19,Condition!$D$19,"")))))</f>
        <v>0</v>
      </c>
      <c r="CE50" s="85">
        <f>IF(CE7&lt;=Condition!$E$16,0,IF(CE7&lt;=Condition!$F$16,Condition!$D$16,IF(CE7&lt;=Condition!$F$17,Condition!$D$17,IF(CE7&lt;=Condition!$F$18,Condition!$D$18,IF(CE7&gt;Condition!$E$19,Condition!$D$19,"")))))</f>
        <v>0</v>
      </c>
      <c r="CF50" s="85">
        <f>IF(CF7&lt;=Condition!$E$16,0,IF(CF7&lt;=Condition!$F$16,Condition!$D$16,IF(CF7&lt;=Condition!$F$17,Condition!$D$17,IF(CF7&lt;=Condition!$F$18,Condition!$D$18,IF(CF7&gt;Condition!$E$19,Condition!$D$19,"")))))</f>
        <v>0</v>
      </c>
      <c r="CG50" s="85">
        <f>IF(CG7&lt;=Condition!$E$16,0,IF(CG7&lt;=Condition!$F$16,Condition!$D$16,IF(CG7&lt;=Condition!$F$17,Condition!$D$17,IF(CG7&lt;=Condition!$F$18,Condition!$D$18,IF(CG7&gt;Condition!$E$19,Condition!$D$19,"")))))</f>
        <v>0</v>
      </c>
      <c r="CH50" s="85">
        <f>IF(CH7&lt;=Condition!$E$16,0,IF(CH7&lt;=Condition!$F$16,Condition!$D$16,IF(CH7&lt;=Condition!$F$17,Condition!$D$17,IF(CH7&lt;=Condition!$F$18,Condition!$D$18,IF(CH7&gt;Condition!$E$19,Condition!$D$19,"")))))</f>
        <v>0</v>
      </c>
      <c r="CI50" s="85">
        <f>IF(CI7&lt;=Condition!$E$16,0,IF(CI7&lt;=Condition!$F$16,Condition!$D$16,IF(CI7&lt;=Condition!$F$17,Condition!$D$17,IF(CI7&lt;=Condition!$F$18,Condition!$D$18,IF(CI7&gt;Condition!$E$19,Condition!$D$19,"")))))</f>
        <v>0</v>
      </c>
      <c r="CJ50" s="85">
        <f>IF(CJ7&lt;=Condition!$E$16,0,IF(CJ7&lt;=Condition!$F$16,Condition!$D$16,IF(CJ7&lt;=Condition!$F$17,Condition!$D$17,IF(CJ7&lt;=Condition!$F$18,Condition!$D$18,IF(CJ7&gt;Condition!$E$19,Condition!$D$19,"")))))</f>
        <v>0</v>
      </c>
      <c r="CK50" s="85">
        <f>IF(CK7&lt;=Condition!$E$16,0,IF(CK7&lt;=Condition!$F$16,Condition!$D$16,IF(CK7&lt;=Condition!$F$17,Condition!$D$17,IF(CK7&lt;=Condition!$F$18,Condition!$D$18,IF(CK7&gt;Condition!$E$19,Condition!$D$19,"")))))</f>
        <v>0</v>
      </c>
      <c r="CL50" s="85">
        <f>IF(CL7&lt;=Condition!$E$16,0,IF(CL7&lt;=Condition!$F$16,Condition!$D$16,IF(CL7&lt;=Condition!$F$17,Condition!$D$17,IF(CL7&lt;=Condition!$F$18,Condition!$D$18,IF(CL7&gt;Condition!$E$19,Condition!$D$19,"")))))</f>
        <v>0</v>
      </c>
      <c r="CM50" s="85">
        <f>IF(CM7&lt;=Condition!$E$16,0,IF(CM7&lt;=Condition!$F$16,Condition!$D$16,IF(CM7&lt;=Condition!$F$17,Condition!$D$17,IF(CM7&lt;=Condition!$F$18,Condition!$D$18,IF(CM7&gt;Condition!$E$19,Condition!$D$19,"")))))</f>
        <v>0</v>
      </c>
      <c r="CN50" s="85">
        <f>IF(CN7&lt;=Condition!$E$16,0,IF(CN7&lt;=Condition!$F$16,Condition!$D$16,IF(CN7&lt;=Condition!$F$17,Condition!$D$17,IF(CN7&lt;=Condition!$F$18,Condition!$D$18,IF(CN7&gt;Condition!$E$19,Condition!$D$19,"")))))</f>
        <v>0</v>
      </c>
      <c r="CO50" s="85">
        <f>IF(CO7&lt;=Condition!$E$16,0,IF(CO7&lt;=Condition!$F$16,Condition!$D$16,IF(CO7&lt;=Condition!$F$17,Condition!$D$17,IF(CO7&lt;=Condition!$F$18,Condition!$D$18,IF(CO7&gt;Condition!$E$19,Condition!$D$19,"")))))</f>
        <v>0</v>
      </c>
      <c r="CP50" s="85">
        <f>IF(CP7&lt;=Condition!$E$16,0,IF(CP7&lt;=Condition!$F$16,Condition!$D$16,IF(CP7&lt;=Condition!$F$17,Condition!$D$17,IF(CP7&lt;=Condition!$F$18,Condition!$D$18,IF(CP7&gt;Condition!$E$19,Condition!$D$19,"")))))</f>
        <v>0</v>
      </c>
      <c r="CQ50" s="85">
        <f>IF(CQ7&lt;=Condition!$E$16,0,IF(CQ7&lt;=Condition!$F$16,Condition!$D$16,IF(CQ7&lt;=Condition!$F$17,Condition!$D$17,IF(CQ7&lt;=Condition!$F$18,Condition!$D$18,IF(CQ7&gt;Condition!$E$19,Condition!$D$19,"")))))</f>
        <v>0</v>
      </c>
      <c r="CR50" s="85">
        <f>IF(CR7&lt;=Condition!$E$16,0,IF(CR7&lt;=Condition!$F$16,Condition!$D$16,IF(CR7&lt;=Condition!$F$17,Condition!$D$17,IF(CR7&lt;=Condition!$F$18,Condition!$D$18,IF(CR7&gt;Condition!$E$19,Condition!$D$19,"")))))</f>
        <v>0</v>
      </c>
      <c r="CS50" s="85">
        <f>IF(CS7&lt;=Condition!$E$16,0,IF(CS7&lt;=Condition!$F$16,Condition!$D$16,IF(CS7&lt;=Condition!$F$17,Condition!$D$17,IF(CS7&lt;=Condition!$F$18,Condition!$D$18,IF(CS7&gt;Condition!$E$19,Condition!$D$19,"")))))</f>
        <v>0</v>
      </c>
      <c r="CT50" s="85">
        <f>IF(CT7&lt;=Condition!$E$16,0,IF(CT7&lt;=Condition!$F$16,Condition!$D$16,IF(CT7&lt;=Condition!$F$17,Condition!$D$17,IF(CT7&lt;=Condition!$F$18,Condition!$D$18,IF(CT7&gt;Condition!$E$19,Condition!$D$19,"")))))</f>
        <v>0</v>
      </c>
      <c r="CU50" s="85">
        <f>IF(CU7&lt;=Condition!$E$16,0,IF(CU7&lt;=Condition!$F$16,Condition!$D$16,IF(CU7&lt;=Condition!$F$17,Condition!$D$17,IF(CU7&lt;=Condition!$F$18,Condition!$D$18,IF(CU7&gt;Condition!$E$19,Condition!$D$19,"")))))</f>
        <v>0</v>
      </c>
      <c r="CV50" s="85">
        <f>IF(CV7&lt;=Condition!$E$16,0,IF(CV7&lt;=Condition!$F$16,Condition!$D$16,IF(CV7&lt;=Condition!$F$17,Condition!$D$17,IF(CV7&lt;=Condition!$F$18,Condition!$D$18,IF(CV7&gt;Condition!$E$19,Condition!$D$19,"")))))</f>
        <v>0</v>
      </c>
      <c r="CW50" s="85">
        <f>IF(CW7&lt;=Condition!$E$16,0,IF(CW7&lt;=Condition!$F$16,Condition!$D$16,IF(CW7&lt;=Condition!$F$17,Condition!$D$17,IF(CW7&lt;=Condition!$F$18,Condition!$D$18,IF(CW7&gt;Condition!$E$19,Condition!$D$19,"")))))</f>
        <v>0</v>
      </c>
      <c r="CX50" s="85">
        <f>IF(CX7&lt;=Condition!$E$16,0,IF(CX7&lt;=Condition!$F$16,Condition!$D$16,IF(CX7&lt;=Condition!$F$17,Condition!$D$17,IF(CX7&lt;=Condition!$F$18,Condition!$D$18,IF(CX7&gt;Condition!$E$19,Condition!$D$19,"")))))</f>
        <v>0</v>
      </c>
      <c r="CY50" s="85">
        <f>IF(CY7&lt;=Condition!$E$16,0,IF(CY7&lt;=Condition!$F$16,Condition!$D$16,IF(CY7&lt;=Condition!$F$17,Condition!$D$17,IF(CY7&lt;=Condition!$F$18,Condition!$D$18,IF(CY7&gt;Condition!$E$19,Condition!$D$19,"")))))</f>
        <v>0</v>
      </c>
      <c r="CZ50" s="85">
        <f>IF(CZ7&lt;=Condition!$E$16,0,IF(CZ7&lt;=Condition!$F$16,Condition!$D$16,IF(CZ7&lt;=Condition!$F$17,Condition!$D$17,IF(CZ7&lt;=Condition!$F$18,Condition!$D$18,IF(CZ7&gt;Condition!$E$19,Condition!$D$19,"")))))</f>
        <v>0</v>
      </c>
      <c r="DA50" s="85">
        <f>IF(DA7&lt;=Condition!$E$16,0,IF(DA7&lt;=Condition!$F$16,Condition!$D$16,IF(DA7&lt;=Condition!$F$17,Condition!$D$17,IF(DA7&lt;=Condition!$F$18,Condition!$D$18,IF(DA7&gt;Condition!$E$19,Condition!$D$19,"")))))</f>
        <v>0</v>
      </c>
      <c r="DB50" s="85">
        <f>IF(DB7&lt;=Condition!$E$16,0,IF(DB7&lt;=Condition!$F$16,Condition!$D$16,IF(DB7&lt;=Condition!$F$17,Condition!$D$17,IF(DB7&lt;=Condition!$F$18,Condition!$D$18,IF(DB7&gt;Condition!$E$19,Condition!$D$19,"")))))</f>
        <v>0</v>
      </c>
      <c r="DC50" s="85">
        <f>IF(DC7&lt;=Condition!$E$16,0,IF(DC7&lt;=Condition!$F$16,Condition!$D$16,IF(DC7&lt;=Condition!$F$17,Condition!$D$17,IF(DC7&lt;=Condition!$F$18,Condition!$D$18,IF(DC7&gt;Condition!$E$19,Condition!$D$19,"")))))</f>
        <v>0</v>
      </c>
      <c r="DD50" s="85">
        <f>IF(DD7&lt;=Condition!$E$16,0,IF(DD7&lt;=Condition!$F$16,Condition!$D$16,IF(DD7&lt;=Condition!$F$17,Condition!$D$17,IF(DD7&lt;=Condition!$F$18,Condition!$D$18,IF(DD7&gt;Condition!$E$19,Condition!$D$19,"")))))</f>
        <v>0</v>
      </c>
      <c r="DE50" s="85">
        <f>IF(DE7&lt;=Condition!$E$16,0,IF(DE7&lt;=Condition!$F$16,Condition!$D$16,IF(DE7&lt;=Condition!$F$17,Condition!$D$17,IF(DE7&lt;=Condition!$F$18,Condition!$D$18,IF(DE7&gt;Condition!$E$19,Condition!$D$19,"")))))</f>
        <v>0</v>
      </c>
      <c r="DF50" s="85">
        <f>IF(DF7&lt;=Condition!$E$16,0,IF(DF7&lt;=Condition!$F$16,Condition!$D$16,IF(DF7&lt;=Condition!$F$17,Condition!$D$17,IF(DF7&lt;=Condition!$F$18,Condition!$D$18,IF(DF7&gt;Condition!$E$19,Condition!$D$19,"")))))</f>
        <v>0</v>
      </c>
      <c r="DG50" s="85">
        <f>IF(DG7&lt;=Condition!$E$16,0,IF(DG7&lt;=Condition!$F$16,Condition!$D$16,IF(DG7&lt;=Condition!$F$17,Condition!$D$17,IF(DG7&lt;=Condition!$F$18,Condition!$D$18,IF(DG7&gt;Condition!$E$19,Condition!$D$19,"")))))</f>
        <v>0</v>
      </c>
      <c r="DH50" s="85">
        <f>IF(DH7&lt;=Condition!$E$16,0,IF(DH7&lt;=Condition!$F$16,Condition!$D$16,IF(DH7&lt;=Condition!$F$17,Condition!$D$17,IF(DH7&lt;=Condition!$F$18,Condition!$D$18,IF(DH7&gt;Condition!$E$19,Condition!$D$19,"")))))</f>
        <v>0</v>
      </c>
      <c r="DI50" s="85">
        <f>IF(DI7&lt;=Condition!$E$16,0,IF(DI7&lt;=Condition!$F$16,Condition!$D$16,IF(DI7&lt;=Condition!$F$17,Condition!$D$17,IF(DI7&lt;=Condition!$F$18,Condition!$D$18,IF(DI7&gt;Condition!$E$19,Condition!$D$19,"")))))</f>
        <v>0</v>
      </c>
      <c r="DJ50" s="85">
        <f>IF(DJ7&lt;=Condition!$E$16,0,IF(DJ7&lt;=Condition!$F$16,Condition!$D$16,IF(DJ7&lt;=Condition!$F$17,Condition!$D$17,IF(DJ7&lt;=Condition!$F$18,Condition!$D$18,IF(DJ7&gt;Condition!$E$19,Condition!$D$19,"")))))</f>
        <v>0</v>
      </c>
      <c r="DK50" s="85">
        <f>IF(DK7&lt;=Condition!$E$16,0,IF(DK7&lt;=Condition!$F$16,Condition!$D$16,IF(DK7&lt;=Condition!$F$17,Condition!$D$17,IF(DK7&lt;=Condition!$F$18,Condition!$D$18,IF(DK7&gt;Condition!$E$19,Condition!$D$19,"")))))</f>
        <v>0</v>
      </c>
      <c r="DL50" s="85">
        <f>IF(DL7&lt;=Condition!$E$16,0,IF(DL7&lt;=Condition!$F$16,Condition!$D$16,IF(DL7&lt;=Condition!$F$17,Condition!$D$17,IF(DL7&lt;=Condition!$F$18,Condition!$D$18,IF(DL7&gt;Condition!$E$19,Condition!$D$19,"")))))</f>
        <v>0</v>
      </c>
      <c r="DM50" s="85">
        <f>IF(DM7&lt;=Condition!$E$16,0,IF(DM7&lt;=Condition!$F$16,Condition!$D$16,IF(DM7&lt;=Condition!$F$17,Condition!$D$17,IF(DM7&lt;=Condition!$F$18,Condition!$D$18,IF(DM7&gt;Condition!$E$19,Condition!$D$19,"")))))</f>
        <v>0</v>
      </c>
      <c r="DN50" s="85">
        <f>IF(DN7&lt;=Condition!$E$16,0,IF(DN7&lt;=Condition!$F$16,Condition!$D$16,IF(DN7&lt;=Condition!$F$17,Condition!$D$17,IF(DN7&lt;=Condition!$F$18,Condition!$D$18,IF(DN7&gt;Condition!$E$19,Condition!$D$19,"")))))</f>
        <v>0</v>
      </c>
      <c r="DO50" s="85">
        <f>IF(DO7&lt;=Condition!$E$16,0,IF(DO7&lt;=Condition!$F$16,Condition!$D$16,IF(DO7&lt;=Condition!$F$17,Condition!$D$17,IF(DO7&lt;=Condition!$F$18,Condition!$D$18,IF(DO7&gt;Condition!$E$19,Condition!$D$19,"")))))</f>
        <v>0</v>
      </c>
      <c r="DP50" s="85">
        <f>IF(DP7&lt;=Condition!$E$16,0,IF(DP7&lt;=Condition!$F$16,Condition!$D$16,IF(DP7&lt;=Condition!$F$17,Condition!$D$17,IF(DP7&lt;=Condition!$F$18,Condition!$D$18,IF(DP7&gt;Condition!$E$19,Condition!$D$19,"")))))</f>
        <v>0</v>
      </c>
      <c r="DQ50" s="85">
        <f>IF(DQ7&lt;=Condition!$E$16,0,IF(DQ7&lt;=Condition!$F$16,Condition!$D$16,IF(DQ7&lt;=Condition!$F$17,Condition!$D$17,IF(DQ7&lt;=Condition!$F$18,Condition!$D$18,IF(DQ7&gt;Condition!$E$19,Condition!$D$19,"")))))</f>
        <v>0</v>
      </c>
      <c r="DR50" s="85">
        <f>IF(DR7&lt;=Condition!$E$16,0,IF(DR7&lt;=Condition!$F$16,Condition!$D$16,IF(DR7&lt;=Condition!$F$17,Condition!$D$17,IF(DR7&lt;=Condition!$F$18,Condition!$D$18,IF(DR7&gt;Condition!$E$19,Condition!$D$19,"")))))</f>
        <v>0</v>
      </c>
      <c r="DS50" s="85">
        <f>IF(DS7&lt;=Condition!$E$16,0,IF(DS7&lt;=Condition!$F$16,Condition!$D$16,IF(DS7&lt;=Condition!$F$17,Condition!$D$17,IF(DS7&lt;=Condition!$F$18,Condition!$D$18,IF(DS7&gt;Condition!$E$19,Condition!$D$19,"")))))</f>
        <v>0</v>
      </c>
      <c r="DT50" s="85">
        <f>IF(DT7&lt;=Condition!$E$16,0,IF(DT7&lt;=Condition!$F$16,Condition!$D$16,IF(DT7&lt;=Condition!$F$17,Condition!$D$17,IF(DT7&lt;=Condition!$F$18,Condition!$D$18,IF(DT7&gt;Condition!$E$19,Condition!$D$19,"")))))</f>
        <v>0</v>
      </c>
      <c r="DU50" s="85">
        <f>IF(DU7&lt;=Condition!$E$16,0,IF(DU7&lt;=Condition!$F$16,Condition!$D$16,IF(DU7&lt;=Condition!$F$17,Condition!$D$17,IF(DU7&lt;=Condition!$F$18,Condition!$D$18,IF(DU7&gt;Condition!$E$19,Condition!$D$19,"")))))</f>
        <v>0</v>
      </c>
      <c r="DV50" s="85">
        <f>IF(DV7&lt;=Condition!$E$16,0,IF(DV7&lt;=Condition!$F$16,Condition!$D$16,IF(DV7&lt;=Condition!$F$17,Condition!$D$17,IF(DV7&lt;=Condition!$F$18,Condition!$D$18,IF(DV7&gt;Condition!$E$19,Condition!$D$19,"")))))</f>
        <v>0</v>
      </c>
      <c r="DW50" s="85">
        <f>IF(DW7&lt;=Condition!$E$16,0,IF(DW7&lt;=Condition!$F$16,Condition!$D$16,IF(DW7&lt;=Condition!$F$17,Condition!$D$17,IF(DW7&lt;=Condition!$F$18,Condition!$D$18,IF(DW7&gt;Condition!$E$19,Condition!$D$19,"")))))</f>
        <v>0</v>
      </c>
      <c r="DX50" s="85">
        <f>IF(DX7&lt;=Condition!$E$16,0,IF(DX7&lt;=Condition!$F$16,Condition!$D$16,IF(DX7&lt;=Condition!$F$17,Condition!$D$17,IF(DX7&lt;=Condition!$F$18,Condition!$D$18,IF(DX7&gt;Condition!$E$19,Condition!$D$19,"")))))</f>
        <v>0</v>
      </c>
      <c r="DY50" s="85">
        <f>IF(DY7&lt;=Condition!$E$16,0,IF(DY7&lt;=Condition!$F$16,Condition!$D$16,IF(DY7&lt;=Condition!$F$17,Condition!$D$17,IF(DY7&lt;=Condition!$F$18,Condition!$D$18,IF(DY7&gt;Condition!$E$19,Condition!$D$19,"")))))</f>
        <v>0</v>
      </c>
      <c r="DZ50" s="85">
        <f>IF(DZ7&lt;=Condition!$E$16,0,IF(DZ7&lt;=Condition!$F$16,Condition!$D$16,IF(DZ7&lt;=Condition!$F$17,Condition!$D$17,IF(DZ7&lt;=Condition!$F$18,Condition!$D$18,IF(DZ7&gt;Condition!$E$19,Condition!$D$19,"")))))</f>
        <v>0</v>
      </c>
      <c r="EA50" s="85">
        <f>IF(EA7&lt;=Condition!$E$16,0,IF(EA7&lt;=Condition!$F$16,Condition!$D$16,IF(EA7&lt;=Condition!$F$17,Condition!$D$17,IF(EA7&lt;=Condition!$F$18,Condition!$D$18,IF(EA7&gt;Condition!$E$19,Condition!$D$19,"")))))</f>
        <v>0</v>
      </c>
      <c r="EB50" s="85">
        <f>IF(EB7&lt;=Condition!$E$16,0,IF(EB7&lt;=Condition!$F$16,Condition!$D$16,IF(EB7&lt;=Condition!$F$17,Condition!$D$17,IF(EB7&lt;=Condition!$F$18,Condition!$D$18,IF(EB7&gt;Condition!$E$19,Condition!$D$19,"")))))</f>
        <v>0</v>
      </c>
      <c r="EC50" s="85">
        <f>IF(EC7&lt;=Condition!$E$16,0,IF(EC7&lt;=Condition!$F$16,Condition!$D$16,IF(EC7&lt;=Condition!$F$17,Condition!$D$17,IF(EC7&lt;=Condition!$F$18,Condition!$D$18,IF(EC7&gt;Condition!$E$19,Condition!$D$19,"")))))</f>
        <v>0</v>
      </c>
      <c r="ED50" s="85">
        <f>IF(ED7&lt;=Condition!$E$16,0,IF(ED7&lt;=Condition!$F$16,Condition!$D$16,IF(ED7&lt;=Condition!$F$17,Condition!$D$17,IF(ED7&lt;=Condition!$F$18,Condition!$D$18,IF(ED7&gt;Condition!$E$19,Condition!$D$19,"")))))</f>
        <v>0</v>
      </c>
      <c r="EE50" s="85">
        <f>IF(EE7&lt;=Condition!$E$16,0,IF(EE7&lt;=Condition!$F$16,Condition!$D$16,IF(EE7&lt;=Condition!$F$17,Condition!$D$17,IF(EE7&lt;=Condition!$F$18,Condition!$D$18,IF(EE7&gt;Condition!$E$19,Condition!$D$19,"")))))</f>
        <v>0</v>
      </c>
      <c r="EF50" s="85">
        <f>IF(EF7&lt;=Condition!$E$16,0,IF(EF7&lt;=Condition!$F$16,Condition!$D$16,IF(EF7&lt;=Condition!$F$17,Condition!$D$17,IF(EF7&lt;=Condition!$F$18,Condition!$D$18,IF(EF7&gt;Condition!$E$19,Condition!$D$19,"")))))</f>
        <v>0</v>
      </c>
      <c r="EG50" s="85">
        <f>IF(EG7&lt;=Condition!$E$16,0,IF(EG7&lt;=Condition!$F$16,Condition!$D$16,IF(EG7&lt;=Condition!$F$17,Condition!$D$17,IF(EG7&lt;=Condition!$F$18,Condition!$D$18,IF(EG7&gt;Condition!$E$19,Condition!$D$19,"")))))</f>
        <v>0</v>
      </c>
      <c r="EH50" s="85">
        <f>IF(EH7&lt;=Condition!$E$16,0,IF(EH7&lt;=Condition!$F$16,Condition!$D$16,IF(EH7&lt;=Condition!$F$17,Condition!$D$17,IF(EH7&lt;=Condition!$F$18,Condition!$D$18,IF(EH7&gt;Condition!$E$19,Condition!$D$19,"")))))</f>
        <v>0</v>
      </c>
      <c r="EI50" s="85">
        <f>IF(EI7&lt;=Condition!$E$16,0,IF(EI7&lt;=Condition!$F$16,Condition!$D$16,IF(EI7&lt;=Condition!$F$17,Condition!$D$17,IF(EI7&lt;=Condition!$F$18,Condition!$D$18,IF(EI7&gt;Condition!$E$19,Condition!$D$19,"")))))</f>
        <v>0</v>
      </c>
      <c r="EJ50" s="85">
        <f>IF(EJ7&lt;=Condition!$E$16,0,IF(EJ7&lt;=Condition!$F$16,Condition!$D$16,IF(EJ7&lt;=Condition!$F$17,Condition!$D$17,IF(EJ7&lt;=Condition!$F$18,Condition!$D$18,IF(EJ7&gt;Condition!$E$19,Condition!$D$19,"")))))</f>
        <v>0</v>
      </c>
      <c r="EK50" s="85">
        <f>IF(EK7&lt;=Condition!$E$16,0,IF(EK7&lt;=Condition!$F$16,Condition!$D$16,IF(EK7&lt;=Condition!$F$17,Condition!$D$17,IF(EK7&lt;=Condition!$F$18,Condition!$D$18,IF(EK7&gt;Condition!$E$19,Condition!$D$19,"")))))</f>
        <v>0</v>
      </c>
      <c r="EL50" s="85">
        <f>IF(EL7&lt;=Condition!$E$16,0,IF(EL7&lt;=Condition!$F$16,Condition!$D$16,IF(EL7&lt;=Condition!$F$17,Condition!$D$17,IF(EL7&lt;=Condition!$F$18,Condition!$D$18,IF(EL7&gt;Condition!$E$19,Condition!$D$19,"")))))</f>
        <v>0</v>
      </c>
      <c r="EM50" s="85">
        <f>IF(EM7&lt;=Condition!$E$16,0,IF(EM7&lt;=Condition!$F$16,Condition!$D$16,IF(EM7&lt;=Condition!$F$17,Condition!$D$17,IF(EM7&lt;=Condition!$F$18,Condition!$D$18,IF(EM7&gt;Condition!$E$19,Condition!$D$19,"")))))</f>
        <v>0</v>
      </c>
      <c r="EN50" s="85">
        <f>IF(EN7&lt;=Condition!$E$16,0,IF(EN7&lt;=Condition!$F$16,Condition!$D$16,IF(EN7&lt;=Condition!$F$17,Condition!$D$17,IF(EN7&lt;=Condition!$F$18,Condition!$D$18,IF(EN7&gt;Condition!$E$19,Condition!$D$19,"")))))</f>
        <v>0</v>
      </c>
      <c r="EO50" s="85">
        <f>IF(EO7&lt;=Condition!$E$16,0,IF(EO7&lt;=Condition!$F$16,Condition!$D$16,IF(EO7&lt;=Condition!$F$17,Condition!$D$17,IF(EO7&lt;=Condition!$F$18,Condition!$D$18,IF(EO7&gt;Condition!$E$19,Condition!$D$19,"")))))</f>
        <v>0</v>
      </c>
      <c r="EP50" s="85">
        <f>IF(EP7&lt;=Condition!$E$16,0,IF(EP7&lt;=Condition!$F$16,Condition!$D$16,IF(EP7&lt;=Condition!$F$17,Condition!$D$17,IF(EP7&lt;=Condition!$F$18,Condition!$D$18,IF(EP7&gt;Condition!$E$19,Condition!$D$19,"")))))</f>
        <v>0</v>
      </c>
      <c r="EQ50" s="85">
        <f>IF(EQ7&lt;=Condition!$E$16,0,IF(EQ7&lt;=Condition!$F$16,Condition!$D$16,IF(EQ7&lt;=Condition!$F$17,Condition!$D$17,IF(EQ7&lt;=Condition!$F$18,Condition!$D$18,IF(EQ7&gt;Condition!$E$19,Condition!$D$19,"")))))</f>
        <v>0</v>
      </c>
      <c r="ER50" s="85">
        <f>IF(ER7&lt;=Condition!$E$16,0,IF(ER7&lt;=Condition!$F$16,Condition!$D$16,IF(ER7&lt;=Condition!$F$17,Condition!$D$17,IF(ER7&lt;=Condition!$F$18,Condition!$D$18,IF(ER7&gt;Condition!$E$19,Condition!$D$19,"")))))</f>
        <v>0</v>
      </c>
      <c r="ES50" s="85">
        <f>IF(ES7&lt;=Condition!$E$16,0,IF(ES7&lt;=Condition!$F$16,Condition!$D$16,IF(ES7&lt;=Condition!$F$17,Condition!$D$17,IF(ES7&lt;=Condition!$F$18,Condition!$D$18,IF(ES7&gt;Condition!$E$19,Condition!$D$19,"")))))</f>
        <v>0</v>
      </c>
      <c r="ET50" s="85">
        <f>IF(ET7&lt;=Condition!$E$16,0,IF(ET7&lt;=Condition!$F$16,Condition!$D$16,IF(ET7&lt;=Condition!$F$17,Condition!$D$17,IF(ET7&lt;=Condition!$F$18,Condition!$D$18,IF(ET7&gt;Condition!$E$19,Condition!$D$19,"")))))</f>
        <v>0</v>
      </c>
      <c r="EU50" s="85">
        <f>IF(EU7&lt;=Condition!$E$16,0,IF(EU7&lt;=Condition!$F$16,Condition!$D$16,IF(EU7&lt;=Condition!$F$17,Condition!$D$17,IF(EU7&lt;=Condition!$F$18,Condition!$D$18,IF(EU7&gt;Condition!$E$19,Condition!$D$19,"")))))</f>
        <v>0</v>
      </c>
      <c r="EV50" s="85">
        <f>IF(EV7&lt;=Condition!$E$16,0,IF(EV7&lt;=Condition!$F$16,Condition!$D$16,IF(EV7&lt;=Condition!$F$17,Condition!$D$17,IF(EV7&lt;=Condition!$F$18,Condition!$D$18,IF(EV7&gt;Condition!$E$19,Condition!$D$19,"")))))</f>
        <v>0</v>
      </c>
      <c r="EW50" s="85">
        <f>IF(EW7&lt;=Condition!$E$16,0,IF(EW7&lt;=Condition!$F$16,Condition!$D$16,IF(EW7&lt;=Condition!$F$17,Condition!$D$17,IF(EW7&lt;=Condition!$F$18,Condition!$D$18,IF(EW7&gt;Condition!$E$19,Condition!$D$19,"")))))</f>
        <v>0</v>
      </c>
      <c r="EX50" s="85">
        <f>IF(EX7&lt;=Condition!$E$16,0,IF(EX7&lt;=Condition!$F$16,Condition!$D$16,IF(EX7&lt;=Condition!$F$17,Condition!$D$17,IF(EX7&lt;=Condition!$F$18,Condition!$D$18,IF(EX7&gt;Condition!$E$19,Condition!$D$19,"")))))</f>
        <v>0</v>
      </c>
      <c r="EY50" s="85">
        <f>IF(EY7&lt;=Condition!$E$16,0,IF(EY7&lt;=Condition!$F$16,Condition!$D$16,IF(EY7&lt;=Condition!$F$17,Condition!$D$17,IF(EY7&lt;=Condition!$F$18,Condition!$D$18,IF(EY7&gt;Condition!$E$19,Condition!$D$19,"")))))</f>
        <v>0</v>
      </c>
      <c r="EZ50" s="85">
        <f>IF(EZ7&lt;=Condition!$E$16,0,IF(EZ7&lt;=Condition!$F$16,Condition!$D$16,IF(EZ7&lt;=Condition!$F$17,Condition!$D$17,IF(EZ7&lt;=Condition!$F$18,Condition!$D$18,IF(EZ7&gt;Condition!$E$19,Condition!$D$19,"")))))</f>
        <v>0</v>
      </c>
      <c r="FA50" s="85">
        <f>IF(FA7&lt;=Condition!$E$16,0,IF(FA7&lt;=Condition!$F$16,Condition!$D$16,IF(FA7&lt;=Condition!$F$17,Condition!$D$17,IF(FA7&lt;=Condition!$F$18,Condition!$D$18,IF(FA7&gt;Condition!$E$19,Condition!$D$19,"")))))</f>
        <v>0</v>
      </c>
      <c r="FB50" s="85">
        <f>IF(FB7&lt;=Condition!$E$16,0,IF(FB7&lt;=Condition!$F$16,Condition!$D$16,IF(FB7&lt;=Condition!$F$17,Condition!$D$17,IF(FB7&lt;=Condition!$F$18,Condition!$D$18,IF(FB7&gt;Condition!$E$19,Condition!$D$19,"")))))</f>
        <v>0</v>
      </c>
      <c r="FC50" s="85">
        <f>IF(FC7&lt;=Condition!$E$16,0,IF(FC7&lt;=Condition!$F$16,Condition!$D$16,IF(FC7&lt;=Condition!$F$17,Condition!$D$17,IF(FC7&lt;=Condition!$F$18,Condition!$D$18,IF(FC7&gt;Condition!$E$19,Condition!$D$19,"")))))</f>
        <v>0</v>
      </c>
      <c r="FD50" s="85">
        <f>IF(FD7&lt;=Condition!$E$16,0,IF(FD7&lt;=Condition!$F$16,Condition!$D$16,IF(FD7&lt;=Condition!$F$17,Condition!$D$17,IF(FD7&lt;=Condition!$F$18,Condition!$D$18,IF(FD7&gt;Condition!$E$19,Condition!$D$19,"")))))</f>
        <v>0</v>
      </c>
      <c r="FE50" s="85">
        <f>IF(FE7&lt;=Condition!$E$16,0,IF(FE7&lt;=Condition!$F$16,Condition!$D$16,IF(FE7&lt;=Condition!$F$17,Condition!$D$17,IF(FE7&lt;=Condition!$F$18,Condition!$D$18,IF(FE7&gt;Condition!$E$19,Condition!$D$19,"")))))</f>
        <v>0</v>
      </c>
      <c r="FF50" s="85">
        <f>IF(FF7&lt;=Condition!$E$16,0,IF(FF7&lt;=Condition!$F$16,Condition!$D$16,IF(FF7&lt;=Condition!$F$17,Condition!$D$17,IF(FF7&lt;=Condition!$F$18,Condition!$D$18,IF(FF7&gt;Condition!$E$19,Condition!$D$19,"")))))</f>
        <v>0</v>
      </c>
      <c r="FG50" s="85">
        <f>IF(FG7&lt;=Condition!$E$16,0,IF(FG7&lt;=Condition!$F$16,Condition!$D$16,IF(FG7&lt;=Condition!$F$17,Condition!$D$17,IF(FG7&lt;=Condition!$F$18,Condition!$D$18,IF(FG7&gt;Condition!$E$19,Condition!$D$19,"")))))</f>
        <v>0</v>
      </c>
      <c r="FH50" s="85">
        <f>IF(FH7&lt;=Condition!$E$16,0,IF(FH7&lt;=Condition!$F$16,Condition!$D$16,IF(FH7&lt;=Condition!$F$17,Condition!$D$17,IF(FH7&lt;=Condition!$F$18,Condition!$D$18,IF(FH7&gt;Condition!$E$19,Condition!$D$19,"")))))</f>
        <v>0</v>
      </c>
      <c r="FI50" s="85">
        <f>IF(FI7&lt;=Condition!$E$16,0,IF(FI7&lt;=Condition!$F$16,Condition!$D$16,IF(FI7&lt;=Condition!$F$17,Condition!$D$17,IF(FI7&lt;=Condition!$F$18,Condition!$D$18,IF(FI7&gt;Condition!$E$19,Condition!$D$19,"")))))</f>
        <v>0</v>
      </c>
      <c r="FJ50" s="85">
        <f>IF(FJ7&lt;=Condition!$E$16,0,IF(FJ7&lt;=Condition!$F$16,Condition!$D$16,IF(FJ7&lt;=Condition!$F$17,Condition!$D$17,IF(FJ7&lt;=Condition!$F$18,Condition!$D$18,IF(FJ7&gt;Condition!$E$19,Condition!$D$19,"")))))</f>
        <v>0</v>
      </c>
      <c r="FK50" s="85">
        <f>IF(FK7&lt;=Condition!$E$16,0,IF(FK7&lt;=Condition!$F$16,Condition!$D$16,IF(FK7&lt;=Condition!$F$17,Condition!$D$17,IF(FK7&lt;=Condition!$F$18,Condition!$D$18,IF(FK7&gt;Condition!$E$19,Condition!$D$19,"")))))</f>
        <v>0</v>
      </c>
      <c r="FL50" s="85">
        <f>IF(FL7&lt;=Condition!$E$16,0,IF(FL7&lt;=Condition!$F$16,Condition!$D$16,IF(FL7&lt;=Condition!$F$17,Condition!$D$17,IF(FL7&lt;=Condition!$F$18,Condition!$D$18,IF(FL7&gt;Condition!$E$19,Condition!$D$19,"")))))</f>
        <v>0</v>
      </c>
      <c r="FM50" s="85">
        <f>IF(FM7&lt;=Condition!$E$16,0,IF(FM7&lt;=Condition!$F$16,Condition!$D$16,IF(FM7&lt;=Condition!$F$17,Condition!$D$17,IF(FM7&lt;=Condition!$F$18,Condition!$D$18,IF(FM7&gt;Condition!$E$19,Condition!$D$19,"")))))</f>
        <v>0</v>
      </c>
      <c r="FN50" s="85">
        <f>IF(FN7&lt;=Condition!$E$16,0,IF(FN7&lt;=Condition!$F$16,Condition!$D$16,IF(FN7&lt;=Condition!$F$17,Condition!$D$17,IF(FN7&lt;=Condition!$F$18,Condition!$D$18,IF(FN7&gt;Condition!$E$19,Condition!$D$19,"")))))</f>
        <v>0</v>
      </c>
      <c r="FO50" s="85">
        <f>IF(FO7&lt;=Condition!$E$16,0,IF(FO7&lt;=Condition!$F$16,Condition!$D$16,IF(FO7&lt;=Condition!$F$17,Condition!$D$17,IF(FO7&lt;=Condition!$F$18,Condition!$D$18,IF(FO7&gt;Condition!$E$19,Condition!$D$19,"")))))</f>
        <v>0</v>
      </c>
      <c r="FP50" s="85">
        <f>IF(FP7&lt;=Condition!$E$16,0,IF(FP7&lt;=Condition!$F$16,Condition!$D$16,IF(FP7&lt;=Condition!$F$17,Condition!$D$17,IF(FP7&lt;=Condition!$F$18,Condition!$D$18,IF(FP7&gt;Condition!$E$19,Condition!$D$19,"")))))</f>
        <v>0</v>
      </c>
      <c r="FQ50" s="85">
        <f>IF(FQ7&lt;=Condition!$E$16,0,IF(FQ7&lt;=Condition!$F$16,Condition!$D$16,IF(FQ7&lt;=Condition!$F$17,Condition!$D$17,IF(FQ7&lt;=Condition!$F$18,Condition!$D$18,IF(FQ7&gt;Condition!$E$19,Condition!$D$19,"")))))</f>
        <v>0</v>
      </c>
      <c r="FR50" s="85">
        <f>IF(FR7&lt;=Condition!$E$16,0,IF(FR7&lt;=Condition!$F$16,Condition!$D$16,IF(FR7&lt;=Condition!$F$17,Condition!$D$17,IF(FR7&lt;=Condition!$F$18,Condition!$D$18,IF(FR7&gt;Condition!$E$19,Condition!$D$19,"")))))</f>
        <v>0</v>
      </c>
      <c r="FS50" s="85">
        <f>IF(FS7&lt;=Condition!$E$16,0,IF(FS7&lt;=Condition!$F$16,Condition!$D$16,IF(FS7&lt;=Condition!$F$17,Condition!$D$17,IF(FS7&lt;=Condition!$F$18,Condition!$D$18,IF(FS7&gt;Condition!$E$19,Condition!$D$19,"")))))</f>
        <v>0</v>
      </c>
      <c r="FT50" s="85">
        <f>IF(FT7&lt;=Condition!$E$16,0,IF(FT7&lt;=Condition!$F$16,Condition!$D$16,IF(FT7&lt;=Condition!$F$17,Condition!$D$17,IF(FT7&lt;=Condition!$F$18,Condition!$D$18,IF(FT7&gt;Condition!$E$19,Condition!$D$19,"")))))</f>
        <v>0</v>
      </c>
      <c r="FU50" s="85">
        <f>IF(FU7&lt;=Condition!$E$16,0,IF(FU7&lt;=Condition!$F$16,Condition!$D$16,IF(FU7&lt;=Condition!$F$17,Condition!$D$17,IF(FU7&lt;=Condition!$F$18,Condition!$D$18,IF(FU7&gt;Condition!$E$19,Condition!$D$19,"")))))</f>
        <v>0</v>
      </c>
      <c r="FV50" s="85">
        <f>IF(FV7&lt;=Condition!$E$16,0,IF(FV7&lt;=Condition!$F$16,Condition!$D$16,IF(FV7&lt;=Condition!$F$17,Condition!$D$17,IF(FV7&lt;=Condition!$F$18,Condition!$D$18,IF(FV7&gt;Condition!$E$19,Condition!$D$19,"")))))</f>
        <v>0</v>
      </c>
      <c r="FW50" s="85">
        <f>IF(FW7&lt;=Condition!$E$16,0,IF(FW7&lt;=Condition!$F$16,Condition!$D$16,IF(FW7&lt;=Condition!$F$17,Condition!$D$17,IF(FW7&lt;=Condition!$F$18,Condition!$D$18,IF(FW7&gt;Condition!$E$19,Condition!$D$19,"")))))</f>
        <v>0</v>
      </c>
      <c r="FX50" s="85">
        <f>IF(FX7&lt;=Condition!$E$16,0,IF(FX7&lt;=Condition!$F$16,Condition!$D$16,IF(FX7&lt;=Condition!$F$17,Condition!$D$17,IF(FX7&lt;=Condition!$F$18,Condition!$D$18,IF(FX7&gt;Condition!$E$19,Condition!$D$19,"")))))</f>
        <v>0</v>
      </c>
      <c r="FY50" s="85">
        <f>IF(FY7&lt;=Condition!$E$16,0,IF(FY7&lt;=Condition!$F$16,Condition!$D$16,IF(FY7&lt;=Condition!$F$17,Condition!$D$17,IF(FY7&lt;=Condition!$F$18,Condition!$D$18,IF(FY7&gt;Condition!$E$19,Condition!$D$19,"")))))</f>
        <v>0</v>
      </c>
      <c r="FZ50" s="85">
        <f>IF(FZ7&lt;=Condition!$E$16,0,IF(FZ7&lt;=Condition!$F$16,Condition!$D$16,IF(FZ7&lt;=Condition!$F$17,Condition!$D$17,IF(FZ7&lt;=Condition!$F$18,Condition!$D$18,IF(FZ7&gt;Condition!$E$19,Condition!$D$19,"")))))</f>
        <v>0</v>
      </c>
      <c r="GA50" s="85">
        <f>IF(GA7&lt;=Condition!$E$16,0,IF(GA7&lt;=Condition!$F$16,Condition!$D$16,IF(GA7&lt;=Condition!$F$17,Condition!$D$17,IF(GA7&lt;=Condition!$F$18,Condition!$D$18,IF(GA7&gt;Condition!$E$19,Condition!$D$19,"")))))</f>
        <v>0</v>
      </c>
      <c r="GB50" s="85">
        <f>IF(GB7&lt;=Condition!$E$16,0,IF(GB7&lt;=Condition!$F$16,Condition!$D$16,IF(GB7&lt;=Condition!$F$17,Condition!$D$17,IF(GB7&lt;=Condition!$F$18,Condition!$D$18,IF(GB7&gt;Condition!$E$19,Condition!$D$19,"")))))</f>
        <v>0</v>
      </c>
      <c r="GC50" s="85">
        <f>IF(GC7&lt;=Condition!$E$16,0,IF(GC7&lt;=Condition!$F$16,Condition!$D$16,IF(GC7&lt;=Condition!$F$17,Condition!$D$17,IF(GC7&lt;=Condition!$F$18,Condition!$D$18,IF(GC7&gt;Condition!$E$19,Condition!$D$19,"")))))</f>
        <v>0</v>
      </c>
      <c r="GD50" s="85">
        <f>IF(GD7&lt;=Condition!$E$16,0,IF(GD7&lt;=Condition!$F$16,Condition!$D$16,IF(GD7&lt;=Condition!$F$17,Condition!$D$17,IF(GD7&lt;=Condition!$F$18,Condition!$D$18,IF(GD7&gt;Condition!$E$19,Condition!$D$19,"")))))</f>
        <v>0</v>
      </c>
      <c r="GE50" s="85">
        <f>IF(GE7&lt;=Condition!$E$16,0,IF(GE7&lt;=Condition!$F$16,Condition!$D$16,IF(GE7&lt;=Condition!$F$17,Condition!$D$17,IF(GE7&lt;=Condition!$F$18,Condition!$D$18,IF(GE7&gt;Condition!$E$19,Condition!$D$19,"")))))</f>
        <v>0</v>
      </c>
      <c r="GF50" s="85">
        <f>IF(GF7&lt;=Condition!$E$16,0,IF(GF7&lt;=Condition!$F$16,Condition!$D$16,IF(GF7&lt;=Condition!$F$17,Condition!$D$17,IF(GF7&lt;=Condition!$F$18,Condition!$D$18,IF(GF7&gt;Condition!$E$19,Condition!$D$19,"")))))</f>
        <v>0</v>
      </c>
      <c r="GG50" s="85">
        <f>IF(GG7&lt;=Condition!$E$16,0,IF(GG7&lt;=Condition!$F$16,Condition!$D$16,IF(GG7&lt;=Condition!$F$17,Condition!$D$17,IF(GG7&lt;=Condition!$F$18,Condition!$D$18,IF(GG7&gt;Condition!$E$19,Condition!$D$19,"")))))</f>
        <v>0</v>
      </c>
      <c r="GH50" s="85">
        <f>IF(GH7&lt;=Condition!$E$16,0,IF(GH7&lt;=Condition!$F$16,Condition!$D$16,IF(GH7&lt;=Condition!$F$17,Condition!$D$17,IF(GH7&lt;=Condition!$F$18,Condition!$D$18,IF(GH7&gt;Condition!$E$19,Condition!$D$19,"")))))</f>
        <v>0</v>
      </c>
      <c r="GI50" s="85">
        <f>IF(GI7&lt;=Condition!$E$16,0,IF(GI7&lt;=Condition!$F$16,Condition!$D$16,IF(GI7&lt;=Condition!$F$17,Condition!$D$17,IF(GI7&lt;=Condition!$F$18,Condition!$D$18,IF(GI7&gt;Condition!$E$19,Condition!$D$19,"")))))</f>
        <v>0</v>
      </c>
      <c r="GJ50" s="85">
        <f>IF(GJ7&lt;=Condition!$E$16,0,IF(GJ7&lt;=Condition!$F$16,Condition!$D$16,IF(GJ7&lt;=Condition!$F$17,Condition!$D$17,IF(GJ7&lt;=Condition!$F$18,Condition!$D$18,IF(GJ7&gt;Condition!$E$19,Condition!$D$19,"")))))</f>
        <v>0</v>
      </c>
      <c r="GK50" s="85">
        <f>IF(GK7&lt;=Condition!$E$16,0,IF(GK7&lt;=Condition!$F$16,Condition!$D$16,IF(GK7&lt;=Condition!$F$17,Condition!$D$17,IF(GK7&lt;=Condition!$F$18,Condition!$D$18,IF(GK7&gt;Condition!$E$19,Condition!$D$19,"")))))</f>
        <v>0</v>
      </c>
      <c r="GL50" s="85">
        <f>IF(GL7&lt;=Condition!$E$16,0,IF(GL7&lt;=Condition!$F$16,Condition!$D$16,IF(GL7&lt;=Condition!$F$17,Condition!$D$17,IF(GL7&lt;=Condition!$F$18,Condition!$D$18,IF(GL7&gt;Condition!$E$19,Condition!$D$19,"")))))</f>
        <v>0</v>
      </c>
      <c r="GM50" s="85">
        <f>IF(GM7&lt;=Condition!$E$16,0,IF(GM7&lt;=Condition!$F$16,Condition!$D$16,IF(GM7&lt;=Condition!$F$17,Condition!$D$17,IF(GM7&lt;=Condition!$F$18,Condition!$D$18,IF(GM7&gt;Condition!$E$19,Condition!$D$19,"")))))</f>
        <v>0</v>
      </c>
      <c r="GN50" s="85">
        <f>IF(GN7&lt;=Condition!$E$16,0,IF(GN7&lt;=Condition!$F$16,Condition!$D$16,IF(GN7&lt;=Condition!$F$17,Condition!$D$17,IF(GN7&lt;=Condition!$F$18,Condition!$D$18,IF(GN7&gt;Condition!$E$19,Condition!$D$19,"")))))</f>
        <v>0</v>
      </c>
      <c r="GO50" s="85">
        <f>IF(GO7&lt;=Condition!$E$16,0,IF(GO7&lt;=Condition!$F$16,Condition!$D$16,IF(GO7&lt;=Condition!$F$17,Condition!$D$17,IF(GO7&lt;=Condition!$F$18,Condition!$D$18,IF(GO7&gt;Condition!$E$19,Condition!$D$19,"")))))</f>
        <v>0</v>
      </c>
      <c r="GP50" s="85">
        <f>IF(GP7&lt;=Condition!$E$16,0,IF(GP7&lt;=Condition!$F$16,Condition!$D$16,IF(GP7&lt;=Condition!$F$17,Condition!$D$17,IF(GP7&lt;=Condition!$F$18,Condition!$D$18,IF(GP7&gt;Condition!$E$19,Condition!$D$19,"")))))</f>
        <v>0</v>
      </c>
      <c r="GQ50" s="85">
        <f>IF(GQ7&lt;=Condition!$E$16,0,IF(GQ7&lt;=Condition!$F$16,Condition!$D$16,IF(GQ7&lt;=Condition!$F$17,Condition!$D$17,IF(GQ7&lt;=Condition!$F$18,Condition!$D$18,IF(GQ7&gt;Condition!$E$19,Condition!$D$19,"")))))</f>
        <v>0</v>
      </c>
      <c r="GR50" s="85">
        <f>IF(GR7&lt;=Condition!$E$16,0,IF(GR7&lt;=Condition!$F$16,Condition!$D$16,IF(GR7&lt;=Condition!$F$17,Condition!$D$17,IF(GR7&lt;=Condition!$F$18,Condition!$D$18,IF(GR7&gt;Condition!$E$19,Condition!$D$19,"")))))</f>
        <v>0</v>
      </c>
      <c r="GS50" s="85">
        <f>IF(GS7&lt;=Condition!$E$16,0,IF(GS7&lt;=Condition!$F$16,Condition!$D$16,IF(GS7&lt;=Condition!$F$17,Condition!$D$17,IF(GS7&lt;=Condition!$F$18,Condition!$D$18,IF(GS7&gt;Condition!$E$19,Condition!$D$19,"")))))</f>
        <v>0</v>
      </c>
      <c r="GT50" s="85">
        <f>IF(GT7&lt;=Condition!$E$16,0,IF(GT7&lt;=Condition!$F$16,Condition!$D$16,IF(GT7&lt;=Condition!$F$17,Condition!$D$17,IF(GT7&lt;=Condition!$F$18,Condition!$D$18,IF(GT7&gt;Condition!$E$19,Condition!$D$19,"")))))</f>
        <v>0</v>
      </c>
      <c r="GU50" s="85">
        <f>IF(GU7&lt;=Condition!$E$16,0,IF(GU7&lt;=Condition!$F$16,Condition!$D$16,IF(GU7&lt;=Condition!$F$17,Condition!$D$17,IF(GU7&lt;=Condition!$F$18,Condition!$D$18,IF(GU7&gt;Condition!$E$19,Condition!$D$19,"")))))</f>
        <v>0</v>
      </c>
      <c r="GV50" s="85">
        <f>IF(GV7&lt;=Condition!$E$16,0,IF(GV7&lt;=Condition!$F$16,Condition!$D$16,IF(GV7&lt;=Condition!$F$17,Condition!$D$17,IF(GV7&lt;=Condition!$F$18,Condition!$D$18,IF(GV7&gt;Condition!$E$19,Condition!$D$19,"")))))</f>
        <v>0</v>
      </c>
      <c r="GW50" s="85">
        <f>IF(GW7&lt;=Condition!$E$16,0,IF(GW7&lt;=Condition!$F$16,Condition!$D$16,IF(GW7&lt;=Condition!$F$17,Condition!$D$17,IF(GW7&lt;=Condition!$F$18,Condition!$D$18,IF(GW7&gt;Condition!$E$19,Condition!$D$19,"")))))</f>
        <v>0</v>
      </c>
      <c r="GX50" s="85">
        <f>IF(GX7&lt;=Condition!$E$16,0,IF(GX7&lt;=Condition!$F$16,Condition!$D$16,IF(GX7&lt;=Condition!$F$17,Condition!$D$17,IF(GX7&lt;=Condition!$F$18,Condition!$D$18,IF(GX7&gt;Condition!$E$19,Condition!$D$19,"")))))</f>
        <v>0</v>
      </c>
      <c r="GY50" s="85">
        <f>IF(GY7&lt;=Condition!$E$16,0,IF(GY7&lt;=Condition!$F$16,Condition!$D$16,IF(GY7&lt;=Condition!$F$17,Condition!$D$17,IF(GY7&lt;=Condition!$F$18,Condition!$D$18,IF(GY7&gt;Condition!$E$19,Condition!$D$19,"")))))</f>
        <v>0</v>
      </c>
      <c r="GZ50" s="85">
        <f>IF(GZ7&lt;=Condition!$E$16,0,IF(GZ7&lt;=Condition!$F$16,Condition!$D$16,IF(GZ7&lt;=Condition!$F$17,Condition!$D$17,IF(GZ7&lt;=Condition!$F$18,Condition!$D$18,IF(GZ7&gt;Condition!$E$19,Condition!$D$19,"")))))</f>
        <v>0</v>
      </c>
      <c r="HA50" s="85">
        <f>IF(HA7&lt;=Condition!$E$16,0,IF(HA7&lt;=Condition!$F$16,Condition!$D$16,IF(HA7&lt;=Condition!$F$17,Condition!$D$17,IF(HA7&lt;=Condition!$F$18,Condition!$D$18,IF(HA7&gt;Condition!$E$19,Condition!$D$19,"")))))</f>
        <v>0</v>
      </c>
      <c r="HB50" s="85">
        <f>IF(HB7&lt;=Condition!$E$16,0,IF(HB7&lt;=Condition!$F$16,Condition!$D$16,IF(HB7&lt;=Condition!$F$17,Condition!$D$17,IF(HB7&lt;=Condition!$F$18,Condition!$D$18,IF(HB7&gt;Condition!$E$19,Condition!$D$19,"")))))</f>
        <v>0</v>
      </c>
      <c r="HC50" s="85">
        <f>IF(HC7&lt;=Condition!$E$16,0,IF(HC7&lt;=Condition!$F$16,Condition!$D$16,IF(HC7&lt;=Condition!$F$17,Condition!$D$17,IF(HC7&lt;=Condition!$F$18,Condition!$D$18,IF(HC7&gt;Condition!$E$19,Condition!$D$19,"")))))</f>
        <v>0</v>
      </c>
      <c r="HD50" s="85">
        <f>IF(HD7&lt;=Condition!$E$16,0,IF(HD7&lt;=Condition!$F$16,Condition!$D$16,IF(HD7&lt;=Condition!$F$17,Condition!$D$17,IF(HD7&lt;=Condition!$F$18,Condition!$D$18,IF(HD7&gt;Condition!$E$19,Condition!$D$19,"")))))</f>
        <v>0</v>
      </c>
      <c r="HE50" s="85">
        <f>IF(HE7&lt;=Condition!$E$16,0,IF(HE7&lt;=Condition!$F$16,Condition!$D$16,IF(HE7&lt;=Condition!$F$17,Condition!$D$17,IF(HE7&lt;=Condition!$F$18,Condition!$D$18,IF(HE7&gt;Condition!$E$19,Condition!$D$19,"")))))</f>
        <v>0</v>
      </c>
      <c r="HF50" s="85">
        <f>IF(HF7&lt;=Condition!$E$16,0,IF(HF7&lt;=Condition!$F$16,Condition!$D$16,IF(HF7&lt;=Condition!$F$17,Condition!$D$17,IF(HF7&lt;=Condition!$F$18,Condition!$D$18,IF(HF7&gt;Condition!$E$19,Condition!$D$19,"")))))</f>
        <v>0</v>
      </c>
      <c r="HG50" s="85">
        <f>IF(HG7&lt;=Condition!$E$16,0,IF(HG7&lt;=Condition!$F$16,Condition!$D$16,IF(HG7&lt;=Condition!$F$17,Condition!$D$17,IF(HG7&lt;=Condition!$F$18,Condition!$D$18,IF(HG7&gt;Condition!$E$19,Condition!$D$19,"")))))</f>
        <v>0</v>
      </c>
      <c r="HH50" s="85">
        <f>IF(HH7&lt;=Condition!$E$16,0,IF(HH7&lt;=Condition!$F$16,Condition!$D$16,IF(HH7&lt;=Condition!$F$17,Condition!$D$17,IF(HH7&lt;=Condition!$F$18,Condition!$D$18,IF(HH7&gt;Condition!$E$19,Condition!$D$19,"")))))</f>
        <v>0</v>
      </c>
      <c r="HI50" s="85">
        <f>IF(HI7&lt;=Condition!$E$16,0,IF(HI7&lt;=Condition!$F$16,Condition!$D$16,IF(HI7&lt;=Condition!$F$17,Condition!$D$17,IF(HI7&lt;=Condition!$F$18,Condition!$D$18,IF(HI7&gt;Condition!$E$19,Condition!$D$19,"")))))</f>
        <v>0</v>
      </c>
      <c r="HJ50" s="85">
        <f>IF(HJ7&lt;=Condition!$E$16,0,IF(HJ7&lt;=Condition!$F$16,Condition!$D$16,IF(HJ7&lt;=Condition!$F$17,Condition!$D$17,IF(HJ7&lt;=Condition!$F$18,Condition!$D$18,IF(HJ7&gt;Condition!$E$19,Condition!$D$19,"")))))</f>
        <v>0</v>
      </c>
      <c r="HK50" s="85">
        <f>IF(HK7&lt;=Condition!$E$16,0,IF(HK7&lt;=Condition!$F$16,Condition!$D$16,IF(HK7&lt;=Condition!$F$17,Condition!$D$17,IF(HK7&lt;=Condition!$F$18,Condition!$D$18,IF(HK7&gt;Condition!$E$19,Condition!$D$19,"")))))</f>
        <v>0</v>
      </c>
      <c r="HL50" s="85">
        <f>IF(HL7&lt;=Condition!$E$16,0,IF(HL7&lt;=Condition!$F$16,Condition!$D$16,IF(HL7&lt;=Condition!$F$17,Condition!$D$17,IF(HL7&lt;=Condition!$F$18,Condition!$D$18,IF(HL7&gt;Condition!$E$19,Condition!$D$19,"")))))</f>
        <v>0</v>
      </c>
      <c r="HM50" s="85">
        <f>IF(HM7&lt;=Condition!$E$16,0,IF(HM7&lt;=Condition!$F$16,Condition!$D$16,IF(HM7&lt;=Condition!$F$17,Condition!$D$17,IF(HM7&lt;=Condition!$F$18,Condition!$D$18,IF(HM7&gt;Condition!$E$19,Condition!$D$19,"")))))</f>
        <v>0</v>
      </c>
      <c r="HN50" s="85">
        <f>IF(HN7&lt;=Condition!$E$16,0,IF(HN7&lt;=Condition!$F$16,Condition!$D$16,IF(HN7&lt;=Condition!$F$17,Condition!$D$17,IF(HN7&lt;=Condition!$F$18,Condition!$D$18,IF(HN7&gt;Condition!$E$19,Condition!$D$19,"")))))</f>
        <v>0</v>
      </c>
      <c r="HO50" s="85">
        <f>IF(HO7&lt;=Condition!$E$16,0,IF(HO7&lt;=Condition!$F$16,Condition!$D$16,IF(HO7&lt;=Condition!$F$17,Condition!$D$17,IF(HO7&lt;=Condition!$F$18,Condition!$D$18,IF(HO7&gt;Condition!$E$19,Condition!$D$19,"")))))</f>
        <v>0</v>
      </c>
      <c r="HP50" s="85">
        <f>IF(HP7&lt;=Condition!$E$16,0,IF(HP7&lt;=Condition!$F$16,Condition!$D$16,IF(HP7&lt;=Condition!$F$17,Condition!$D$17,IF(HP7&lt;=Condition!$F$18,Condition!$D$18,IF(HP7&gt;Condition!$E$19,Condition!$D$19,"")))))</f>
        <v>0</v>
      </c>
      <c r="HQ50" s="85">
        <f>IF(HQ7&lt;=Condition!$E$16,0,IF(HQ7&lt;=Condition!$F$16,Condition!$D$16,IF(HQ7&lt;=Condition!$F$17,Condition!$D$17,IF(HQ7&lt;=Condition!$F$18,Condition!$D$18,IF(HQ7&gt;Condition!$E$19,Condition!$D$19,"")))))</f>
        <v>0</v>
      </c>
      <c r="HR50" s="85">
        <f>IF(HR7&lt;=Condition!$E$16,0,IF(HR7&lt;=Condition!$F$16,Condition!$D$16,IF(HR7&lt;=Condition!$F$17,Condition!$D$17,IF(HR7&lt;=Condition!$F$18,Condition!$D$18,IF(HR7&gt;Condition!$E$19,Condition!$D$19,"")))))</f>
        <v>0</v>
      </c>
      <c r="HS50" s="85">
        <f>IF(HS7&lt;=Condition!$E$16,0,IF(HS7&lt;=Condition!$F$16,Condition!$D$16,IF(HS7&lt;=Condition!$F$17,Condition!$D$17,IF(HS7&lt;=Condition!$F$18,Condition!$D$18,IF(HS7&gt;Condition!$E$19,Condition!$D$19,"")))))</f>
        <v>0</v>
      </c>
      <c r="HT50" s="85">
        <f>IF(HT7&lt;=Condition!$E$16,0,IF(HT7&lt;=Condition!$F$16,Condition!$D$16,IF(HT7&lt;=Condition!$F$17,Condition!$D$17,IF(HT7&lt;=Condition!$F$18,Condition!$D$18,IF(HT7&gt;Condition!$E$19,Condition!$D$19,"")))))</f>
        <v>0</v>
      </c>
      <c r="HU50" s="85">
        <f>IF(HU7&lt;=Condition!$E$16,0,IF(HU7&lt;=Condition!$F$16,Condition!$D$16,IF(HU7&lt;=Condition!$F$17,Condition!$D$17,IF(HU7&lt;=Condition!$F$18,Condition!$D$18,IF(HU7&gt;Condition!$E$19,Condition!$D$19,"")))))</f>
        <v>0</v>
      </c>
      <c r="HV50" s="85">
        <f>IF(HV7&lt;=Condition!$E$16,0,IF(HV7&lt;=Condition!$F$16,Condition!$D$16,IF(HV7&lt;=Condition!$F$17,Condition!$D$17,IF(HV7&lt;=Condition!$F$18,Condition!$D$18,IF(HV7&gt;Condition!$E$19,Condition!$D$19,"")))))</f>
        <v>0</v>
      </c>
      <c r="HW50" s="85">
        <f>IF(HW7&lt;=Condition!$E$16,0,IF(HW7&lt;=Condition!$F$16,Condition!$D$16,IF(HW7&lt;=Condition!$F$17,Condition!$D$17,IF(HW7&lt;=Condition!$F$18,Condition!$D$18,IF(HW7&gt;Condition!$E$19,Condition!$D$19,"")))))</f>
        <v>0</v>
      </c>
      <c r="HX50" s="85">
        <f>IF(HX7&lt;=Condition!$E$16,0,IF(HX7&lt;=Condition!$F$16,Condition!$D$16,IF(HX7&lt;=Condition!$F$17,Condition!$D$17,IF(HX7&lt;=Condition!$F$18,Condition!$D$18,IF(HX7&gt;Condition!$E$19,Condition!$D$19,"")))))</f>
        <v>0</v>
      </c>
      <c r="HY50" s="85">
        <f>IF(HY7&lt;=Condition!$E$16,0,IF(HY7&lt;=Condition!$F$16,Condition!$D$16,IF(HY7&lt;=Condition!$F$17,Condition!$D$17,IF(HY7&lt;=Condition!$F$18,Condition!$D$18,IF(HY7&gt;Condition!$E$19,Condition!$D$19,"")))))</f>
        <v>0</v>
      </c>
      <c r="HZ50" s="85">
        <f>IF(HZ7&lt;=Condition!$E$16,0,IF(HZ7&lt;=Condition!$F$16,Condition!$D$16,IF(HZ7&lt;=Condition!$F$17,Condition!$D$17,IF(HZ7&lt;=Condition!$F$18,Condition!$D$18,IF(HZ7&gt;Condition!$E$19,Condition!$D$19,"")))))</f>
        <v>0</v>
      </c>
      <c r="IA50" s="85">
        <f>IF(IA7&lt;=Condition!$E$16,0,IF(IA7&lt;=Condition!$F$16,Condition!$D$16,IF(IA7&lt;=Condition!$F$17,Condition!$D$17,IF(IA7&lt;=Condition!$F$18,Condition!$D$18,IF(IA7&gt;Condition!$E$19,Condition!$D$19,"")))))</f>
        <v>0</v>
      </c>
      <c r="IB50" s="85">
        <f>IF(IB7&lt;=Condition!$E$16,0,IF(IB7&lt;=Condition!$F$16,Condition!$D$16,IF(IB7&lt;=Condition!$F$17,Condition!$D$17,IF(IB7&lt;=Condition!$F$18,Condition!$D$18,IF(IB7&gt;Condition!$E$19,Condition!$D$19,"")))))</f>
        <v>0</v>
      </c>
      <c r="IC50" s="85">
        <f>IF(IC7&lt;=Condition!$E$16,0,IF(IC7&lt;=Condition!$F$16,Condition!$D$16,IF(IC7&lt;=Condition!$F$17,Condition!$D$17,IF(IC7&lt;=Condition!$F$18,Condition!$D$18,IF(IC7&gt;Condition!$E$19,Condition!$D$19,"")))))</f>
        <v>0</v>
      </c>
      <c r="ID50" s="85">
        <f>IF(ID7&lt;=Condition!$E$16,0,IF(ID7&lt;=Condition!$F$16,Condition!$D$16,IF(ID7&lt;=Condition!$F$17,Condition!$D$17,IF(ID7&lt;=Condition!$F$18,Condition!$D$18,IF(ID7&gt;Condition!$E$19,Condition!$D$19,"")))))</f>
        <v>0</v>
      </c>
      <c r="IE50" s="85">
        <f>IF(IE7&lt;=Condition!$E$16,0,IF(IE7&lt;=Condition!$F$16,Condition!$D$16,IF(IE7&lt;=Condition!$F$17,Condition!$D$17,IF(IE7&lt;=Condition!$F$18,Condition!$D$18,IF(IE7&gt;Condition!$E$19,Condition!$D$19,"")))))</f>
        <v>0</v>
      </c>
      <c r="IF50" s="85">
        <f>IF(IF7&lt;=Condition!$E$16,0,IF(IF7&lt;=Condition!$F$16,Condition!$D$16,IF(IF7&lt;=Condition!$F$17,Condition!$D$17,IF(IF7&lt;=Condition!$F$18,Condition!$D$18,IF(IF7&gt;Condition!$E$19,Condition!$D$19,"")))))</f>
        <v>0</v>
      </c>
      <c r="IG50" s="85">
        <f>IF(IG7&lt;=Condition!$E$16,0,IF(IG7&lt;=Condition!$F$16,Condition!$D$16,IF(IG7&lt;=Condition!$F$17,Condition!$D$17,IF(IG7&lt;=Condition!$F$18,Condition!$D$18,IF(IG7&gt;Condition!$E$19,Condition!$D$19,"")))))</f>
        <v>0</v>
      </c>
      <c r="IH50" s="85">
        <f>IF(IH7&lt;=Condition!$E$16,0,IF(IH7&lt;=Condition!$F$16,Condition!$D$16,IF(IH7&lt;=Condition!$F$17,Condition!$D$17,IF(IH7&lt;=Condition!$F$18,Condition!$D$18,IF(IH7&gt;Condition!$E$19,Condition!$D$19,"")))))</f>
        <v>0</v>
      </c>
      <c r="II50" s="85">
        <f>IF(II7&lt;=Condition!$E$16,0,IF(II7&lt;=Condition!$F$16,Condition!$D$16,IF(II7&lt;=Condition!$F$17,Condition!$D$17,IF(II7&lt;=Condition!$F$18,Condition!$D$18,IF(II7&gt;Condition!$E$19,Condition!$D$19,"")))))</f>
        <v>0</v>
      </c>
      <c r="IJ50" s="85">
        <f>IF(IJ7&lt;=Condition!$E$16,0,IF(IJ7&lt;=Condition!$F$16,Condition!$D$16,IF(IJ7&lt;=Condition!$F$17,Condition!$D$17,IF(IJ7&lt;=Condition!$F$18,Condition!$D$18,IF(IJ7&gt;Condition!$E$19,Condition!$D$19,"")))))</f>
        <v>0</v>
      </c>
      <c r="IK50" s="85">
        <f>IF(IK7&lt;=Condition!$E$16,0,IF(IK7&lt;=Condition!$F$16,Condition!$D$16,IF(IK7&lt;=Condition!$F$17,Condition!$D$17,IF(IK7&lt;=Condition!$F$18,Condition!$D$18,IF(IK7&gt;Condition!$E$19,Condition!$D$19,"")))))</f>
        <v>0</v>
      </c>
      <c r="IL50" s="85">
        <f>IF(IL7&lt;=Condition!$E$16,0,IF(IL7&lt;=Condition!$F$16,Condition!$D$16,IF(IL7&lt;=Condition!$F$17,Condition!$D$17,IF(IL7&lt;=Condition!$F$18,Condition!$D$18,IF(IL7&gt;Condition!$E$19,Condition!$D$19,"")))))</f>
        <v>0</v>
      </c>
      <c r="IM50" s="85">
        <f>IF(IM7&lt;=Condition!$E$16,0,IF(IM7&lt;=Condition!$F$16,Condition!$D$16,IF(IM7&lt;=Condition!$F$17,Condition!$D$17,IF(IM7&lt;=Condition!$F$18,Condition!$D$18,IF(IM7&gt;Condition!$E$19,Condition!$D$19,"")))))</f>
        <v>0</v>
      </c>
      <c r="IN50" s="85">
        <f>IF(IN7&lt;=Condition!$E$16,0,IF(IN7&lt;=Condition!$F$16,Condition!$D$16,IF(IN7&lt;=Condition!$F$17,Condition!$D$17,IF(IN7&lt;=Condition!$F$18,Condition!$D$18,IF(IN7&gt;Condition!$E$19,Condition!$D$19,"")))))</f>
        <v>0</v>
      </c>
      <c r="IO50" s="85">
        <f>IF(IO7&lt;=Condition!$E$16,0,IF(IO7&lt;=Condition!$F$16,Condition!$D$16,IF(IO7&lt;=Condition!$F$17,Condition!$D$17,IF(IO7&lt;=Condition!$F$18,Condition!$D$18,IF(IO7&gt;Condition!$E$19,Condition!$D$19,"")))))</f>
        <v>0</v>
      </c>
      <c r="IP50" s="85">
        <f>IF(IP7&lt;=Condition!$E$16,0,IF(IP7&lt;=Condition!$F$16,Condition!$D$16,IF(IP7&lt;=Condition!$F$17,Condition!$D$17,IF(IP7&lt;=Condition!$F$18,Condition!$D$18,IF(IP7&gt;Condition!$E$19,Condition!$D$19,"")))))</f>
        <v>0</v>
      </c>
      <c r="IQ50" s="85">
        <f>IF(IQ7&lt;=Condition!$E$16,0,IF(IQ7&lt;=Condition!$F$16,Condition!$D$16,IF(IQ7&lt;=Condition!$F$17,Condition!$D$17,IF(IQ7&lt;=Condition!$F$18,Condition!$D$18,IF(IQ7&gt;Condition!$E$19,Condition!$D$19,"")))))</f>
        <v>0</v>
      </c>
      <c r="IR50" s="85">
        <f>IF(IR7&lt;=Condition!$E$16,0,IF(IR7&lt;=Condition!$F$16,Condition!$D$16,IF(IR7&lt;=Condition!$F$17,Condition!$D$17,IF(IR7&lt;=Condition!$F$18,Condition!$D$18,IF(IR7&gt;Condition!$E$19,Condition!$D$19,"")))))</f>
        <v>0</v>
      </c>
      <c r="IS50" s="85">
        <f>IF(IS7&lt;=Condition!$E$16,0,IF(IS7&lt;=Condition!$F$16,Condition!$D$16,IF(IS7&lt;=Condition!$F$17,Condition!$D$17,IF(IS7&lt;=Condition!$F$18,Condition!$D$18,IF(IS7&gt;Condition!$E$19,Condition!$D$19,"")))))</f>
        <v>0</v>
      </c>
      <c r="IT50" s="85">
        <f>IF(IT7&lt;=Condition!$E$16,0,IF(IT7&lt;=Condition!$F$16,Condition!$D$16,IF(IT7&lt;=Condition!$F$17,Condition!$D$17,IF(IT7&lt;=Condition!$F$18,Condition!$D$18,IF(IT7&gt;Condition!$E$19,Condition!$D$19,"")))))</f>
        <v>0</v>
      </c>
      <c r="IU50" s="85">
        <f>IF(IU7&lt;=Condition!$E$16,0,IF(IU7&lt;=Condition!$F$16,Condition!$D$16,IF(IU7&lt;=Condition!$F$17,Condition!$D$17,IF(IU7&lt;=Condition!$F$18,Condition!$D$18,IF(IU7&gt;Condition!$E$19,Condition!$D$19,"")))))</f>
        <v>0</v>
      </c>
      <c r="IV50" s="85">
        <f>IF(IV7&lt;=Condition!$E$16,0,IF(IV7&lt;=Condition!$F$16,Condition!$D$16,IF(IV7&lt;=Condition!$F$17,Condition!$D$17,IF(IV7&lt;=Condition!$F$18,Condition!$D$18,IF(IV7&gt;Condition!$E$19,Condition!$D$19,"")))))</f>
        <v>0</v>
      </c>
      <c r="IW50" s="85">
        <f>IF(IW7&lt;=Condition!$E$16,0,IF(IW7&lt;=Condition!$F$16,Condition!$D$16,IF(IW7&lt;=Condition!$F$17,Condition!$D$17,IF(IW7&lt;=Condition!$F$18,Condition!$D$18,IF(IW7&gt;Condition!$E$19,Condition!$D$19,"")))))</f>
        <v>0</v>
      </c>
      <c r="IX50" s="85">
        <f>IF(IX7&lt;=Condition!$E$16,0,IF(IX7&lt;=Condition!$F$16,Condition!$D$16,IF(IX7&lt;=Condition!$F$17,Condition!$D$17,IF(IX7&lt;=Condition!$F$18,Condition!$D$18,IF(IX7&gt;Condition!$E$19,Condition!$D$19,"")))))</f>
        <v>0</v>
      </c>
      <c r="IY50" s="85">
        <f>IF(IY7&lt;=Condition!$E$16,0,IF(IY7&lt;=Condition!$F$16,Condition!$D$16,IF(IY7&lt;=Condition!$F$17,Condition!$D$17,IF(IY7&lt;=Condition!$F$18,Condition!$D$18,IF(IY7&gt;Condition!$E$19,Condition!$D$19,"")))))</f>
        <v>0</v>
      </c>
      <c r="IZ50" s="85">
        <f>IF(IZ7&lt;=Condition!$E$16,0,IF(IZ7&lt;=Condition!$F$16,Condition!$D$16,IF(IZ7&lt;=Condition!$F$17,Condition!$D$17,IF(IZ7&lt;=Condition!$F$18,Condition!$D$18,IF(IZ7&gt;Condition!$E$19,Condition!$D$19,"")))))</f>
        <v>0</v>
      </c>
      <c r="JA50" s="85">
        <f>IF(JA7&lt;=Condition!$E$16,0,IF(JA7&lt;=Condition!$F$16,Condition!$D$16,IF(JA7&lt;=Condition!$F$17,Condition!$D$17,IF(JA7&lt;=Condition!$F$18,Condition!$D$18,IF(JA7&gt;Condition!$E$19,Condition!$D$19,"")))))</f>
        <v>0</v>
      </c>
      <c r="JB50" s="85">
        <f>IF(JB7&lt;=Condition!$E$16,0,IF(JB7&lt;=Condition!$F$16,Condition!$D$16,IF(JB7&lt;=Condition!$F$17,Condition!$D$17,IF(JB7&lt;=Condition!$F$18,Condition!$D$18,IF(JB7&gt;Condition!$E$19,Condition!$D$19,"")))))</f>
        <v>0</v>
      </c>
      <c r="JC50" s="85">
        <f>IF(JC7&lt;=Condition!$E$16,0,IF(JC7&lt;=Condition!$F$16,Condition!$D$16,IF(JC7&lt;=Condition!$F$17,Condition!$D$17,IF(JC7&lt;=Condition!$F$18,Condition!$D$18,IF(JC7&gt;Condition!$E$19,Condition!$D$19,"")))))</f>
        <v>0</v>
      </c>
      <c r="JD50" s="85">
        <f>IF(JD7&lt;=Condition!$E$16,0,IF(JD7&lt;=Condition!$F$16,Condition!$D$16,IF(JD7&lt;=Condition!$F$17,Condition!$D$17,IF(JD7&lt;=Condition!$F$18,Condition!$D$18,IF(JD7&gt;Condition!$E$19,Condition!$D$19,"")))))</f>
        <v>0</v>
      </c>
      <c r="JE50" s="85">
        <f>IF(JE7&lt;=Condition!$E$16,0,IF(JE7&lt;=Condition!$F$16,Condition!$D$16,IF(JE7&lt;=Condition!$F$17,Condition!$D$17,IF(JE7&lt;=Condition!$F$18,Condition!$D$18,IF(JE7&gt;Condition!$E$19,Condition!$D$19,"")))))</f>
        <v>0</v>
      </c>
      <c r="JF50" s="85">
        <f>IF(JF7&lt;=Condition!$E$16,0,IF(JF7&lt;=Condition!$F$16,Condition!$D$16,IF(JF7&lt;=Condition!$F$17,Condition!$D$17,IF(JF7&lt;=Condition!$F$18,Condition!$D$18,IF(JF7&gt;Condition!$E$19,Condition!$D$19,"")))))</f>
        <v>0</v>
      </c>
      <c r="JG50" s="85">
        <f>IF(JG7&lt;=Condition!$E$16,0,IF(JG7&lt;=Condition!$F$16,Condition!$D$16,IF(JG7&lt;=Condition!$F$17,Condition!$D$17,IF(JG7&lt;=Condition!$F$18,Condition!$D$18,IF(JG7&gt;Condition!$E$19,Condition!$D$19,"")))))</f>
        <v>0</v>
      </c>
      <c r="JH50" s="85">
        <f>IF(JH7&lt;=Condition!$E$16,0,IF(JH7&lt;=Condition!$F$16,Condition!$D$16,IF(JH7&lt;=Condition!$F$17,Condition!$D$17,IF(JH7&lt;=Condition!$F$18,Condition!$D$18,IF(JH7&gt;Condition!$E$19,Condition!$D$19,"")))))</f>
        <v>0</v>
      </c>
      <c r="JI50" s="85">
        <f>IF(JI7&lt;=Condition!$E$16,0,IF(JI7&lt;=Condition!$F$16,Condition!$D$16,IF(JI7&lt;=Condition!$F$17,Condition!$D$17,IF(JI7&lt;=Condition!$F$18,Condition!$D$18,IF(JI7&gt;Condition!$E$19,Condition!$D$19,"")))))</f>
        <v>0</v>
      </c>
      <c r="JJ50" s="85">
        <f>IF(JJ7&lt;=Condition!$E$16,0,IF(JJ7&lt;=Condition!$F$16,Condition!$D$16,IF(JJ7&lt;=Condition!$F$17,Condition!$D$17,IF(JJ7&lt;=Condition!$F$18,Condition!$D$18,IF(JJ7&gt;Condition!$E$19,Condition!$D$19,"")))))</f>
        <v>0</v>
      </c>
      <c r="JK50" s="85">
        <f>IF(JK7&lt;=Condition!$E$16,0,IF(JK7&lt;=Condition!$F$16,Condition!$D$16,IF(JK7&lt;=Condition!$F$17,Condition!$D$17,IF(JK7&lt;=Condition!$F$18,Condition!$D$18,IF(JK7&gt;Condition!$E$19,Condition!$D$19,"")))))</f>
        <v>0</v>
      </c>
      <c r="JL50" s="85">
        <f>IF(JL7&lt;=Condition!$E$16,0,IF(JL7&lt;=Condition!$F$16,Condition!$D$16,IF(JL7&lt;=Condition!$F$17,Condition!$D$17,IF(JL7&lt;=Condition!$F$18,Condition!$D$18,IF(JL7&gt;Condition!$E$19,Condition!$D$19,"")))))</f>
        <v>0</v>
      </c>
      <c r="JM50" s="85">
        <f>IF(JM7&lt;=Condition!$E$16,0,IF(JM7&lt;=Condition!$F$16,Condition!$D$16,IF(JM7&lt;=Condition!$F$17,Condition!$D$17,IF(JM7&lt;=Condition!$F$18,Condition!$D$18,IF(JM7&gt;Condition!$E$19,Condition!$D$19,"")))))</f>
        <v>0</v>
      </c>
      <c r="JN50" s="85">
        <f>IF(JN7&lt;=Condition!$E$16,0,IF(JN7&lt;=Condition!$F$16,Condition!$D$16,IF(JN7&lt;=Condition!$F$17,Condition!$D$17,IF(JN7&lt;=Condition!$F$18,Condition!$D$18,IF(JN7&gt;Condition!$E$19,Condition!$D$19,"")))))</f>
        <v>0</v>
      </c>
      <c r="JO50" s="85">
        <f>IF(JO7&lt;=Condition!$E$16,0,IF(JO7&lt;=Condition!$F$16,Condition!$D$16,IF(JO7&lt;=Condition!$F$17,Condition!$D$17,IF(JO7&lt;=Condition!$F$18,Condition!$D$18,IF(JO7&gt;Condition!$E$19,Condition!$D$19,"")))))</f>
        <v>0</v>
      </c>
      <c r="JP50" s="85">
        <f>IF(JP7&lt;=Condition!$E$16,0,IF(JP7&lt;=Condition!$F$16,Condition!$D$16,IF(JP7&lt;=Condition!$F$17,Condition!$D$17,IF(JP7&lt;=Condition!$F$18,Condition!$D$18,IF(JP7&gt;Condition!$E$19,Condition!$D$19,"")))))</f>
        <v>0</v>
      </c>
      <c r="JQ50" s="85">
        <f>IF(JQ7&lt;=Condition!$E$16,0,IF(JQ7&lt;=Condition!$F$16,Condition!$D$16,IF(JQ7&lt;=Condition!$F$17,Condition!$D$17,IF(JQ7&lt;=Condition!$F$18,Condition!$D$18,IF(JQ7&gt;Condition!$E$19,Condition!$D$19,"")))))</f>
        <v>0</v>
      </c>
      <c r="JR50" s="85">
        <f>IF(JR7&lt;=Condition!$E$16,0,IF(JR7&lt;=Condition!$F$16,Condition!$D$16,IF(JR7&lt;=Condition!$F$17,Condition!$D$17,IF(JR7&lt;=Condition!$F$18,Condition!$D$18,IF(JR7&gt;Condition!$E$19,Condition!$D$19,"")))))</f>
        <v>0</v>
      </c>
      <c r="JS50" s="85">
        <f>IF(JS7&lt;=Condition!$E$16,0,IF(JS7&lt;=Condition!$F$16,Condition!$D$16,IF(JS7&lt;=Condition!$F$17,Condition!$D$17,IF(JS7&lt;=Condition!$F$18,Condition!$D$18,IF(JS7&gt;Condition!$E$19,Condition!$D$19,"")))))</f>
        <v>0</v>
      </c>
      <c r="JT50" s="85">
        <f>IF(JT7&lt;=Condition!$E$16,0,IF(JT7&lt;=Condition!$F$16,Condition!$D$16,IF(JT7&lt;=Condition!$F$17,Condition!$D$17,IF(JT7&lt;=Condition!$F$18,Condition!$D$18,IF(JT7&gt;Condition!$E$19,Condition!$D$19,"")))))</f>
        <v>0</v>
      </c>
      <c r="JU50" s="85">
        <f>IF(JU7&lt;=Condition!$E$16,0,IF(JU7&lt;=Condition!$F$16,Condition!$D$16,IF(JU7&lt;=Condition!$F$17,Condition!$D$17,IF(JU7&lt;=Condition!$F$18,Condition!$D$18,IF(JU7&gt;Condition!$E$19,Condition!$D$19,"")))))</f>
        <v>0</v>
      </c>
      <c r="JV50" s="85">
        <f>IF(JV7&lt;=Condition!$E$16,0,IF(JV7&lt;=Condition!$F$16,Condition!$D$16,IF(JV7&lt;=Condition!$F$17,Condition!$D$17,IF(JV7&lt;=Condition!$F$18,Condition!$D$18,IF(JV7&gt;Condition!$E$19,Condition!$D$19,"")))))</f>
        <v>0</v>
      </c>
      <c r="JW50" s="85">
        <f>IF(JW7&lt;=Condition!$E$16,0,IF(JW7&lt;=Condition!$F$16,Condition!$D$16,IF(JW7&lt;=Condition!$F$17,Condition!$D$17,IF(JW7&lt;=Condition!$F$18,Condition!$D$18,IF(JW7&gt;Condition!$E$19,Condition!$D$19,"")))))</f>
        <v>0</v>
      </c>
      <c r="JX50" s="85">
        <f>IF(JX7&lt;=Condition!$E$16,0,IF(JX7&lt;=Condition!$F$16,Condition!$D$16,IF(JX7&lt;=Condition!$F$17,Condition!$D$17,IF(JX7&lt;=Condition!$F$18,Condition!$D$18,IF(JX7&gt;Condition!$E$19,Condition!$D$19,"")))))</f>
        <v>0</v>
      </c>
      <c r="JY50" s="85">
        <f>IF(JY7&lt;=Condition!$E$16,0,IF(JY7&lt;=Condition!$F$16,Condition!$D$16,IF(JY7&lt;=Condition!$F$17,Condition!$D$17,IF(JY7&lt;=Condition!$F$18,Condition!$D$18,IF(JY7&gt;Condition!$E$19,Condition!$D$19,"")))))</f>
        <v>0</v>
      </c>
      <c r="JZ50" s="85">
        <f>IF(JZ7&lt;=Condition!$E$16,0,IF(JZ7&lt;=Condition!$F$16,Condition!$D$16,IF(JZ7&lt;=Condition!$F$17,Condition!$D$17,IF(JZ7&lt;=Condition!$F$18,Condition!$D$18,IF(JZ7&gt;Condition!$E$19,Condition!$D$19,"")))))</f>
        <v>0</v>
      </c>
      <c r="KA50" s="85">
        <f>IF(KA7&lt;=Condition!$E$16,0,IF(KA7&lt;=Condition!$F$16,Condition!$D$16,IF(KA7&lt;=Condition!$F$17,Condition!$D$17,IF(KA7&lt;=Condition!$F$18,Condition!$D$18,IF(KA7&gt;Condition!$E$19,Condition!$D$19,"")))))</f>
        <v>0</v>
      </c>
      <c r="KB50" s="85">
        <f>IF(KB7&lt;=Condition!$E$16,0,IF(KB7&lt;=Condition!$F$16,Condition!$D$16,IF(KB7&lt;=Condition!$F$17,Condition!$D$17,IF(KB7&lt;=Condition!$F$18,Condition!$D$18,IF(KB7&gt;Condition!$E$19,Condition!$D$19,"")))))</f>
        <v>0</v>
      </c>
      <c r="KC50" s="85">
        <f>IF(KC7&lt;=Condition!$E$16,0,IF(KC7&lt;=Condition!$F$16,Condition!$D$16,IF(KC7&lt;=Condition!$F$17,Condition!$D$17,IF(KC7&lt;=Condition!$F$18,Condition!$D$18,IF(KC7&gt;Condition!$E$19,Condition!$D$19,"")))))</f>
        <v>0</v>
      </c>
      <c r="KD50" s="85">
        <f>IF(KD7&lt;=Condition!$E$16,0,IF(KD7&lt;=Condition!$F$16,Condition!$D$16,IF(KD7&lt;=Condition!$F$17,Condition!$D$17,IF(KD7&lt;=Condition!$F$18,Condition!$D$18,IF(KD7&gt;Condition!$E$19,Condition!$D$19,"")))))</f>
        <v>0</v>
      </c>
      <c r="KE50" s="85">
        <f>IF(KE7&lt;=Condition!$E$16,0,IF(KE7&lt;=Condition!$F$16,Condition!$D$16,IF(KE7&lt;=Condition!$F$17,Condition!$D$17,IF(KE7&lt;=Condition!$F$18,Condition!$D$18,IF(KE7&gt;Condition!$E$19,Condition!$D$19,"")))))</f>
        <v>0</v>
      </c>
      <c r="KF50" s="85">
        <f>IF(KF7&lt;=Condition!$E$16,0,IF(KF7&lt;=Condition!$F$16,Condition!$D$16,IF(KF7&lt;=Condition!$F$17,Condition!$D$17,IF(KF7&lt;=Condition!$F$18,Condition!$D$18,IF(KF7&gt;Condition!$E$19,Condition!$D$19,"")))))</f>
        <v>0</v>
      </c>
      <c r="KG50" s="85">
        <f>IF(KG7&lt;=Condition!$E$16,0,IF(KG7&lt;=Condition!$F$16,Condition!$D$16,IF(KG7&lt;=Condition!$F$17,Condition!$D$17,IF(KG7&lt;=Condition!$F$18,Condition!$D$18,IF(KG7&gt;Condition!$E$19,Condition!$D$19,"")))))</f>
        <v>0</v>
      </c>
      <c r="KH50" s="85">
        <f>IF(KH7&lt;=Condition!$E$16,0,IF(KH7&lt;=Condition!$F$16,Condition!$D$16,IF(KH7&lt;=Condition!$F$17,Condition!$D$17,IF(KH7&lt;=Condition!$F$18,Condition!$D$18,IF(KH7&gt;Condition!$E$19,Condition!$D$19,"")))))</f>
        <v>0</v>
      </c>
      <c r="KI50" s="85">
        <f>IF(KI7&lt;=Condition!$E$16,0,IF(KI7&lt;=Condition!$F$16,Condition!$D$16,IF(KI7&lt;=Condition!$F$17,Condition!$D$17,IF(KI7&lt;=Condition!$F$18,Condition!$D$18,IF(KI7&gt;Condition!$E$19,Condition!$D$19,"")))))</f>
        <v>0</v>
      </c>
    </row>
    <row r="51" spans="2:295" x14ac:dyDescent="0.25">
      <c r="B51" s="15">
        <f t="shared" ref="B51:E51" si="6">B8</f>
        <v>3</v>
      </c>
      <c r="C51" s="25" t="str">
        <f t="shared" si="6"/>
        <v>DSL-DHK</v>
      </c>
      <c r="D51" s="25" t="str">
        <f t="shared" si="6"/>
        <v>Md. Minhazul Islam</v>
      </c>
      <c r="E51" s="26">
        <f t="shared" si="6"/>
        <v>2330</v>
      </c>
      <c r="F51" s="112">
        <f t="shared" si="4"/>
        <v>0</v>
      </c>
      <c r="G51" s="112">
        <f t="shared" si="5"/>
        <v>0</v>
      </c>
      <c r="H51" s="85">
        <f>IF(H8&lt;=Condition!$E$16,0,IF(H8&lt;=Condition!$F$16,Condition!$D$16,IF(H8&lt;=Condition!$F$17,Condition!$D$17,IF(H8&lt;=Condition!$F$18,Condition!$D$18,IF(H8&gt;Condition!$E$19,Condition!$D$19,"")))))</f>
        <v>0</v>
      </c>
      <c r="I51" s="85">
        <f>IF(I8&lt;=Condition!$E$16,0,IF(I8&lt;=Condition!$F$16,Condition!$D$16,IF(I8&lt;=Condition!$F$17,Condition!$D$17,IF(I8&lt;=Condition!$F$18,Condition!$D$18,IF(I8&gt;Condition!$E$19,Condition!$D$19,"")))))</f>
        <v>0</v>
      </c>
      <c r="J51" s="85">
        <f>IF(J8&lt;=Condition!$E$16,0,IF(J8&lt;=Condition!$F$16,Condition!$D$16,IF(J8&lt;=Condition!$F$17,Condition!$D$17,IF(J8&lt;=Condition!$F$18,Condition!$D$18,IF(J8&gt;Condition!$E$19,Condition!$D$19,"")))))</f>
        <v>0</v>
      </c>
      <c r="K51" s="85">
        <f>IF(K8&lt;=Condition!$E$16,0,IF(K8&lt;=Condition!$F$16,Condition!$D$16,IF(K8&lt;=Condition!$F$17,Condition!$D$17,IF(K8&lt;=Condition!$F$18,Condition!$D$18,IF(K8&gt;Condition!$E$19,Condition!$D$19,"")))))</f>
        <v>0</v>
      </c>
      <c r="L51" s="85">
        <f>IF(L8&lt;=Condition!$E$16,0,IF(L8&lt;=Condition!$F$16,Condition!$D$16,IF(L8&lt;=Condition!$F$17,Condition!$D$17,IF(L8&lt;=Condition!$F$18,Condition!$D$18,IF(L8&gt;Condition!$E$19,Condition!$D$19,"")))))</f>
        <v>0</v>
      </c>
      <c r="M51" s="85">
        <f>IF(M8&lt;=Condition!$E$16,0,IF(M8&lt;=Condition!$F$16,Condition!$D$16,IF(M8&lt;=Condition!$F$17,Condition!$D$17,IF(M8&lt;=Condition!$F$18,Condition!$D$18,IF(M8&gt;Condition!$E$19,Condition!$D$19,"")))))</f>
        <v>0</v>
      </c>
      <c r="N51" s="85">
        <f>IF(N8&lt;=Condition!$E$16,0,IF(N8&lt;=Condition!$F$16,Condition!$D$16,IF(N8&lt;=Condition!$F$17,Condition!$D$17,IF(N8&lt;=Condition!$F$18,Condition!$D$18,IF(N8&gt;Condition!$E$19,Condition!$D$19,"")))))</f>
        <v>0</v>
      </c>
      <c r="O51" s="85">
        <f>IF(O8&lt;=Condition!$E$16,0,IF(O8&lt;=Condition!$F$16,Condition!$D$16,IF(O8&lt;=Condition!$F$17,Condition!$D$17,IF(O8&lt;=Condition!$F$18,Condition!$D$18,IF(O8&gt;Condition!$E$19,Condition!$D$19,"")))))</f>
        <v>0</v>
      </c>
      <c r="P51" s="85">
        <f>IF(P8&lt;=Condition!$E$16,0,IF(P8&lt;=Condition!$F$16,Condition!$D$16,IF(P8&lt;=Condition!$F$17,Condition!$D$17,IF(P8&lt;=Condition!$F$18,Condition!$D$18,IF(P8&gt;Condition!$E$19,Condition!$D$19,"")))))</f>
        <v>0</v>
      </c>
      <c r="Q51" s="85">
        <f>IF(Q8&lt;=Condition!$E$16,0,IF(Q8&lt;=Condition!$F$16,Condition!$D$16,IF(Q8&lt;=Condition!$F$17,Condition!$D$17,IF(Q8&lt;=Condition!$F$18,Condition!$D$18,IF(Q8&gt;Condition!$E$19,Condition!$D$19,"")))))</f>
        <v>0</v>
      </c>
      <c r="R51" s="85">
        <f>IF(R8&lt;=Condition!$E$16,0,IF(R8&lt;=Condition!$F$16,Condition!$D$16,IF(R8&lt;=Condition!$F$17,Condition!$D$17,IF(R8&lt;=Condition!$F$18,Condition!$D$18,IF(R8&gt;Condition!$E$19,Condition!$D$19,"")))))</f>
        <v>0</v>
      </c>
      <c r="S51" s="85">
        <f>IF(S8&lt;=Condition!$E$16,0,IF(S8&lt;=Condition!$F$16,Condition!$D$16,IF(S8&lt;=Condition!$F$17,Condition!$D$17,IF(S8&lt;=Condition!$F$18,Condition!$D$18,IF(S8&gt;Condition!$E$19,Condition!$D$19,"")))))</f>
        <v>0</v>
      </c>
      <c r="T51" s="85">
        <f>IF(T8&lt;=Condition!$E$16,0,IF(T8&lt;=Condition!$F$16,Condition!$D$16,IF(T8&lt;=Condition!$F$17,Condition!$D$17,IF(T8&lt;=Condition!$F$18,Condition!$D$18,IF(T8&gt;Condition!$E$19,Condition!$D$19,"")))))</f>
        <v>0</v>
      </c>
      <c r="U51" s="85">
        <f>IF(U8&lt;=Condition!$E$16,0,IF(U8&lt;=Condition!$F$16,Condition!$D$16,IF(U8&lt;=Condition!$F$17,Condition!$D$17,IF(U8&lt;=Condition!$F$18,Condition!$D$18,IF(U8&gt;Condition!$E$19,Condition!$D$19,"")))))</f>
        <v>0</v>
      </c>
      <c r="V51" s="85">
        <f>IF(V8&lt;=Condition!$E$16,0,IF(V8&lt;=Condition!$F$16,Condition!$D$16,IF(V8&lt;=Condition!$F$17,Condition!$D$17,IF(V8&lt;=Condition!$F$18,Condition!$D$18,IF(V8&gt;Condition!$E$19,Condition!$D$19,"")))))</f>
        <v>0</v>
      </c>
      <c r="W51" s="85">
        <f>IF(W8&lt;=Condition!$E$16,0,IF(W8&lt;=Condition!$F$16,Condition!$D$16,IF(W8&lt;=Condition!$F$17,Condition!$D$17,IF(W8&lt;=Condition!$F$18,Condition!$D$18,IF(W8&gt;Condition!$E$19,Condition!$D$19,"")))))</f>
        <v>0</v>
      </c>
      <c r="X51" s="85">
        <f>IF(X8&lt;=Condition!$E$16,0,IF(X8&lt;=Condition!$F$16,Condition!$D$16,IF(X8&lt;=Condition!$F$17,Condition!$D$17,IF(X8&lt;=Condition!$F$18,Condition!$D$18,IF(X8&gt;Condition!$E$19,Condition!$D$19,"")))))</f>
        <v>0</v>
      </c>
      <c r="Y51" s="85">
        <f>IF(Y8&lt;=Condition!$E$16,0,IF(Y8&lt;=Condition!$F$16,Condition!$D$16,IF(Y8&lt;=Condition!$F$17,Condition!$D$17,IF(Y8&lt;=Condition!$F$18,Condition!$D$18,IF(Y8&gt;Condition!$E$19,Condition!$D$19,"")))))</f>
        <v>0</v>
      </c>
      <c r="Z51" s="85">
        <f>IF(Z8&lt;=Condition!$E$16,0,IF(Z8&lt;=Condition!$F$16,Condition!$D$16,IF(Z8&lt;=Condition!$F$17,Condition!$D$17,IF(Z8&lt;=Condition!$F$18,Condition!$D$18,IF(Z8&gt;Condition!$E$19,Condition!$D$19,"")))))</f>
        <v>0</v>
      </c>
      <c r="AA51" s="85">
        <f>IF(AA8&lt;=Condition!$E$16,0,IF(AA8&lt;=Condition!$F$16,Condition!$D$16,IF(AA8&lt;=Condition!$F$17,Condition!$D$17,IF(AA8&lt;=Condition!$F$18,Condition!$D$18,IF(AA8&gt;Condition!$E$19,Condition!$D$19,"")))))</f>
        <v>0</v>
      </c>
      <c r="AB51" s="85">
        <f>IF(AB8&lt;=Condition!$E$16,0,IF(AB8&lt;=Condition!$F$16,Condition!$D$16,IF(AB8&lt;=Condition!$F$17,Condition!$D$17,IF(AB8&lt;=Condition!$F$18,Condition!$D$18,IF(AB8&gt;Condition!$E$19,Condition!$D$19,"")))))</f>
        <v>0</v>
      </c>
      <c r="AC51" s="85">
        <f>IF(AC8&lt;=Condition!$E$16,0,IF(AC8&lt;=Condition!$F$16,Condition!$D$16,IF(AC8&lt;=Condition!$F$17,Condition!$D$17,IF(AC8&lt;=Condition!$F$18,Condition!$D$18,IF(AC8&gt;Condition!$E$19,Condition!$D$19,"")))))</f>
        <v>0</v>
      </c>
      <c r="AD51" s="85">
        <f>IF(AD8&lt;=Condition!$E$16,0,IF(AD8&lt;=Condition!$F$16,Condition!$D$16,IF(AD8&lt;=Condition!$F$17,Condition!$D$17,IF(AD8&lt;=Condition!$F$18,Condition!$D$18,IF(AD8&gt;Condition!$E$19,Condition!$D$19,"")))))</f>
        <v>0</v>
      </c>
      <c r="AE51" s="85">
        <f>IF(AE8&lt;=Condition!$E$16,0,IF(AE8&lt;=Condition!$F$16,Condition!$D$16,IF(AE8&lt;=Condition!$F$17,Condition!$D$17,IF(AE8&lt;=Condition!$F$18,Condition!$D$18,IF(AE8&gt;Condition!$E$19,Condition!$D$19,"")))))</f>
        <v>0</v>
      </c>
      <c r="AF51" s="85">
        <f>IF(AF8&lt;=Condition!$E$16,0,IF(AF8&lt;=Condition!$F$16,Condition!$D$16,IF(AF8&lt;=Condition!$F$17,Condition!$D$17,IF(AF8&lt;=Condition!$F$18,Condition!$D$18,IF(AF8&gt;Condition!$E$19,Condition!$D$19,"")))))</f>
        <v>0</v>
      </c>
      <c r="AG51" s="85">
        <f>IF(AG8&lt;=Condition!$E$16,0,IF(AG8&lt;=Condition!$F$16,Condition!$D$16,IF(AG8&lt;=Condition!$F$17,Condition!$D$17,IF(AG8&lt;=Condition!$F$18,Condition!$D$18,IF(AG8&gt;Condition!$E$19,Condition!$D$19,"")))))</f>
        <v>0</v>
      </c>
      <c r="AH51" s="85">
        <f>IF(AH8&lt;=Condition!$E$16,0,IF(AH8&lt;=Condition!$F$16,Condition!$D$16,IF(AH8&lt;=Condition!$F$17,Condition!$D$17,IF(AH8&lt;=Condition!$F$18,Condition!$D$18,IF(AH8&gt;Condition!$E$19,Condition!$D$19,"")))))</f>
        <v>0</v>
      </c>
      <c r="AI51" s="85">
        <f>IF(AI8&lt;=Condition!$E$16,0,IF(AI8&lt;=Condition!$F$16,Condition!$D$16,IF(AI8&lt;=Condition!$F$17,Condition!$D$17,IF(AI8&lt;=Condition!$F$18,Condition!$D$18,IF(AI8&gt;Condition!$E$19,Condition!$D$19,"")))))</f>
        <v>0</v>
      </c>
      <c r="AJ51" s="85">
        <f>IF(AJ8&lt;=Condition!$E$16,0,IF(AJ8&lt;=Condition!$F$16,Condition!$D$16,IF(AJ8&lt;=Condition!$F$17,Condition!$D$17,IF(AJ8&lt;=Condition!$F$18,Condition!$D$18,IF(AJ8&gt;Condition!$E$19,Condition!$D$19,"")))))</f>
        <v>0</v>
      </c>
      <c r="AK51" s="85">
        <f>IF(AK8&lt;=Condition!$E$16,0,IF(AK8&lt;=Condition!$F$16,Condition!$D$16,IF(AK8&lt;=Condition!$F$17,Condition!$D$17,IF(AK8&lt;=Condition!$F$18,Condition!$D$18,IF(AK8&gt;Condition!$E$19,Condition!$D$19,"")))))</f>
        <v>0</v>
      </c>
      <c r="AL51" s="85">
        <f>IF(AL8&lt;=Condition!$E$16,0,IF(AL8&lt;=Condition!$F$16,Condition!$D$16,IF(AL8&lt;=Condition!$F$17,Condition!$D$17,IF(AL8&lt;=Condition!$F$18,Condition!$D$18,IF(AL8&gt;Condition!$E$19,Condition!$D$19,"")))))</f>
        <v>0</v>
      </c>
      <c r="AM51" s="85">
        <f>IF(AM8&lt;=Condition!$E$16,0,IF(AM8&lt;=Condition!$F$16,Condition!$D$16,IF(AM8&lt;=Condition!$F$17,Condition!$D$17,IF(AM8&lt;=Condition!$F$18,Condition!$D$18,IF(AM8&gt;Condition!$E$19,Condition!$D$19,"")))))</f>
        <v>0</v>
      </c>
      <c r="AN51" s="85">
        <f>IF(AN8&lt;=Condition!$E$16,0,IF(AN8&lt;=Condition!$F$16,Condition!$D$16,IF(AN8&lt;=Condition!$F$17,Condition!$D$17,IF(AN8&lt;=Condition!$F$18,Condition!$D$18,IF(AN8&gt;Condition!$E$19,Condition!$D$19,"")))))</f>
        <v>0</v>
      </c>
      <c r="AO51" s="85">
        <f>IF(AO8&lt;=Condition!$E$16,0,IF(AO8&lt;=Condition!$F$16,Condition!$D$16,IF(AO8&lt;=Condition!$F$17,Condition!$D$17,IF(AO8&lt;=Condition!$F$18,Condition!$D$18,IF(AO8&gt;Condition!$E$19,Condition!$D$19,"")))))</f>
        <v>0</v>
      </c>
      <c r="AP51" s="85">
        <f>IF(AP8&lt;=Condition!$E$16,0,IF(AP8&lt;=Condition!$F$16,Condition!$D$16,IF(AP8&lt;=Condition!$F$17,Condition!$D$17,IF(AP8&lt;=Condition!$F$18,Condition!$D$18,IF(AP8&gt;Condition!$E$19,Condition!$D$19,"")))))</f>
        <v>0</v>
      </c>
      <c r="AQ51" s="85">
        <f>IF(AQ8&lt;=Condition!$E$16,0,IF(AQ8&lt;=Condition!$F$16,Condition!$D$16,IF(AQ8&lt;=Condition!$F$17,Condition!$D$17,IF(AQ8&lt;=Condition!$F$18,Condition!$D$18,IF(AQ8&gt;Condition!$E$19,Condition!$D$19,"")))))</f>
        <v>0</v>
      </c>
      <c r="AR51" s="85">
        <f>IF(AR8&lt;=Condition!$E$16,0,IF(AR8&lt;=Condition!$F$16,Condition!$D$16,IF(AR8&lt;=Condition!$F$17,Condition!$D$17,IF(AR8&lt;=Condition!$F$18,Condition!$D$18,IF(AR8&gt;Condition!$E$19,Condition!$D$19,"")))))</f>
        <v>0</v>
      </c>
      <c r="AS51" s="85">
        <f>IF(AS8&lt;=Condition!$E$16,0,IF(AS8&lt;=Condition!$F$16,Condition!$D$16,IF(AS8&lt;=Condition!$F$17,Condition!$D$17,IF(AS8&lt;=Condition!$F$18,Condition!$D$18,IF(AS8&gt;Condition!$E$19,Condition!$D$19,"")))))</f>
        <v>0</v>
      </c>
      <c r="AT51" s="85">
        <f>IF(AT8&lt;=Condition!$E$16,0,IF(AT8&lt;=Condition!$F$16,Condition!$D$16,IF(AT8&lt;=Condition!$F$17,Condition!$D$17,IF(AT8&lt;=Condition!$F$18,Condition!$D$18,IF(AT8&gt;Condition!$E$19,Condition!$D$19,"")))))</f>
        <v>0</v>
      </c>
      <c r="AU51" s="85">
        <f>IF(AU8&lt;=Condition!$E$16,0,IF(AU8&lt;=Condition!$F$16,Condition!$D$16,IF(AU8&lt;=Condition!$F$17,Condition!$D$17,IF(AU8&lt;=Condition!$F$18,Condition!$D$18,IF(AU8&gt;Condition!$E$19,Condition!$D$19,"")))))</f>
        <v>0</v>
      </c>
      <c r="AV51" s="85">
        <f>IF(AV8&lt;=Condition!$E$16,0,IF(AV8&lt;=Condition!$F$16,Condition!$D$16,IF(AV8&lt;=Condition!$F$17,Condition!$D$17,IF(AV8&lt;=Condition!$F$18,Condition!$D$18,IF(AV8&gt;Condition!$E$19,Condition!$D$19,"")))))</f>
        <v>0</v>
      </c>
      <c r="AW51" s="85">
        <f>IF(AW8&lt;=Condition!$E$16,0,IF(AW8&lt;=Condition!$F$16,Condition!$D$16,IF(AW8&lt;=Condition!$F$17,Condition!$D$17,IF(AW8&lt;=Condition!$F$18,Condition!$D$18,IF(AW8&gt;Condition!$E$19,Condition!$D$19,"")))))</f>
        <v>0</v>
      </c>
      <c r="AX51" s="85">
        <f>IF(AX8&lt;=Condition!$E$16,0,IF(AX8&lt;=Condition!$F$16,Condition!$D$16,IF(AX8&lt;=Condition!$F$17,Condition!$D$17,IF(AX8&lt;=Condition!$F$18,Condition!$D$18,IF(AX8&gt;Condition!$E$19,Condition!$D$19,"")))))</f>
        <v>0</v>
      </c>
      <c r="AY51" s="85">
        <f>IF(AY8&lt;=Condition!$E$16,0,IF(AY8&lt;=Condition!$F$16,Condition!$D$16,IF(AY8&lt;=Condition!$F$17,Condition!$D$17,IF(AY8&lt;=Condition!$F$18,Condition!$D$18,IF(AY8&gt;Condition!$E$19,Condition!$D$19,"")))))</f>
        <v>0</v>
      </c>
      <c r="AZ51" s="85">
        <f>IF(AZ8&lt;=Condition!$E$16,0,IF(AZ8&lt;=Condition!$F$16,Condition!$D$16,IF(AZ8&lt;=Condition!$F$17,Condition!$D$17,IF(AZ8&lt;=Condition!$F$18,Condition!$D$18,IF(AZ8&gt;Condition!$E$19,Condition!$D$19,"")))))</f>
        <v>0</v>
      </c>
      <c r="BA51" s="85">
        <f>IF(BA8&lt;=Condition!$E$16,0,IF(BA8&lt;=Condition!$F$16,Condition!$D$16,IF(BA8&lt;=Condition!$F$17,Condition!$D$17,IF(BA8&lt;=Condition!$F$18,Condition!$D$18,IF(BA8&gt;Condition!$E$19,Condition!$D$19,"")))))</f>
        <v>0</v>
      </c>
      <c r="BB51" s="85">
        <f>IF(BB8&lt;=Condition!$E$16,0,IF(BB8&lt;=Condition!$F$16,Condition!$D$16,IF(BB8&lt;=Condition!$F$17,Condition!$D$17,IF(BB8&lt;=Condition!$F$18,Condition!$D$18,IF(BB8&gt;Condition!$E$19,Condition!$D$19,"")))))</f>
        <v>0</v>
      </c>
      <c r="BC51" s="85">
        <f>IF(BC8&lt;=Condition!$E$16,0,IF(BC8&lt;=Condition!$F$16,Condition!$D$16,IF(BC8&lt;=Condition!$F$17,Condition!$D$17,IF(BC8&lt;=Condition!$F$18,Condition!$D$18,IF(BC8&gt;Condition!$E$19,Condition!$D$19,"")))))</f>
        <v>0</v>
      </c>
      <c r="BD51" s="85">
        <f>IF(BD8&lt;=Condition!$E$16,0,IF(BD8&lt;=Condition!$F$16,Condition!$D$16,IF(BD8&lt;=Condition!$F$17,Condition!$D$17,IF(BD8&lt;=Condition!$F$18,Condition!$D$18,IF(BD8&gt;Condition!$E$19,Condition!$D$19,"")))))</f>
        <v>0</v>
      </c>
      <c r="BE51" s="85">
        <f>IF(BE8&lt;=Condition!$E$16,0,IF(BE8&lt;=Condition!$F$16,Condition!$D$16,IF(BE8&lt;=Condition!$F$17,Condition!$D$17,IF(BE8&lt;=Condition!$F$18,Condition!$D$18,IF(BE8&gt;Condition!$E$19,Condition!$D$19,"")))))</f>
        <v>0</v>
      </c>
      <c r="BF51" s="85">
        <f>IF(BF8&lt;=Condition!$E$16,0,IF(BF8&lt;=Condition!$F$16,Condition!$D$16,IF(BF8&lt;=Condition!$F$17,Condition!$D$17,IF(BF8&lt;=Condition!$F$18,Condition!$D$18,IF(BF8&gt;Condition!$E$19,Condition!$D$19,"")))))</f>
        <v>0</v>
      </c>
      <c r="BG51" s="85">
        <f>IF(BG8&lt;=Condition!$E$16,0,IF(BG8&lt;=Condition!$F$16,Condition!$D$16,IF(BG8&lt;=Condition!$F$17,Condition!$D$17,IF(BG8&lt;=Condition!$F$18,Condition!$D$18,IF(BG8&gt;Condition!$E$19,Condition!$D$19,"")))))</f>
        <v>0</v>
      </c>
      <c r="BH51" s="85">
        <f>IF(BH8&lt;=Condition!$E$16,0,IF(BH8&lt;=Condition!$F$16,Condition!$D$16,IF(BH8&lt;=Condition!$F$17,Condition!$D$17,IF(BH8&lt;=Condition!$F$18,Condition!$D$18,IF(BH8&gt;Condition!$E$19,Condition!$D$19,"")))))</f>
        <v>0</v>
      </c>
      <c r="BI51" s="85">
        <f>IF(BI8&lt;=Condition!$E$16,0,IF(BI8&lt;=Condition!$F$16,Condition!$D$16,IF(BI8&lt;=Condition!$F$17,Condition!$D$17,IF(BI8&lt;=Condition!$F$18,Condition!$D$18,IF(BI8&gt;Condition!$E$19,Condition!$D$19,"")))))</f>
        <v>0</v>
      </c>
      <c r="BJ51" s="85">
        <f>IF(BJ8&lt;=Condition!$E$16,0,IF(BJ8&lt;=Condition!$F$16,Condition!$D$16,IF(BJ8&lt;=Condition!$F$17,Condition!$D$17,IF(BJ8&lt;=Condition!$F$18,Condition!$D$18,IF(BJ8&gt;Condition!$E$19,Condition!$D$19,"")))))</f>
        <v>0</v>
      </c>
      <c r="BK51" s="85">
        <f>IF(BK8&lt;=Condition!$E$16,0,IF(BK8&lt;=Condition!$F$16,Condition!$D$16,IF(BK8&lt;=Condition!$F$17,Condition!$D$17,IF(BK8&lt;=Condition!$F$18,Condition!$D$18,IF(BK8&gt;Condition!$E$19,Condition!$D$19,"")))))</f>
        <v>0</v>
      </c>
      <c r="BL51" s="85">
        <f>IF(BL8&lt;=Condition!$E$16,0,IF(BL8&lt;=Condition!$F$16,Condition!$D$16,IF(BL8&lt;=Condition!$F$17,Condition!$D$17,IF(BL8&lt;=Condition!$F$18,Condition!$D$18,IF(BL8&gt;Condition!$E$19,Condition!$D$19,"")))))</f>
        <v>0</v>
      </c>
      <c r="BM51" s="85">
        <f>IF(BM8&lt;=Condition!$E$16,0,IF(BM8&lt;=Condition!$F$16,Condition!$D$16,IF(BM8&lt;=Condition!$F$17,Condition!$D$17,IF(BM8&lt;=Condition!$F$18,Condition!$D$18,IF(BM8&gt;Condition!$E$19,Condition!$D$19,"")))))</f>
        <v>0</v>
      </c>
      <c r="BN51" s="85">
        <f>IF(BN8&lt;=Condition!$E$16,0,IF(BN8&lt;=Condition!$F$16,Condition!$D$16,IF(BN8&lt;=Condition!$F$17,Condition!$D$17,IF(BN8&lt;=Condition!$F$18,Condition!$D$18,IF(BN8&gt;Condition!$E$19,Condition!$D$19,"")))))</f>
        <v>0</v>
      </c>
      <c r="BO51" s="85">
        <f>IF(BO8&lt;=Condition!$E$16,0,IF(BO8&lt;=Condition!$F$16,Condition!$D$16,IF(BO8&lt;=Condition!$F$17,Condition!$D$17,IF(BO8&lt;=Condition!$F$18,Condition!$D$18,IF(BO8&gt;Condition!$E$19,Condition!$D$19,"")))))</f>
        <v>0</v>
      </c>
      <c r="BP51" s="85">
        <f>IF(BP8&lt;=Condition!$E$16,0,IF(BP8&lt;=Condition!$F$16,Condition!$D$16,IF(BP8&lt;=Condition!$F$17,Condition!$D$17,IF(BP8&lt;=Condition!$F$18,Condition!$D$18,IF(BP8&gt;Condition!$E$19,Condition!$D$19,"")))))</f>
        <v>0</v>
      </c>
      <c r="BQ51" s="85">
        <f>IF(BQ8&lt;=Condition!$E$16,0,IF(BQ8&lt;=Condition!$F$16,Condition!$D$16,IF(BQ8&lt;=Condition!$F$17,Condition!$D$17,IF(BQ8&lt;=Condition!$F$18,Condition!$D$18,IF(BQ8&gt;Condition!$E$19,Condition!$D$19,"")))))</f>
        <v>0</v>
      </c>
      <c r="BR51" s="85">
        <f>IF(BR8&lt;=Condition!$E$16,0,IF(BR8&lt;=Condition!$F$16,Condition!$D$16,IF(BR8&lt;=Condition!$F$17,Condition!$D$17,IF(BR8&lt;=Condition!$F$18,Condition!$D$18,IF(BR8&gt;Condition!$E$19,Condition!$D$19,"")))))</f>
        <v>0</v>
      </c>
      <c r="BS51" s="85">
        <f>IF(BS8&lt;=Condition!$E$16,0,IF(BS8&lt;=Condition!$F$16,Condition!$D$16,IF(BS8&lt;=Condition!$F$17,Condition!$D$17,IF(BS8&lt;=Condition!$F$18,Condition!$D$18,IF(BS8&gt;Condition!$E$19,Condition!$D$19,"")))))</f>
        <v>0</v>
      </c>
      <c r="BT51" s="85">
        <f>IF(BT8&lt;=Condition!$E$16,0,IF(BT8&lt;=Condition!$F$16,Condition!$D$16,IF(BT8&lt;=Condition!$F$17,Condition!$D$17,IF(BT8&lt;=Condition!$F$18,Condition!$D$18,IF(BT8&gt;Condition!$E$19,Condition!$D$19,"")))))</f>
        <v>0</v>
      </c>
      <c r="BU51" s="85">
        <f>IF(BU8&lt;=Condition!$E$16,0,IF(BU8&lt;=Condition!$F$16,Condition!$D$16,IF(BU8&lt;=Condition!$F$17,Condition!$D$17,IF(BU8&lt;=Condition!$F$18,Condition!$D$18,IF(BU8&gt;Condition!$E$19,Condition!$D$19,"")))))</f>
        <v>0</v>
      </c>
      <c r="BV51" s="85">
        <f>IF(BV8&lt;=Condition!$E$16,0,IF(BV8&lt;=Condition!$F$16,Condition!$D$16,IF(BV8&lt;=Condition!$F$17,Condition!$D$17,IF(BV8&lt;=Condition!$F$18,Condition!$D$18,IF(BV8&gt;Condition!$E$19,Condition!$D$19,"")))))</f>
        <v>0</v>
      </c>
      <c r="BW51" s="85">
        <f>IF(BW8&lt;=Condition!$E$16,0,IF(BW8&lt;=Condition!$F$16,Condition!$D$16,IF(BW8&lt;=Condition!$F$17,Condition!$D$17,IF(BW8&lt;=Condition!$F$18,Condition!$D$18,IF(BW8&gt;Condition!$E$19,Condition!$D$19,"")))))</f>
        <v>0</v>
      </c>
      <c r="BX51" s="85">
        <f>IF(BX8&lt;=Condition!$E$16,0,IF(BX8&lt;=Condition!$F$16,Condition!$D$16,IF(BX8&lt;=Condition!$F$17,Condition!$D$17,IF(BX8&lt;=Condition!$F$18,Condition!$D$18,IF(BX8&gt;Condition!$E$19,Condition!$D$19,"")))))</f>
        <v>0</v>
      </c>
      <c r="BY51" s="85">
        <f>IF(BY8&lt;=Condition!$E$16,0,IF(BY8&lt;=Condition!$F$16,Condition!$D$16,IF(BY8&lt;=Condition!$F$17,Condition!$D$17,IF(BY8&lt;=Condition!$F$18,Condition!$D$18,IF(BY8&gt;Condition!$E$19,Condition!$D$19,"")))))</f>
        <v>0</v>
      </c>
      <c r="BZ51" s="85">
        <f>IF(BZ8&lt;=Condition!$E$16,0,IF(BZ8&lt;=Condition!$F$16,Condition!$D$16,IF(BZ8&lt;=Condition!$F$17,Condition!$D$17,IF(BZ8&lt;=Condition!$F$18,Condition!$D$18,IF(BZ8&gt;Condition!$E$19,Condition!$D$19,"")))))</f>
        <v>0</v>
      </c>
      <c r="CA51" s="85">
        <f>IF(CA8&lt;=Condition!$E$16,0,IF(CA8&lt;=Condition!$F$16,Condition!$D$16,IF(CA8&lt;=Condition!$F$17,Condition!$D$17,IF(CA8&lt;=Condition!$F$18,Condition!$D$18,IF(CA8&gt;Condition!$E$19,Condition!$D$19,"")))))</f>
        <v>0</v>
      </c>
      <c r="CB51" s="85">
        <f>IF(CB8&lt;=Condition!$E$16,0,IF(CB8&lt;=Condition!$F$16,Condition!$D$16,IF(CB8&lt;=Condition!$F$17,Condition!$D$17,IF(CB8&lt;=Condition!$F$18,Condition!$D$18,IF(CB8&gt;Condition!$E$19,Condition!$D$19,"")))))</f>
        <v>0</v>
      </c>
      <c r="CC51" s="85">
        <f>IF(CC8&lt;=Condition!$E$16,0,IF(CC8&lt;=Condition!$F$16,Condition!$D$16,IF(CC8&lt;=Condition!$F$17,Condition!$D$17,IF(CC8&lt;=Condition!$F$18,Condition!$D$18,IF(CC8&gt;Condition!$E$19,Condition!$D$19,"")))))</f>
        <v>0</v>
      </c>
      <c r="CD51" s="85">
        <f>IF(CD8&lt;=Condition!$E$16,0,IF(CD8&lt;=Condition!$F$16,Condition!$D$16,IF(CD8&lt;=Condition!$F$17,Condition!$D$17,IF(CD8&lt;=Condition!$F$18,Condition!$D$18,IF(CD8&gt;Condition!$E$19,Condition!$D$19,"")))))</f>
        <v>0</v>
      </c>
      <c r="CE51" s="85">
        <f>IF(CE8&lt;=Condition!$E$16,0,IF(CE8&lt;=Condition!$F$16,Condition!$D$16,IF(CE8&lt;=Condition!$F$17,Condition!$D$17,IF(CE8&lt;=Condition!$F$18,Condition!$D$18,IF(CE8&gt;Condition!$E$19,Condition!$D$19,"")))))</f>
        <v>0</v>
      </c>
      <c r="CF51" s="85">
        <f>IF(CF8&lt;=Condition!$E$16,0,IF(CF8&lt;=Condition!$F$16,Condition!$D$16,IF(CF8&lt;=Condition!$F$17,Condition!$D$17,IF(CF8&lt;=Condition!$F$18,Condition!$D$18,IF(CF8&gt;Condition!$E$19,Condition!$D$19,"")))))</f>
        <v>0</v>
      </c>
      <c r="CG51" s="85">
        <f>IF(CG8&lt;=Condition!$E$16,0,IF(CG8&lt;=Condition!$F$16,Condition!$D$16,IF(CG8&lt;=Condition!$F$17,Condition!$D$17,IF(CG8&lt;=Condition!$F$18,Condition!$D$18,IF(CG8&gt;Condition!$E$19,Condition!$D$19,"")))))</f>
        <v>0</v>
      </c>
      <c r="CH51" s="85">
        <f>IF(CH8&lt;=Condition!$E$16,0,IF(CH8&lt;=Condition!$F$16,Condition!$D$16,IF(CH8&lt;=Condition!$F$17,Condition!$D$17,IF(CH8&lt;=Condition!$F$18,Condition!$D$18,IF(CH8&gt;Condition!$E$19,Condition!$D$19,"")))))</f>
        <v>0</v>
      </c>
      <c r="CI51" s="85">
        <f>IF(CI8&lt;=Condition!$E$16,0,IF(CI8&lt;=Condition!$F$16,Condition!$D$16,IF(CI8&lt;=Condition!$F$17,Condition!$D$17,IF(CI8&lt;=Condition!$F$18,Condition!$D$18,IF(CI8&gt;Condition!$E$19,Condition!$D$19,"")))))</f>
        <v>0</v>
      </c>
      <c r="CJ51" s="85">
        <f>IF(CJ8&lt;=Condition!$E$16,0,IF(CJ8&lt;=Condition!$F$16,Condition!$D$16,IF(CJ8&lt;=Condition!$F$17,Condition!$D$17,IF(CJ8&lt;=Condition!$F$18,Condition!$D$18,IF(CJ8&gt;Condition!$E$19,Condition!$D$19,"")))))</f>
        <v>0</v>
      </c>
      <c r="CK51" s="85">
        <f>IF(CK8&lt;=Condition!$E$16,0,IF(CK8&lt;=Condition!$F$16,Condition!$D$16,IF(CK8&lt;=Condition!$F$17,Condition!$D$17,IF(CK8&lt;=Condition!$F$18,Condition!$D$18,IF(CK8&gt;Condition!$E$19,Condition!$D$19,"")))))</f>
        <v>0</v>
      </c>
      <c r="CL51" s="85">
        <f>IF(CL8&lt;=Condition!$E$16,0,IF(CL8&lt;=Condition!$F$16,Condition!$D$16,IF(CL8&lt;=Condition!$F$17,Condition!$D$17,IF(CL8&lt;=Condition!$F$18,Condition!$D$18,IF(CL8&gt;Condition!$E$19,Condition!$D$19,"")))))</f>
        <v>0</v>
      </c>
      <c r="CM51" s="85">
        <f>IF(CM8&lt;=Condition!$E$16,0,IF(CM8&lt;=Condition!$F$16,Condition!$D$16,IF(CM8&lt;=Condition!$F$17,Condition!$D$17,IF(CM8&lt;=Condition!$F$18,Condition!$D$18,IF(CM8&gt;Condition!$E$19,Condition!$D$19,"")))))</f>
        <v>0</v>
      </c>
      <c r="CN51" s="85">
        <f>IF(CN8&lt;=Condition!$E$16,0,IF(CN8&lt;=Condition!$F$16,Condition!$D$16,IF(CN8&lt;=Condition!$F$17,Condition!$D$17,IF(CN8&lt;=Condition!$F$18,Condition!$D$18,IF(CN8&gt;Condition!$E$19,Condition!$D$19,"")))))</f>
        <v>0</v>
      </c>
      <c r="CO51" s="85">
        <f>IF(CO8&lt;=Condition!$E$16,0,IF(CO8&lt;=Condition!$F$16,Condition!$D$16,IF(CO8&lt;=Condition!$F$17,Condition!$D$17,IF(CO8&lt;=Condition!$F$18,Condition!$D$18,IF(CO8&gt;Condition!$E$19,Condition!$D$19,"")))))</f>
        <v>0</v>
      </c>
      <c r="CP51" s="85">
        <f>IF(CP8&lt;=Condition!$E$16,0,IF(CP8&lt;=Condition!$F$16,Condition!$D$16,IF(CP8&lt;=Condition!$F$17,Condition!$D$17,IF(CP8&lt;=Condition!$F$18,Condition!$D$18,IF(CP8&gt;Condition!$E$19,Condition!$D$19,"")))))</f>
        <v>0</v>
      </c>
      <c r="CQ51" s="85">
        <f>IF(CQ8&lt;=Condition!$E$16,0,IF(CQ8&lt;=Condition!$F$16,Condition!$D$16,IF(CQ8&lt;=Condition!$F$17,Condition!$D$17,IF(CQ8&lt;=Condition!$F$18,Condition!$D$18,IF(CQ8&gt;Condition!$E$19,Condition!$D$19,"")))))</f>
        <v>0</v>
      </c>
      <c r="CR51" s="85">
        <f>IF(CR8&lt;=Condition!$E$16,0,IF(CR8&lt;=Condition!$F$16,Condition!$D$16,IF(CR8&lt;=Condition!$F$17,Condition!$D$17,IF(CR8&lt;=Condition!$F$18,Condition!$D$18,IF(CR8&gt;Condition!$E$19,Condition!$D$19,"")))))</f>
        <v>0</v>
      </c>
      <c r="CS51" s="85">
        <f>IF(CS8&lt;=Condition!$E$16,0,IF(CS8&lt;=Condition!$F$16,Condition!$D$16,IF(CS8&lt;=Condition!$F$17,Condition!$D$17,IF(CS8&lt;=Condition!$F$18,Condition!$D$18,IF(CS8&gt;Condition!$E$19,Condition!$D$19,"")))))</f>
        <v>0</v>
      </c>
      <c r="CT51" s="85">
        <f>IF(CT8&lt;=Condition!$E$16,0,IF(CT8&lt;=Condition!$F$16,Condition!$D$16,IF(CT8&lt;=Condition!$F$17,Condition!$D$17,IF(CT8&lt;=Condition!$F$18,Condition!$D$18,IF(CT8&gt;Condition!$E$19,Condition!$D$19,"")))))</f>
        <v>0</v>
      </c>
      <c r="CU51" s="85">
        <f>IF(CU8&lt;=Condition!$E$16,0,IF(CU8&lt;=Condition!$F$16,Condition!$D$16,IF(CU8&lt;=Condition!$F$17,Condition!$D$17,IF(CU8&lt;=Condition!$F$18,Condition!$D$18,IF(CU8&gt;Condition!$E$19,Condition!$D$19,"")))))</f>
        <v>0</v>
      </c>
      <c r="CV51" s="85">
        <f>IF(CV8&lt;=Condition!$E$16,0,IF(CV8&lt;=Condition!$F$16,Condition!$D$16,IF(CV8&lt;=Condition!$F$17,Condition!$D$17,IF(CV8&lt;=Condition!$F$18,Condition!$D$18,IF(CV8&gt;Condition!$E$19,Condition!$D$19,"")))))</f>
        <v>0</v>
      </c>
      <c r="CW51" s="85">
        <f>IF(CW8&lt;=Condition!$E$16,0,IF(CW8&lt;=Condition!$F$16,Condition!$D$16,IF(CW8&lt;=Condition!$F$17,Condition!$D$17,IF(CW8&lt;=Condition!$F$18,Condition!$D$18,IF(CW8&gt;Condition!$E$19,Condition!$D$19,"")))))</f>
        <v>0</v>
      </c>
      <c r="CX51" s="85">
        <f>IF(CX8&lt;=Condition!$E$16,0,IF(CX8&lt;=Condition!$F$16,Condition!$D$16,IF(CX8&lt;=Condition!$F$17,Condition!$D$17,IF(CX8&lt;=Condition!$F$18,Condition!$D$18,IF(CX8&gt;Condition!$E$19,Condition!$D$19,"")))))</f>
        <v>0</v>
      </c>
      <c r="CY51" s="85">
        <f>IF(CY8&lt;=Condition!$E$16,0,IF(CY8&lt;=Condition!$F$16,Condition!$D$16,IF(CY8&lt;=Condition!$F$17,Condition!$D$17,IF(CY8&lt;=Condition!$F$18,Condition!$D$18,IF(CY8&gt;Condition!$E$19,Condition!$D$19,"")))))</f>
        <v>0</v>
      </c>
      <c r="CZ51" s="85">
        <f>IF(CZ8&lt;=Condition!$E$16,0,IF(CZ8&lt;=Condition!$F$16,Condition!$D$16,IF(CZ8&lt;=Condition!$F$17,Condition!$D$17,IF(CZ8&lt;=Condition!$F$18,Condition!$D$18,IF(CZ8&gt;Condition!$E$19,Condition!$D$19,"")))))</f>
        <v>0</v>
      </c>
      <c r="DA51" s="85">
        <f>IF(DA8&lt;=Condition!$E$16,0,IF(DA8&lt;=Condition!$F$16,Condition!$D$16,IF(DA8&lt;=Condition!$F$17,Condition!$D$17,IF(DA8&lt;=Condition!$F$18,Condition!$D$18,IF(DA8&gt;Condition!$E$19,Condition!$D$19,"")))))</f>
        <v>0</v>
      </c>
      <c r="DB51" s="85">
        <f>IF(DB8&lt;=Condition!$E$16,0,IF(DB8&lt;=Condition!$F$16,Condition!$D$16,IF(DB8&lt;=Condition!$F$17,Condition!$D$17,IF(DB8&lt;=Condition!$F$18,Condition!$D$18,IF(DB8&gt;Condition!$E$19,Condition!$D$19,"")))))</f>
        <v>0</v>
      </c>
      <c r="DC51" s="85">
        <f>IF(DC8&lt;=Condition!$E$16,0,IF(DC8&lt;=Condition!$F$16,Condition!$D$16,IF(DC8&lt;=Condition!$F$17,Condition!$D$17,IF(DC8&lt;=Condition!$F$18,Condition!$D$18,IF(DC8&gt;Condition!$E$19,Condition!$D$19,"")))))</f>
        <v>0</v>
      </c>
      <c r="DD51" s="85">
        <f>IF(DD8&lt;=Condition!$E$16,0,IF(DD8&lt;=Condition!$F$16,Condition!$D$16,IF(DD8&lt;=Condition!$F$17,Condition!$D$17,IF(DD8&lt;=Condition!$F$18,Condition!$D$18,IF(DD8&gt;Condition!$E$19,Condition!$D$19,"")))))</f>
        <v>0</v>
      </c>
      <c r="DE51" s="85">
        <f>IF(DE8&lt;=Condition!$E$16,0,IF(DE8&lt;=Condition!$F$16,Condition!$D$16,IF(DE8&lt;=Condition!$F$17,Condition!$D$17,IF(DE8&lt;=Condition!$F$18,Condition!$D$18,IF(DE8&gt;Condition!$E$19,Condition!$D$19,"")))))</f>
        <v>0</v>
      </c>
      <c r="DF51" s="85">
        <f>IF(DF8&lt;=Condition!$E$16,0,IF(DF8&lt;=Condition!$F$16,Condition!$D$16,IF(DF8&lt;=Condition!$F$17,Condition!$D$17,IF(DF8&lt;=Condition!$F$18,Condition!$D$18,IF(DF8&gt;Condition!$E$19,Condition!$D$19,"")))))</f>
        <v>0</v>
      </c>
      <c r="DG51" s="85">
        <f>IF(DG8&lt;=Condition!$E$16,0,IF(DG8&lt;=Condition!$F$16,Condition!$D$16,IF(DG8&lt;=Condition!$F$17,Condition!$D$17,IF(DG8&lt;=Condition!$F$18,Condition!$D$18,IF(DG8&gt;Condition!$E$19,Condition!$D$19,"")))))</f>
        <v>0</v>
      </c>
      <c r="DH51" s="85">
        <f>IF(DH8&lt;=Condition!$E$16,0,IF(DH8&lt;=Condition!$F$16,Condition!$D$16,IF(DH8&lt;=Condition!$F$17,Condition!$D$17,IF(DH8&lt;=Condition!$F$18,Condition!$D$18,IF(DH8&gt;Condition!$E$19,Condition!$D$19,"")))))</f>
        <v>0</v>
      </c>
      <c r="DI51" s="85">
        <f>IF(DI8&lt;=Condition!$E$16,0,IF(DI8&lt;=Condition!$F$16,Condition!$D$16,IF(DI8&lt;=Condition!$F$17,Condition!$D$17,IF(DI8&lt;=Condition!$F$18,Condition!$D$18,IF(DI8&gt;Condition!$E$19,Condition!$D$19,"")))))</f>
        <v>0</v>
      </c>
      <c r="DJ51" s="85">
        <f>IF(DJ8&lt;=Condition!$E$16,0,IF(DJ8&lt;=Condition!$F$16,Condition!$D$16,IF(DJ8&lt;=Condition!$F$17,Condition!$D$17,IF(DJ8&lt;=Condition!$F$18,Condition!$D$18,IF(DJ8&gt;Condition!$E$19,Condition!$D$19,"")))))</f>
        <v>0</v>
      </c>
      <c r="DK51" s="85">
        <f>IF(DK8&lt;=Condition!$E$16,0,IF(DK8&lt;=Condition!$F$16,Condition!$D$16,IF(DK8&lt;=Condition!$F$17,Condition!$D$17,IF(DK8&lt;=Condition!$F$18,Condition!$D$18,IF(DK8&gt;Condition!$E$19,Condition!$D$19,"")))))</f>
        <v>0</v>
      </c>
      <c r="DL51" s="85">
        <f>IF(DL8&lt;=Condition!$E$16,0,IF(DL8&lt;=Condition!$F$16,Condition!$D$16,IF(DL8&lt;=Condition!$F$17,Condition!$D$17,IF(DL8&lt;=Condition!$F$18,Condition!$D$18,IF(DL8&gt;Condition!$E$19,Condition!$D$19,"")))))</f>
        <v>0</v>
      </c>
      <c r="DM51" s="85">
        <f>IF(DM8&lt;=Condition!$E$16,0,IF(DM8&lt;=Condition!$F$16,Condition!$D$16,IF(DM8&lt;=Condition!$F$17,Condition!$D$17,IF(DM8&lt;=Condition!$F$18,Condition!$D$18,IF(DM8&gt;Condition!$E$19,Condition!$D$19,"")))))</f>
        <v>0</v>
      </c>
      <c r="DN51" s="85">
        <f>IF(DN8&lt;=Condition!$E$16,0,IF(DN8&lt;=Condition!$F$16,Condition!$D$16,IF(DN8&lt;=Condition!$F$17,Condition!$D$17,IF(DN8&lt;=Condition!$F$18,Condition!$D$18,IF(DN8&gt;Condition!$E$19,Condition!$D$19,"")))))</f>
        <v>0</v>
      </c>
      <c r="DO51" s="85">
        <f>IF(DO8&lt;=Condition!$E$16,0,IF(DO8&lt;=Condition!$F$16,Condition!$D$16,IF(DO8&lt;=Condition!$F$17,Condition!$D$17,IF(DO8&lt;=Condition!$F$18,Condition!$D$18,IF(DO8&gt;Condition!$E$19,Condition!$D$19,"")))))</f>
        <v>0</v>
      </c>
      <c r="DP51" s="85">
        <f>IF(DP8&lt;=Condition!$E$16,0,IF(DP8&lt;=Condition!$F$16,Condition!$D$16,IF(DP8&lt;=Condition!$F$17,Condition!$D$17,IF(DP8&lt;=Condition!$F$18,Condition!$D$18,IF(DP8&gt;Condition!$E$19,Condition!$D$19,"")))))</f>
        <v>0</v>
      </c>
      <c r="DQ51" s="85">
        <f>IF(DQ8&lt;=Condition!$E$16,0,IF(DQ8&lt;=Condition!$F$16,Condition!$D$16,IF(DQ8&lt;=Condition!$F$17,Condition!$D$17,IF(DQ8&lt;=Condition!$F$18,Condition!$D$18,IF(DQ8&gt;Condition!$E$19,Condition!$D$19,"")))))</f>
        <v>0</v>
      </c>
      <c r="DR51" s="85">
        <f>IF(DR8&lt;=Condition!$E$16,0,IF(DR8&lt;=Condition!$F$16,Condition!$D$16,IF(DR8&lt;=Condition!$F$17,Condition!$D$17,IF(DR8&lt;=Condition!$F$18,Condition!$D$18,IF(DR8&gt;Condition!$E$19,Condition!$D$19,"")))))</f>
        <v>0</v>
      </c>
      <c r="DS51" s="85">
        <f>IF(DS8&lt;=Condition!$E$16,0,IF(DS8&lt;=Condition!$F$16,Condition!$D$16,IF(DS8&lt;=Condition!$F$17,Condition!$D$17,IF(DS8&lt;=Condition!$F$18,Condition!$D$18,IF(DS8&gt;Condition!$E$19,Condition!$D$19,"")))))</f>
        <v>0</v>
      </c>
      <c r="DT51" s="85">
        <f>IF(DT8&lt;=Condition!$E$16,0,IF(DT8&lt;=Condition!$F$16,Condition!$D$16,IF(DT8&lt;=Condition!$F$17,Condition!$D$17,IF(DT8&lt;=Condition!$F$18,Condition!$D$18,IF(DT8&gt;Condition!$E$19,Condition!$D$19,"")))))</f>
        <v>0</v>
      </c>
      <c r="DU51" s="85">
        <f>IF(DU8&lt;=Condition!$E$16,0,IF(DU8&lt;=Condition!$F$16,Condition!$D$16,IF(DU8&lt;=Condition!$F$17,Condition!$D$17,IF(DU8&lt;=Condition!$F$18,Condition!$D$18,IF(DU8&gt;Condition!$E$19,Condition!$D$19,"")))))</f>
        <v>0</v>
      </c>
      <c r="DV51" s="85">
        <f>IF(DV8&lt;=Condition!$E$16,0,IF(DV8&lt;=Condition!$F$16,Condition!$D$16,IF(DV8&lt;=Condition!$F$17,Condition!$D$17,IF(DV8&lt;=Condition!$F$18,Condition!$D$18,IF(DV8&gt;Condition!$E$19,Condition!$D$19,"")))))</f>
        <v>0</v>
      </c>
      <c r="DW51" s="85">
        <f>IF(DW8&lt;=Condition!$E$16,0,IF(DW8&lt;=Condition!$F$16,Condition!$D$16,IF(DW8&lt;=Condition!$F$17,Condition!$D$17,IF(DW8&lt;=Condition!$F$18,Condition!$D$18,IF(DW8&gt;Condition!$E$19,Condition!$D$19,"")))))</f>
        <v>0</v>
      </c>
      <c r="DX51" s="85">
        <f>IF(DX8&lt;=Condition!$E$16,0,IF(DX8&lt;=Condition!$F$16,Condition!$D$16,IF(DX8&lt;=Condition!$F$17,Condition!$D$17,IF(DX8&lt;=Condition!$F$18,Condition!$D$18,IF(DX8&gt;Condition!$E$19,Condition!$D$19,"")))))</f>
        <v>0</v>
      </c>
      <c r="DY51" s="85">
        <f>IF(DY8&lt;=Condition!$E$16,0,IF(DY8&lt;=Condition!$F$16,Condition!$D$16,IF(DY8&lt;=Condition!$F$17,Condition!$D$17,IF(DY8&lt;=Condition!$F$18,Condition!$D$18,IF(DY8&gt;Condition!$E$19,Condition!$D$19,"")))))</f>
        <v>0</v>
      </c>
      <c r="DZ51" s="85">
        <f>IF(DZ8&lt;=Condition!$E$16,0,IF(DZ8&lt;=Condition!$F$16,Condition!$D$16,IF(DZ8&lt;=Condition!$F$17,Condition!$D$17,IF(DZ8&lt;=Condition!$F$18,Condition!$D$18,IF(DZ8&gt;Condition!$E$19,Condition!$D$19,"")))))</f>
        <v>0</v>
      </c>
      <c r="EA51" s="85">
        <f>IF(EA8&lt;=Condition!$E$16,0,IF(EA8&lt;=Condition!$F$16,Condition!$D$16,IF(EA8&lt;=Condition!$F$17,Condition!$D$17,IF(EA8&lt;=Condition!$F$18,Condition!$D$18,IF(EA8&gt;Condition!$E$19,Condition!$D$19,"")))))</f>
        <v>0</v>
      </c>
      <c r="EB51" s="85">
        <f>IF(EB8&lt;=Condition!$E$16,0,IF(EB8&lt;=Condition!$F$16,Condition!$D$16,IF(EB8&lt;=Condition!$F$17,Condition!$D$17,IF(EB8&lt;=Condition!$F$18,Condition!$D$18,IF(EB8&gt;Condition!$E$19,Condition!$D$19,"")))))</f>
        <v>0</v>
      </c>
      <c r="EC51" s="85">
        <f>IF(EC8&lt;=Condition!$E$16,0,IF(EC8&lt;=Condition!$F$16,Condition!$D$16,IF(EC8&lt;=Condition!$F$17,Condition!$D$17,IF(EC8&lt;=Condition!$F$18,Condition!$D$18,IF(EC8&gt;Condition!$E$19,Condition!$D$19,"")))))</f>
        <v>0</v>
      </c>
      <c r="ED51" s="85">
        <f>IF(ED8&lt;=Condition!$E$16,0,IF(ED8&lt;=Condition!$F$16,Condition!$D$16,IF(ED8&lt;=Condition!$F$17,Condition!$D$17,IF(ED8&lt;=Condition!$F$18,Condition!$D$18,IF(ED8&gt;Condition!$E$19,Condition!$D$19,"")))))</f>
        <v>0</v>
      </c>
      <c r="EE51" s="85">
        <f>IF(EE8&lt;=Condition!$E$16,0,IF(EE8&lt;=Condition!$F$16,Condition!$D$16,IF(EE8&lt;=Condition!$F$17,Condition!$D$17,IF(EE8&lt;=Condition!$F$18,Condition!$D$18,IF(EE8&gt;Condition!$E$19,Condition!$D$19,"")))))</f>
        <v>0</v>
      </c>
      <c r="EF51" s="85">
        <f>IF(EF8&lt;=Condition!$E$16,0,IF(EF8&lt;=Condition!$F$16,Condition!$D$16,IF(EF8&lt;=Condition!$F$17,Condition!$D$17,IF(EF8&lt;=Condition!$F$18,Condition!$D$18,IF(EF8&gt;Condition!$E$19,Condition!$D$19,"")))))</f>
        <v>0</v>
      </c>
      <c r="EG51" s="85">
        <f>IF(EG8&lt;=Condition!$E$16,0,IF(EG8&lt;=Condition!$F$16,Condition!$D$16,IF(EG8&lt;=Condition!$F$17,Condition!$D$17,IF(EG8&lt;=Condition!$F$18,Condition!$D$18,IF(EG8&gt;Condition!$E$19,Condition!$D$19,"")))))</f>
        <v>0</v>
      </c>
      <c r="EH51" s="85">
        <f>IF(EH8&lt;=Condition!$E$16,0,IF(EH8&lt;=Condition!$F$16,Condition!$D$16,IF(EH8&lt;=Condition!$F$17,Condition!$D$17,IF(EH8&lt;=Condition!$F$18,Condition!$D$18,IF(EH8&gt;Condition!$E$19,Condition!$D$19,"")))))</f>
        <v>0</v>
      </c>
      <c r="EI51" s="85">
        <f>IF(EI8&lt;=Condition!$E$16,0,IF(EI8&lt;=Condition!$F$16,Condition!$D$16,IF(EI8&lt;=Condition!$F$17,Condition!$D$17,IF(EI8&lt;=Condition!$F$18,Condition!$D$18,IF(EI8&gt;Condition!$E$19,Condition!$D$19,"")))))</f>
        <v>0</v>
      </c>
      <c r="EJ51" s="85">
        <f>IF(EJ8&lt;=Condition!$E$16,0,IF(EJ8&lt;=Condition!$F$16,Condition!$D$16,IF(EJ8&lt;=Condition!$F$17,Condition!$D$17,IF(EJ8&lt;=Condition!$F$18,Condition!$D$18,IF(EJ8&gt;Condition!$E$19,Condition!$D$19,"")))))</f>
        <v>0</v>
      </c>
      <c r="EK51" s="85">
        <f>IF(EK8&lt;=Condition!$E$16,0,IF(EK8&lt;=Condition!$F$16,Condition!$D$16,IF(EK8&lt;=Condition!$F$17,Condition!$D$17,IF(EK8&lt;=Condition!$F$18,Condition!$D$18,IF(EK8&gt;Condition!$E$19,Condition!$D$19,"")))))</f>
        <v>0</v>
      </c>
      <c r="EL51" s="85">
        <f>IF(EL8&lt;=Condition!$E$16,0,IF(EL8&lt;=Condition!$F$16,Condition!$D$16,IF(EL8&lt;=Condition!$F$17,Condition!$D$17,IF(EL8&lt;=Condition!$F$18,Condition!$D$18,IF(EL8&gt;Condition!$E$19,Condition!$D$19,"")))))</f>
        <v>0</v>
      </c>
      <c r="EM51" s="85">
        <f>IF(EM8&lt;=Condition!$E$16,0,IF(EM8&lt;=Condition!$F$16,Condition!$D$16,IF(EM8&lt;=Condition!$F$17,Condition!$D$17,IF(EM8&lt;=Condition!$F$18,Condition!$D$18,IF(EM8&gt;Condition!$E$19,Condition!$D$19,"")))))</f>
        <v>0</v>
      </c>
      <c r="EN51" s="85">
        <f>IF(EN8&lt;=Condition!$E$16,0,IF(EN8&lt;=Condition!$F$16,Condition!$D$16,IF(EN8&lt;=Condition!$F$17,Condition!$D$17,IF(EN8&lt;=Condition!$F$18,Condition!$D$18,IF(EN8&gt;Condition!$E$19,Condition!$D$19,"")))))</f>
        <v>0</v>
      </c>
      <c r="EO51" s="85">
        <f>IF(EO8&lt;=Condition!$E$16,0,IF(EO8&lt;=Condition!$F$16,Condition!$D$16,IF(EO8&lt;=Condition!$F$17,Condition!$D$17,IF(EO8&lt;=Condition!$F$18,Condition!$D$18,IF(EO8&gt;Condition!$E$19,Condition!$D$19,"")))))</f>
        <v>0</v>
      </c>
      <c r="EP51" s="85">
        <f>IF(EP8&lt;=Condition!$E$16,0,IF(EP8&lt;=Condition!$F$16,Condition!$D$16,IF(EP8&lt;=Condition!$F$17,Condition!$D$17,IF(EP8&lt;=Condition!$F$18,Condition!$D$18,IF(EP8&gt;Condition!$E$19,Condition!$D$19,"")))))</f>
        <v>0</v>
      </c>
      <c r="EQ51" s="85">
        <f>IF(EQ8&lt;=Condition!$E$16,0,IF(EQ8&lt;=Condition!$F$16,Condition!$D$16,IF(EQ8&lt;=Condition!$F$17,Condition!$D$17,IF(EQ8&lt;=Condition!$F$18,Condition!$D$18,IF(EQ8&gt;Condition!$E$19,Condition!$D$19,"")))))</f>
        <v>0</v>
      </c>
      <c r="ER51" s="85">
        <f>IF(ER8&lt;=Condition!$E$16,0,IF(ER8&lt;=Condition!$F$16,Condition!$D$16,IF(ER8&lt;=Condition!$F$17,Condition!$D$17,IF(ER8&lt;=Condition!$F$18,Condition!$D$18,IF(ER8&gt;Condition!$E$19,Condition!$D$19,"")))))</f>
        <v>0</v>
      </c>
      <c r="ES51" s="85">
        <f>IF(ES8&lt;=Condition!$E$16,0,IF(ES8&lt;=Condition!$F$16,Condition!$D$16,IF(ES8&lt;=Condition!$F$17,Condition!$D$17,IF(ES8&lt;=Condition!$F$18,Condition!$D$18,IF(ES8&gt;Condition!$E$19,Condition!$D$19,"")))))</f>
        <v>0</v>
      </c>
      <c r="ET51" s="85">
        <f>IF(ET8&lt;=Condition!$E$16,0,IF(ET8&lt;=Condition!$F$16,Condition!$D$16,IF(ET8&lt;=Condition!$F$17,Condition!$D$17,IF(ET8&lt;=Condition!$F$18,Condition!$D$18,IF(ET8&gt;Condition!$E$19,Condition!$D$19,"")))))</f>
        <v>0</v>
      </c>
      <c r="EU51" s="85">
        <f>IF(EU8&lt;=Condition!$E$16,0,IF(EU8&lt;=Condition!$F$16,Condition!$D$16,IF(EU8&lt;=Condition!$F$17,Condition!$D$17,IF(EU8&lt;=Condition!$F$18,Condition!$D$18,IF(EU8&gt;Condition!$E$19,Condition!$D$19,"")))))</f>
        <v>0</v>
      </c>
      <c r="EV51" s="85">
        <f>IF(EV8&lt;=Condition!$E$16,0,IF(EV8&lt;=Condition!$F$16,Condition!$D$16,IF(EV8&lt;=Condition!$F$17,Condition!$D$17,IF(EV8&lt;=Condition!$F$18,Condition!$D$18,IF(EV8&gt;Condition!$E$19,Condition!$D$19,"")))))</f>
        <v>0</v>
      </c>
      <c r="EW51" s="85">
        <f>IF(EW8&lt;=Condition!$E$16,0,IF(EW8&lt;=Condition!$F$16,Condition!$D$16,IF(EW8&lt;=Condition!$F$17,Condition!$D$17,IF(EW8&lt;=Condition!$F$18,Condition!$D$18,IF(EW8&gt;Condition!$E$19,Condition!$D$19,"")))))</f>
        <v>0</v>
      </c>
      <c r="EX51" s="85">
        <f>IF(EX8&lt;=Condition!$E$16,0,IF(EX8&lt;=Condition!$F$16,Condition!$D$16,IF(EX8&lt;=Condition!$F$17,Condition!$D$17,IF(EX8&lt;=Condition!$F$18,Condition!$D$18,IF(EX8&gt;Condition!$E$19,Condition!$D$19,"")))))</f>
        <v>0</v>
      </c>
      <c r="EY51" s="85">
        <f>IF(EY8&lt;=Condition!$E$16,0,IF(EY8&lt;=Condition!$F$16,Condition!$D$16,IF(EY8&lt;=Condition!$F$17,Condition!$D$17,IF(EY8&lt;=Condition!$F$18,Condition!$D$18,IF(EY8&gt;Condition!$E$19,Condition!$D$19,"")))))</f>
        <v>0</v>
      </c>
      <c r="EZ51" s="85">
        <f>IF(EZ8&lt;=Condition!$E$16,0,IF(EZ8&lt;=Condition!$F$16,Condition!$D$16,IF(EZ8&lt;=Condition!$F$17,Condition!$D$17,IF(EZ8&lt;=Condition!$F$18,Condition!$D$18,IF(EZ8&gt;Condition!$E$19,Condition!$D$19,"")))))</f>
        <v>0</v>
      </c>
      <c r="FA51" s="85">
        <f>IF(FA8&lt;=Condition!$E$16,0,IF(FA8&lt;=Condition!$F$16,Condition!$D$16,IF(FA8&lt;=Condition!$F$17,Condition!$D$17,IF(FA8&lt;=Condition!$F$18,Condition!$D$18,IF(FA8&gt;Condition!$E$19,Condition!$D$19,"")))))</f>
        <v>0</v>
      </c>
      <c r="FB51" s="85">
        <f>IF(FB8&lt;=Condition!$E$16,0,IF(FB8&lt;=Condition!$F$16,Condition!$D$16,IF(FB8&lt;=Condition!$F$17,Condition!$D$17,IF(FB8&lt;=Condition!$F$18,Condition!$D$18,IF(FB8&gt;Condition!$E$19,Condition!$D$19,"")))))</f>
        <v>0</v>
      </c>
      <c r="FC51" s="85">
        <f>IF(FC8&lt;=Condition!$E$16,0,IF(FC8&lt;=Condition!$F$16,Condition!$D$16,IF(FC8&lt;=Condition!$F$17,Condition!$D$17,IF(FC8&lt;=Condition!$F$18,Condition!$D$18,IF(FC8&gt;Condition!$E$19,Condition!$D$19,"")))))</f>
        <v>0</v>
      </c>
      <c r="FD51" s="85">
        <f>IF(FD8&lt;=Condition!$E$16,0,IF(FD8&lt;=Condition!$F$16,Condition!$D$16,IF(FD8&lt;=Condition!$F$17,Condition!$D$17,IF(FD8&lt;=Condition!$F$18,Condition!$D$18,IF(FD8&gt;Condition!$E$19,Condition!$D$19,"")))))</f>
        <v>0</v>
      </c>
      <c r="FE51" s="85">
        <f>IF(FE8&lt;=Condition!$E$16,0,IF(FE8&lt;=Condition!$F$16,Condition!$D$16,IF(FE8&lt;=Condition!$F$17,Condition!$D$17,IF(FE8&lt;=Condition!$F$18,Condition!$D$18,IF(FE8&gt;Condition!$E$19,Condition!$D$19,"")))))</f>
        <v>0</v>
      </c>
      <c r="FF51" s="85">
        <f>IF(FF8&lt;=Condition!$E$16,0,IF(FF8&lt;=Condition!$F$16,Condition!$D$16,IF(FF8&lt;=Condition!$F$17,Condition!$D$17,IF(FF8&lt;=Condition!$F$18,Condition!$D$18,IF(FF8&gt;Condition!$E$19,Condition!$D$19,"")))))</f>
        <v>0</v>
      </c>
      <c r="FG51" s="85">
        <f>IF(FG8&lt;=Condition!$E$16,0,IF(FG8&lt;=Condition!$F$16,Condition!$D$16,IF(FG8&lt;=Condition!$F$17,Condition!$D$17,IF(FG8&lt;=Condition!$F$18,Condition!$D$18,IF(FG8&gt;Condition!$E$19,Condition!$D$19,"")))))</f>
        <v>0</v>
      </c>
      <c r="FH51" s="85">
        <f>IF(FH8&lt;=Condition!$E$16,0,IF(FH8&lt;=Condition!$F$16,Condition!$D$16,IF(FH8&lt;=Condition!$F$17,Condition!$D$17,IF(FH8&lt;=Condition!$F$18,Condition!$D$18,IF(FH8&gt;Condition!$E$19,Condition!$D$19,"")))))</f>
        <v>0</v>
      </c>
      <c r="FI51" s="85">
        <f>IF(FI8&lt;=Condition!$E$16,0,IF(FI8&lt;=Condition!$F$16,Condition!$D$16,IF(FI8&lt;=Condition!$F$17,Condition!$D$17,IF(FI8&lt;=Condition!$F$18,Condition!$D$18,IF(FI8&gt;Condition!$E$19,Condition!$D$19,"")))))</f>
        <v>0</v>
      </c>
      <c r="FJ51" s="85">
        <f>IF(FJ8&lt;=Condition!$E$16,0,IF(FJ8&lt;=Condition!$F$16,Condition!$D$16,IF(FJ8&lt;=Condition!$F$17,Condition!$D$17,IF(FJ8&lt;=Condition!$F$18,Condition!$D$18,IF(FJ8&gt;Condition!$E$19,Condition!$D$19,"")))))</f>
        <v>0</v>
      </c>
      <c r="FK51" s="85">
        <f>IF(FK8&lt;=Condition!$E$16,0,IF(FK8&lt;=Condition!$F$16,Condition!$D$16,IF(FK8&lt;=Condition!$F$17,Condition!$D$17,IF(FK8&lt;=Condition!$F$18,Condition!$D$18,IF(FK8&gt;Condition!$E$19,Condition!$D$19,"")))))</f>
        <v>0</v>
      </c>
      <c r="FL51" s="85">
        <f>IF(FL8&lt;=Condition!$E$16,0,IF(FL8&lt;=Condition!$F$16,Condition!$D$16,IF(FL8&lt;=Condition!$F$17,Condition!$D$17,IF(FL8&lt;=Condition!$F$18,Condition!$D$18,IF(FL8&gt;Condition!$E$19,Condition!$D$19,"")))))</f>
        <v>0</v>
      </c>
      <c r="FM51" s="85">
        <f>IF(FM8&lt;=Condition!$E$16,0,IF(FM8&lt;=Condition!$F$16,Condition!$D$16,IF(FM8&lt;=Condition!$F$17,Condition!$D$17,IF(FM8&lt;=Condition!$F$18,Condition!$D$18,IF(FM8&gt;Condition!$E$19,Condition!$D$19,"")))))</f>
        <v>0</v>
      </c>
      <c r="FN51" s="85">
        <f>IF(FN8&lt;=Condition!$E$16,0,IF(FN8&lt;=Condition!$F$16,Condition!$D$16,IF(FN8&lt;=Condition!$F$17,Condition!$D$17,IF(FN8&lt;=Condition!$F$18,Condition!$D$18,IF(FN8&gt;Condition!$E$19,Condition!$D$19,"")))))</f>
        <v>0</v>
      </c>
      <c r="FO51" s="85">
        <f>IF(FO8&lt;=Condition!$E$16,0,IF(FO8&lt;=Condition!$F$16,Condition!$D$16,IF(FO8&lt;=Condition!$F$17,Condition!$D$17,IF(FO8&lt;=Condition!$F$18,Condition!$D$18,IF(FO8&gt;Condition!$E$19,Condition!$D$19,"")))))</f>
        <v>0</v>
      </c>
      <c r="FP51" s="85">
        <f>IF(FP8&lt;=Condition!$E$16,0,IF(FP8&lt;=Condition!$F$16,Condition!$D$16,IF(FP8&lt;=Condition!$F$17,Condition!$D$17,IF(FP8&lt;=Condition!$F$18,Condition!$D$18,IF(FP8&gt;Condition!$E$19,Condition!$D$19,"")))))</f>
        <v>0</v>
      </c>
      <c r="FQ51" s="85">
        <f>IF(FQ8&lt;=Condition!$E$16,0,IF(FQ8&lt;=Condition!$F$16,Condition!$D$16,IF(FQ8&lt;=Condition!$F$17,Condition!$D$17,IF(FQ8&lt;=Condition!$F$18,Condition!$D$18,IF(FQ8&gt;Condition!$E$19,Condition!$D$19,"")))))</f>
        <v>0</v>
      </c>
      <c r="FR51" s="85">
        <f>IF(FR8&lt;=Condition!$E$16,0,IF(FR8&lt;=Condition!$F$16,Condition!$D$16,IF(FR8&lt;=Condition!$F$17,Condition!$D$17,IF(FR8&lt;=Condition!$F$18,Condition!$D$18,IF(FR8&gt;Condition!$E$19,Condition!$D$19,"")))))</f>
        <v>0</v>
      </c>
      <c r="FS51" s="85">
        <f>IF(FS8&lt;=Condition!$E$16,0,IF(FS8&lt;=Condition!$F$16,Condition!$D$16,IF(FS8&lt;=Condition!$F$17,Condition!$D$17,IF(FS8&lt;=Condition!$F$18,Condition!$D$18,IF(FS8&gt;Condition!$E$19,Condition!$D$19,"")))))</f>
        <v>0</v>
      </c>
      <c r="FT51" s="85">
        <f>IF(FT8&lt;=Condition!$E$16,0,IF(FT8&lt;=Condition!$F$16,Condition!$D$16,IF(FT8&lt;=Condition!$F$17,Condition!$D$17,IF(FT8&lt;=Condition!$F$18,Condition!$D$18,IF(FT8&gt;Condition!$E$19,Condition!$D$19,"")))))</f>
        <v>0</v>
      </c>
      <c r="FU51" s="85">
        <f>IF(FU8&lt;=Condition!$E$16,0,IF(FU8&lt;=Condition!$F$16,Condition!$D$16,IF(FU8&lt;=Condition!$F$17,Condition!$D$17,IF(FU8&lt;=Condition!$F$18,Condition!$D$18,IF(FU8&gt;Condition!$E$19,Condition!$D$19,"")))))</f>
        <v>0</v>
      </c>
      <c r="FV51" s="85">
        <f>IF(FV8&lt;=Condition!$E$16,0,IF(FV8&lt;=Condition!$F$16,Condition!$D$16,IF(FV8&lt;=Condition!$F$17,Condition!$D$17,IF(FV8&lt;=Condition!$F$18,Condition!$D$18,IF(FV8&gt;Condition!$E$19,Condition!$D$19,"")))))</f>
        <v>0</v>
      </c>
      <c r="FW51" s="85">
        <f>IF(FW8&lt;=Condition!$E$16,0,IF(FW8&lt;=Condition!$F$16,Condition!$D$16,IF(FW8&lt;=Condition!$F$17,Condition!$D$17,IF(FW8&lt;=Condition!$F$18,Condition!$D$18,IF(FW8&gt;Condition!$E$19,Condition!$D$19,"")))))</f>
        <v>0</v>
      </c>
      <c r="FX51" s="85">
        <f>IF(FX8&lt;=Condition!$E$16,0,IF(FX8&lt;=Condition!$F$16,Condition!$D$16,IF(FX8&lt;=Condition!$F$17,Condition!$D$17,IF(FX8&lt;=Condition!$F$18,Condition!$D$18,IF(FX8&gt;Condition!$E$19,Condition!$D$19,"")))))</f>
        <v>0</v>
      </c>
      <c r="FY51" s="85">
        <f>IF(FY8&lt;=Condition!$E$16,0,IF(FY8&lt;=Condition!$F$16,Condition!$D$16,IF(FY8&lt;=Condition!$F$17,Condition!$D$17,IF(FY8&lt;=Condition!$F$18,Condition!$D$18,IF(FY8&gt;Condition!$E$19,Condition!$D$19,"")))))</f>
        <v>0</v>
      </c>
      <c r="FZ51" s="85">
        <f>IF(FZ8&lt;=Condition!$E$16,0,IF(FZ8&lt;=Condition!$F$16,Condition!$D$16,IF(FZ8&lt;=Condition!$F$17,Condition!$D$17,IF(FZ8&lt;=Condition!$F$18,Condition!$D$18,IF(FZ8&gt;Condition!$E$19,Condition!$D$19,"")))))</f>
        <v>0</v>
      </c>
      <c r="GA51" s="85">
        <f>IF(GA8&lt;=Condition!$E$16,0,IF(GA8&lt;=Condition!$F$16,Condition!$D$16,IF(GA8&lt;=Condition!$F$17,Condition!$D$17,IF(GA8&lt;=Condition!$F$18,Condition!$D$18,IF(GA8&gt;Condition!$E$19,Condition!$D$19,"")))))</f>
        <v>0</v>
      </c>
      <c r="GB51" s="85">
        <f>IF(GB8&lt;=Condition!$E$16,0,IF(GB8&lt;=Condition!$F$16,Condition!$D$16,IF(GB8&lt;=Condition!$F$17,Condition!$D$17,IF(GB8&lt;=Condition!$F$18,Condition!$D$18,IF(GB8&gt;Condition!$E$19,Condition!$D$19,"")))))</f>
        <v>0</v>
      </c>
      <c r="GC51" s="85">
        <f>IF(GC8&lt;=Condition!$E$16,0,IF(GC8&lt;=Condition!$F$16,Condition!$D$16,IF(GC8&lt;=Condition!$F$17,Condition!$D$17,IF(GC8&lt;=Condition!$F$18,Condition!$D$18,IF(GC8&gt;Condition!$E$19,Condition!$D$19,"")))))</f>
        <v>0</v>
      </c>
      <c r="GD51" s="85">
        <f>IF(GD8&lt;=Condition!$E$16,0,IF(GD8&lt;=Condition!$F$16,Condition!$D$16,IF(GD8&lt;=Condition!$F$17,Condition!$D$17,IF(GD8&lt;=Condition!$F$18,Condition!$D$18,IF(GD8&gt;Condition!$E$19,Condition!$D$19,"")))))</f>
        <v>0</v>
      </c>
      <c r="GE51" s="85">
        <f>IF(GE8&lt;=Condition!$E$16,0,IF(GE8&lt;=Condition!$F$16,Condition!$D$16,IF(GE8&lt;=Condition!$F$17,Condition!$D$17,IF(GE8&lt;=Condition!$F$18,Condition!$D$18,IF(GE8&gt;Condition!$E$19,Condition!$D$19,"")))))</f>
        <v>0</v>
      </c>
      <c r="GF51" s="85">
        <f>IF(GF8&lt;=Condition!$E$16,0,IF(GF8&lt;=Condition!$F$16,Condition!$D$16,IF(GF8&lt;=Condition!$F$17,Condition!$D$17,IF(GF8&lt;=Condition!$F$18,Condition!$D$18,IF(GF8&gt;Condition!$E$19,Condition!$D$19,"")))))</f>
        <v>0</v>
      </c>
      <c r="GG51" s="85">
        <f>IF(GG8&lt;=Condition!$E$16,0,IF(GG8&lt;=Condition!$F$16,Condition!$D$16,IF(GG8&lt;=Condition!$F$17,Condition!$D$17,IF(GG8&lt;=Condition!$F$18,Condition!$D$18,IF(GG8&gt;Condition!$E$19,Condition!$D$19,"")))))</f>
        <v>0</v>
      </c>
      <c r="GH51" s="85">
        <f>IF(GH8&lt;=Condition!$E$16,0,IF(GH8&lt;=Condition!$F$16,Condition!$D$16,IF(GH8&lt;=Condition!$F$17,Condition!$D$17,IF(GH8&lt;=Condition!$F$18,Condition!$D$18,IF(GH8&gt;Condition!$E$19,Condition!$D$19,"")))))</f>
        <v>0</v>
      </c>
      <c r="GI51" s="85">
        <f>IF(GI8&lt;=Condition!$E$16,0,IF(GI8&lt;=Condition!$F$16,Condition!$D$16,IF(GI8&lt;=Condition!$F$17,Condition!$D$17,IF(GI8&lt;=Condition!$F$18,Condition!$D$18,IF(GI8&gt;Condition!$E$19,Condition!$D$19,"")))))</f>
        <v>0</v>
      </c>
      <c r="GJ51" s="85">
        <f>IF(GJ8&lt;=Condition!$E$16,0,IF(GJ8&lt;=Condition!$F$16,Condition!$D$16,IF(GJ8&lt;=Condition!$F$17,Condition!$D$17,IF(GJ8&lt;=Condition!$F$18,Condition!$D$18,IF(GJ8&gt;Condition!$E$19,Condition!$D$19,"")))))</f>
        <v>0</v>
      </c>
      <c r="GK51" s="85">
        <f>IF(GK8&lt;=Condition!$E$16,0,IF(GK8&lt;=Condition!$F$16,Condition!$D$16,IF(GK8&lt;=Condition!$F$17,Condition!$D$17,IF(GK8&lt;=Condition!$F$18,Condition!$D$18,IF(GK8&gt;Condition!$E$19,Condition!$D$19,"")))))</f>
        <v>0</v>
      </c>
      <c r="GL51" s="85">
        <f>IF(GL8&lt;=Condition!$E$16,0,IF(GL8&lt;=Condition!$F$16,Condition!$D$16,IF(GL8&lt;=Condition!$F$17,Condition!$D$17,IF(GL8&lt;=Condition!$F$18,Condition!$D$18,IF(GL8&gt;Condition!$E$19,Condition!$D$19,"")))))</f>
        <v>0</v>
      </c>
      <c r="GM51" s="85">
        <f>IF(GM8&lt;=Condition!$E$16,0,IF(GM8&lt;=Condition!$F$16,Condition!$D$16,IF(GM8&lt;=Condition!$F$17,Condition!$D$17,IF(GM8&lt;=Condition!$F$18,Condition!$D$18,IF(GM8&gt;Condition!$E$19,Condition!$D$19,"")))))</f>
        <v>0</v>
      </c>
      <c r="GN51" s="85">
        <f>IF(GN8&lt;=Condition!$E$16,0,IF(GN8&lt;=Condition!$F$16,Condition!$D$16,IF(GN8&lt;=Condition!$F$17,Condition!$D$17,IF(GN8&lt;=Condition!$F$18,Condition!$D$18,IF(GN8&gt;Condition!$E$19,Condition!$D$19,"")))))</f>
        <v>0</v>
      </c>
      <c r="GO51" s="85">
        <f>IF(GO8&lt;=Condition!$E$16,0,IF(GO8&lt;=Condition!$F$16,Condition!$D$16,IF(GO8&lt;=Condition!$F$17,Condition!$D$17,IF(GO8&lt;=Condition!$F$18,Condition!$D$18,IF(GO8&gt;Condition!$E$19,Condition!$D$19,"")))))</f>
        <v>0</v>
      </c>
      <c r="GP51" s="85">
        <f>IF(GP8&lt;=Condition!$E$16,0,IF(GP8&lt;=Condition!$F$16,Condition!$D$16,IF(GP8&lt;=Condition!$F$17,Condition!$D$17,IF(GP8&lt;=Condition!$F$18,Condition!$D$18,IF(GP8&gt;Condition!$E$19,Condition!$D$19,"")))))</f>
        <v>0</v>
      </c>
      <c r="GQ51" s="85">
        <f>IF(GQ8&lt;=Condition!$E$16,0,IF(GQ8&lt;=Condition!$F$16,Condition!$D$16,IF(GQ8&lt;=Condition!$F$17,Condition!$D$17,IF(GQ8&lt;=Condition!$F$18,Condition!$D$18,IF(GQ8&gt;Condition!$E$19,Condition!$D$19,"")))))</f>
        <v>0</v>
      </c>
      <c r="GR51" s="85">
        <f>IF(GR8&lt;=Condition!$E$16,0,IF(GR8&lt;=Condition!$F$16,Condition!$D$16,IF(GR8&lt;=Condition!$F$17,Condition!$D$17,IF(GR8&lt;=Condition!$F$18,Condition!$D$18,IF(GR8&gt;Condition!$E$19,Condition!$D$19,"")))))</f>
        <v>0</v>
      </c>
      <c r="GS51" s="85">
        <f>IF(GS8&lt;=Condition!$E$16,0,IF(GS8&lt;=Condition!$F$16,Condition!$D$16,IF(GS8&lt;=Condition!$F$17,Condition!$D$17,IF(GS8&lt;=Condition!$F$18,Condition!$D$18,IF(GS8&gt;Condition!$E$19,Condition!$D$19,"")))))</f>
        <v>0</v>
      </c>
      <c r="GT51" s="85">
        <f>IF(GT8&lt;=Condition!$E$16,0,IF(GT8&lt;=Condition!$F$16,Condition!$D$16,IF(GT8&lt;=Condition!$F$17,Condition!$D$17,IF(GT8&lt;=Condition!$F$18,Condition!$D$18,IF(GT8&gt;Condition!$E$19,Condition!$D$19,"")))))</f>
        <v>0</v>
      </c>
      <c r="GU51" s="85">
        <f>IF(GU8&lt;=Condition!$E$16,0,IF(GU8&lt;=Condition!$F$16,Condition!$D$16,IF(GU8&lt;=Condition!$F$17,Condition!$D$17,IF(GU8&lt;=Condition!$F$18,Condition!$D$18,IF(GU8&gt;Condition!$E$19,Condition!$D$19,"")))))</f>
        <v>0</v>
      </c>
      <c r="GV51" s="85">
        <f>IF(GV8&lt;=Condition!$E$16,0,IF(GV8&lt;=Condition!$F$16,Condition!$D$16,IF(GV8&lt;=Condition!$F$17,Condition!$D$17,IF(GV8&lt;=Condition!$F$18,Condition!$D$18,IF(GV8&gt;Condition!$E$19,Condition!$D$19,"")))))</f>
        <v>0</v>
      </c>
      <c r="GW51" s="85">
        <f>IF(GW8&lt;=Condition!$E$16,0,IF(GW8&lt;=Condition!$F$16,Condition!$D$16,IF(GW8&lt;=Condition!$F$17,Condition!$D$17,IF(GW8&lt;=Condition!$F$18,Condition!$D$18,IF(GW8&gt;Condition!$E$19,Condition!$D$19,"")))))</f>
        <v>0</v>
      </c>
      <c r="GX51" s="85">
        <f>IF(GX8&lt;=Condition!$E$16,0,IF(GX8&lt;=Condition!$F$16,Condition!$D$16,IF(GX8&lt;=Condition!$F$17,Condition!$D$17,IF(GX8&lt;=Condition!$F$18,Condition!$D$18,IF(GX8&gt;Condition!$E$19,Condition!$D$19,"")))))</f>
        <v>0</v>
      </c>
      <c r="GY51" s="85">
        <f>IF(GY8&lt;=Condition!$E$16,0,IF(GY8&lt;=Condition!$F$16,Condition!$D$16,IF(GY8&lt;=Condition!$F$17,Condition!$D$17,IF(GY8&lt;=Condition!$F$18,Condition!$D$18,IF(GY8&gt;Condition!$E$19,Condition!$D$19,"")))))</f>
        <v>0</v>
      </c>
      <c r="GZ51" s="85">
        <f>IF(GZ8&lt;=Condition!$E$16,0,IF(GZ8&lt;=Condition!$F$16,Condition!$D$16,IF(GZ8&lt;=Condition!$F$17,Condition!$D$17,IF(GZ8&lt;=Condition!$F$18,Condition!$D$18,IF(GZ8&gt;Condition!$E$19,Condition!$D$19,"")))))</f>
        <v>0</v>
      </c>
      <c r="HA51" s="85">
        <f>IF(HA8&lt;=Condition!$E$16,0,IF(HA8&lt;=Condition!$F$16,Condition!$D$16,IF(HA8&lt;=Condition!$F$17,Condition!$D$17,IF(HA8&lt;=Condition!$F$18,Condition!$D$18,IF(HA8&gt;Condition!$E$19,Condition!$D$19,"")))))</f>
        <v>0</v>
      </c>
      <c r="HB51" s="85">
        <f>IF(HB8&lt;=Condition!$E$16,0,IF(HB8&lt;=Condition!$F$16,Condition!$D$16,IF(HB8&lt;=Condition!$F$17,Condition!$D$17,IF(HB8&lt;=Condition!$F$18,Condition!$D$18,IF(HB8&gt;Condition!$E$19,Condition!$D$19,"")))))</f>
        <v>0</v>
      </c>
      <c r="HC51" s="85">
        <f>IF(HC8&lt;=Condition!$E$16,0,IF(HC8&lt;=Condition!$F$16,Condition!$D$16,IF(HC8&lt;=Condition!$F$17,Condition!$D$17,IF(HC8&lt;=Condition!$F$18,Condition!$D$18,IF(HC8&gt;Condition!$E$19,Condition!$D$19,"")))))</f>
        <v>0</v>
      </c>
      <c r="HD51" s="85">
        <f>IF(HD8&lt;=Condition!$E$16,0,IF(HD8&lt;=Condition!$F$16,Condition!$D$16,IF(HD8&lt;=Condition!$F$17,Condition!$D$17,IF(HD8&lt;=Condition!$F$18,Condition!$D$18,IF(HD8&gt;Condition!$E$19,Condition!$D$19,"")))))</f>
        <v>0</v>
      </c>
      <c r="HE51" s="85">
        <f>IF(HE8&lt;=Condition!$E$16,0,IF(HE8&lt;=Condition!$F$16,Condition!$D$16,IF(HE8&lt;=Condition!$F$17,Condition!$D$17,IF(HE8&lt;=Condition!$F$18,Condition!$D$18,IF(HE8&gt;Condition!$E$19,Condition!$D$19,"")))))</f>
        <v>0</v>
      </c>
      <c r="HF51" s="85">
        <f>IF(HF8&lt;=Condition!$E$16,0,IF(HF8&lt;=Condition!$F$16,Condition!$D$16,IF(HF8&lt;=Condition!$F$17,Condition!$D$17,IF(HF8&lt;=Condition!$F$18,Condition!$D$18,IF(HF8&gt;Condition!$E$19,Condition!$D$19,"")))))</f>
        <v>0</v>
      </c>
      <c r="HG51" s="85">
        <f>IF(HG8&lt;=Condition!$E$16,0,IF(HG8&lt;=Condition!$F$16,Condition!$D$16,IF(HG8&lt;=Condition!$F$17,Condition!$D$17,IF(HG8&lt;=Condition!$F$18,Condition!$D$18,IF(HG8&gt;Condition!$E$19,Condition!$D$19,"")))))</f>
        <v>0</v>
      </c>
      <c r="HH51" s="85">
        <f>IF(HH8&lt;=Condition!$E$16,0,IF(HH8&lt;=Condition!$F$16,Condition!$D$16,IF(HH8&lt;=Condition!$F$17,Condition!$D$17,IF(HH8&lt;=Condition!$F$18,Condition!$D$18,IF(HH8&gt;Condition!$E$19,Condition!$D$19,"")))))</f>
        <v>0</v>
      </c>
      <c r="HI51" s="85">
        <f>IF(HI8&lt;=Condition!$E$16,0,IF(HI8&lt;=Condition!$F$16,Condition!$D$16,IF(HI8&lt;=Condition!$F$17,Condition!$D$17,IF(HI8&lt;=Condition!$F$18,Condition!$D$18,IF(HI8&gt;Condition!$E$19,Condition!$D$19,"")))))</f>
        <v>0</v>
      </c>
      <c r="HJ51" s="85">
        <f>IF(HJ8&lt;=Condition!$E$16,0,IF(HJ8&lt;=Condition!$F$16,Condition!$D$16,IF(HJ8&lt;=Condition!$F$17,Condition!$D$17,IF(HJ8&lt;=Condition!$F$18,Condition!$D$18,IF(HJ8&gt;Condition!$E$19,Condition!$D$19,"")))))</f>
        <v>0</v>
      </c>
      <c r="HK51" s="85">
        <f>IF(HK8&lt;=Condition!$E$16,0,IF(HK8&lt;=Condition!$F$16,Condition!$D$16,IF(HK8&lt;=Condition!$F$17,Condition!$D$17,IF(HK8&lt;=Condition!$F$18,Condition!$D$18,IF(HK8&gt;Condition!$E$19,Condition!$D$19,"")))))</f>
        <v>0</v>
      </c>
      <c r="HL51" s="85">
        <f>IF(HL8&lt;=Condition!$E$16,0,IF(HL8&lt;=Condition!$F$16,Condition!$D$16,IF(HL8&lt;=Condition!$F$17,Condition!$D$17,IF(HL8&lt;=Condition!$F$18,Condition!$D$18,IF(HL8&gt;Condition!$E$19,Condition!$D$19,"")))))</f>
        <v>0</v>
      </c>
      <c r="HM51" s="85">
        <f>IF(HM8&lt;=Condition!$E$16,0,IF(HM8&lt;=Condition!$F$16,Condition!$D$16,IF(HM8&lt;=Condition!$F$17,Condition!$D$17,IF(HM8&lt;=Condition!$F$18,Condition!$D$18,IF(HM8&gt;Condition!$E$19,Condition!$D$19,"")))))</f>
        <v>0</v>
      </c>
      <c r="HN51" s="85">
        <f>IF(HN8&lt;=Condition!$E$16,0,IF(HN8&lt;=Condition!$F$16,Condition!$D$16,IF(HN8&lt;=Condition!$F$17,Condition!$D$17,IF(HN8&lt;=Condition!$F$18,Condition!$D$18,IF(HN8&gt;Condition!$E$19,Condition!$D$19,"")))))</f>
        <v>0</v>
      </c>
      <c r="HO51" s="85">
        <f>IF(HO8&lt;=Condition!$E$16,0,IF(HO8&lt;=Condition!$F$16,Condition!$D$16,IF(HO8&lt;=Condition!$F$17,Condition!$D$17,IF(HO8&lt;=Condition!$F$18,Condition!$D$18,IF(HO8&gt;Condition!$E$19,Condition!$D$19,"")))))</f>
        <v>0</v>
      </c>
      <c r="HP51" s="85">
        <f>IF(HP8&lt;=Condition!$E$16,0,IF(HP8&lt;=Condition!$F$16,Condition!$D$16,IF(HP8&lt;=Condition!$F$17,Condition!$D$17,IF(HP8&lt;=Condition!$F$18,Condition!$D$18,IF(HP8&gt;Condition!$E$19,Condition!$D$19,"")))))</f>
        <v>0</v>
      </c>
      <c r="HQ51" s="85">
        <f>IF(HQ8&lt;=Condition!$E$16,0,IF(HQ8&lt;=Condition!$F$16,Condition!$D$16,IF(HQ8&lt;=Condition!$F$17,Condition!$D$17,IF(HQ8&lt;=Condition!$F$18,Condition!$D$18,IF(HQ8&gt;Condition!$E$19,Condition!$D$19,"")))))</f>
        <v>0</v>
      </c>
      <c r="HR51" s="85">
        <f>IF(HR8&lt;=Condition!$E$16,0,IF(HR8&lt;=Condition!$F$16,Condition!$D$16,IF(HR8&lt;=Condition!$F$17,Condition!$D$17,IF(HR8&lt;=Condition!$F$18,Condition!$D$18,IF(HR8&gt;Condition!$E$19,Condition!$D$19,"")))))</f>
        <v>0</v>
      </c>
      <c r="HS51" s="85">
        <f>IF(HS8&lt;=Condition!$E$16,0,IF(HS8&lt;=Condition!$F$16,Condition!$D$16,IF(HS8&lt;=Condition!$F$17,Condition!$D$17,IF(HS8&lt;=Condition!$F$18,Condition!$D$18,IF(HS8&gt;Condition!$E$19,Condition!$D$19,"")))))</f>
        <v>0</v>
      </c>
      <c r="HT51" s="85">
        <f>IF(HT8&lt;=Condition!$E$16,0,IF(HT8&lt;=Condition!$F$16,Condition!$D$16,IF(HT8&lt;=Condition!$F$17,Condition!$D$17,IF(HT8&lt;=Condition!$F$18,Condition!$D$18,IF(HT8&gt;Condition!$E$19,Condition!$D$19,"")))))</f>
        <v>0</v>
      </c>
      <c r="HU51" s="85">
        <f>IF(HU8&lt;=Condition!$E$16,0,IF(HU8&lt;=Condition!$F$16,Condition!$D$16,IF(HU8&lt;=Condition!$F$17,Condition!$D$17,IF(HU8&lt;=Condition!$F$18,Condition!$D$18,IF(HU8&gt;Condition!$E$19,Condition!$D$19,"")))))</f>
        <v>0</v>
      </c>
      <c r="HV51" s="85">
        <f>IF(HV8&lt;=Condition!$E$16,0,IF(HV8&lt;=Condition!$F$16,Condition!$D$16,IF(HV8&lt;=Condition!$F$17,Condition!$D$17,IF(HV8&lt;=Condition!$F$18,Condition!$D$18,IF(HV8&gt;Condition!$E$19,Condition!$D$19,"")))))</f>
        <v>0</v>
      </c>
      <c r="HW51" s="85">
        <f>IF(HW8&lt;=Condition!$E$16,0,IF(HW8&lt;=Condition!$F$16,Condition!$D$16,IF(HW8&lt;=Condition!$F$17,Condition!$D$17,IF(HW8&lt;=Condition!$F$18,Condition!$D$18,IF(HW8&gt;Condition!$E$19,Condition!$D$19,"")))))</f>
        <v>0</v>
      </c>
      <c r="HX51" s="85">
        <f>IF(HX8&lt;=Condition!$E$16,0,IF(HX8&lt;=Condition!$F$16,Condition!$D$16,IF(HX8&lt;=Condition!$F$17,Condition!$D$17,IF(HX8&lt;=Condition!$F$18,Condition!$D$18,IF(HX8&gt;Condition!$E$19,Condition!$D$19,"")))))</f>
        <v>0</v>
      </c>
      <c r="HY51" s="85">
        <f>IF(HY8&lt;=Condition!$E$16,0,IF(HY8&lt;=Condition!$F$16,Condition!$D$16,IF(HY8&lt;=Condition!$F$17,Condition!$D$17,IF(HY8&lt;=Condition!$F$18,Condition!$D$18,IF(HY8&gt;Condition!$E$19,Condition!$D$19,"")))))</f>
        <v>0</v>
      </c>
      <c r="HZ51" s="85">
        <f>IF(HZ8&lt;=Condition!$E$16,0,IF(HZ8&lt;=Condition!$F$16,Condition!$D$16,IF(HZ8&lt;=Condition!$F$17,Condition!$D$17,IF(HZ8&lt;=Condition!$F$18,Condition!$D$18,IF(HZ8&gt;Condition!$E$19,Condition!$D$19,"")))))</f>
        <v>0</v>
      </c>
      <c r="IA51" s="85">
        <f>IF(IA8&lt;=Condition!$E$16,0,IF(IA8&lt;=Condition!$F$16,Condition!$D$16,IF(IA8&lt;=Condition!$F$17,Condition!$D$17,IF(IA8&lt;=Condition!$F$18,Condition!$D$18,IF(IA8&gt;Condition!$E$19,Condition!$D$19,"")))))</f>
        <v>0</v>
      </c>
      <c r="IB51" s="85">
        <f>IF(IB8&lt;=Condition!$E$16,0,IF(IB8&lt;=Condition!$F$16,Condition!$D$16,IF(IB8&lt;=Condition!$F$17,Condition!$D$17,IF(IB8&lt;=Condition!$F$18,Condition!$D$18,IF(IB8&gt;Condition!$E$19,Condition!$D$19,"")))))</f>
        <v>0</v>
      </c>
      <c r="IC51" s="85">
        <f>IF(IC8&lt;=Condition!$E$16,0,IF(IC8&lt;=Condition!$F$16,Condition!$D$16,IF(IC8&lt;=Condition!$F$17,Condition!$D$17,IF(IC8&lt;=Condition!$F$18,Condition!$D$18,IF(IC8&gt;Condition!$E$19,Condition!$D$19,"")))))</f>
        <v>0</v>
      </c>
      <c r="ID51" s="85">
        <f>IF(ID8&lt;=Condition!$E$16,0,IF(ID8&lt;=Condition!$F$16,Condition!$D$16,IF(ID8&lt;=Condition!$F$17,Condition!$D$17,IF(ID8&lt;=Condition!$F$18,Condition!$D$18,IF(ID8&gt;Condition!$E$19,Condition!$D$19,"")))))</f>
        <v>0</v>
      </c>
      <c r="IE51" s="85">
        <f>IF(IE8&lt;=Condition!$E$16,0,IF(IE8&lt;=Condition!$F$16,Condition!$D$16,IF(IE8&lt;=Condition!$F$17,Condition!$D$17,IF(IE8&lt;=Condition!$F$18,Condition!$D$18,IF(IE8&gt;Condition!$E$19,Condition!$D$19,"")))))</f>
        <v>0</v>
      </c>
      <c r="IF51" s="85">
        <f>IF(IF8&lt;=Condition!$E$16,0,IF(IF8&lt;=Condition!$F$16,Condition!$D$16,IF(IF8&lt;=Condition!$F$17,Condition!$D$17,IF(IF8&lt;=Condition!$F$18,Condition!$D$18,IF(IF8&gt;Condition!$E$19,Condition!$D$19,"")))))</f>
        <v>0</v>
      </c>
      <c r="IG51" s="85">
        <f>IF(IG8&lt;=Condition!$E$16,0,IF(IG8&lt;=Condition!$F$16,Condition!$D$16,IF(IG8&lt;=Condition!$F$17,Condition!$D$17,IF(IG8&lt;=Condition!$F$18,Condition!$D$18,IF(IG8&gt;Condition!$E$19,Condition!$D$19,"")))))</f>
        <v>0</v>
      </c>
      <c r="IH51" s="85">
        <f>IF(IH8&lt;=Condition!$E$16,0,IF(IH8&lt;=Condition!$F$16,Condition!$D$16,IF(IH8&lt;=Condition!$F$17,Condition!$D$17,IF(IH8&lt;=Condition!$F$18,Condition!$D$18,IF(IH8&gt;Condition!$E$19,Condition!$D$19,"")))))</f>
        <v>0</v>
      </c>
      <c r="II51" s="85">
        <f>IF(II8&lt;=Condition!$E$16,0,IF(II8&lt;=Condition!$F$16,Condition!$D$16,IF(II8&lt;=Condition!$F$17,Condition!$D$17,IF(II8&lt;=Condition!$F$18,Condition!$D$18,IF(II8&gt;Condition!$E$19,Condition!$D$19,"")))))</f>
        <v>0</v>
      </c>
      <c r="IJ51" s="85">
        <f>IF(IJ8&lt;=Condition!$E$16,0,IF(IJ8&lt;=Condition!$F$16,Condition!$D$16,IF(IJ8&lt;=Condition!$F$17,Condition!$D$17,IF(IJ8&lt;=Condition!$F$18,Condition!$D$18,IF(IJ8&gt;Condition!$E$19,Condition!$D$19,"")))))</f>
        <v>0</v>
      </c>
      <c r="IK51" s="85">
        <f>IF(IK8&lt;=Condition!$E$16,0,IF(IK8&lt;=Condition!$F$16,Condition!$D$16,IF(IK8&lt;=Condition!$F$17,Condition!$D$17,IF(IK8&lt;=Condition!$F$18,Condition!$D$18,IF(IK8&gt;Condition!$E$19,Condition!$D$19,"")))))</f>
        <v>0</v>
      </c>
      <c r="IL51" s="85">
        <f>IF(IL8&lt;=Condition!$E$16,0,IF(IL8&lt;=Condition!$F$16,Condition!$D$16,IF(IL8&lt;=Condition!$F$17,Condition!$D$17,IF(IL8&lt;=Condition!$F$18,Condition!$D$18,IF(IL8&gt;Condition!$E$19,Condition!$D$19,"")))))</f>
        <v>0</v>
      </c>
      <c r="IM51" s="85">
        <f>IF(IM8&lt;=Condition!$E$16,0,IF(IM8&lt;=Condition!$F$16,Condition!$D$16,IF(IM8&lt;=Condition!$F$17,Condition!$D$17,IF(IM8&lt;=Condition!$F$18,Condition!$D$18,IF(IM8&gt;Condition!$E$19,Condition!$D$19,"")))))</f>
        <v>0</v>
      </c>
      <c r="IN51" s="85">
        <f>IF(IN8&lt;=Condition!$E$16,0,IF(IN8&lt;=Condition!$F$16,Condition!$D$16,IF(IN8&lt;=Condition!$F$17,Condition!$D$17,IF(IN8&lt;=Condition!$F$18,Condition!$D$18,IF(IN8&gt;Condition!$E$19,Condition!$D$19,"")))))</f>
        <v>0</v>
      </c>
      <c r="IO51" s="85">
        <f>IF(IO8&lt;=Condition!$E$16,0,IF(IO8&lt;=Condition!$F$16,Condition!$D$16,IF(IO8&lt;=Condition!$F$17,Condition!$D$17,IF(IO8&lt;=Condition!$F$18,Condition!$D$18,IF(IO8&gt;Condition!$E$19,Condition!$D$19,"")))))</f>
        <v>0</v>
      </c>
      <c r="IP51" s="85">
        <f>IF(IP8&lt;=Condition!$E$16,0,IF(IP8&lt;=Condition!$F$16,Condition!$D$16,IF(IP8&lt;=Condition!$F$17,Condition!$D$17,IF(IP8&lt;=Condition!$F$18,Condition!$D$18,IF(IP8&gt;Condition!$E$19,Condition!$D$19,"")))))</f>
        <v>0</v>
      </c>
      <c r="IQ51" s="85">
        <f>IF(IQ8&lt;=Condition!$E$16,0,IF(IQ8&lt;=Condition!$F$16,Condition!$D$16,IF(IQ8&lt;=Condition!$F$17,Condition!$D$17,IF(IQ8&lt;=Condition!$F$18,Condition!$D$18,IF(IQ8&gt;Condition!$E$19,Condition!$D$19,"")))))</f>
        <v>0</v>
      </c>
      <c r="IR51" s="85">
        <f>IF(IR8&lt;=Condition!$E$16,0,IF(IR8&lt;=Condition!$F$16,Condition!$D$16,IF(IR8&lt;=Condition!$F$17,Condition!$D$17,IF(IR8&lt;=Condition!$F$18,Condition!$D$18,IF(IR8&gt;Condition!$E$19,Condition!$D$19,"")))))</f>
        <v>0</v>
      </c>
      <c r="IS51" s="85">
        <f>IF(IS8&lt;=Condition!$E$16,0,IF(IS8&lt;=Condition!$F$16,Condition!$D$16,IF(IS8&lt;=Condition!$F$17,Condition!$D$17,IF(IS8&lt;=Condition!$F$18,Condition!$D$18,IF(IS8&gt;Condition!$E$19,Condition!$D$19,"")))))</f>
        <v>0</v>
      </c>
      <c r="IT51" s="85">
        <f>IF(IT8&lt;=Condition!$E$16,0,IF(IT8&lt;=Condition!$F$16,Condition!$D$16,IF(IT8&lt;=Condition!$F$17,Condition!$D$17,IF(IT8&lt;=Condition!$F$18,Condition!$D$18,IF(IT8&gt;Condition!$E$19,Condition!$D$19,"")))))</f>
        <v>0</v>
      </c>
      <c r="IU51" s="85">
        <f>IF(IU8&lt;=Condition!$E$16,0,IF(IU8&lt;=Condition!$F$16,Condition!$D$16,IF(IU8&lt;=Condition!$F$17,Condition!$D$17,IF(IU8&lt;=Condition!$F$18,Condition!$D$18,IF(IU8&gt;Condition!$E$19,Condition!$D$19,"")))))</f>
        <v>0</v>
      </c>
      <c r="IV51" s="85">
        <f>IF(IV8&lt;=Condition!$E$16,0,IF(IV8&lt;=Condition!$F$16,Condition!$D$16,IF(IV8&lt;=Condition!$F$17,Condition!$D$17,IF(IV8&lt;=Condition!$F$18,Condition!$D$18,IF(IV8&gt;Condition!$E$19,Condition!$D$19,"")))))</f>
        <v>0</v>
      </c>
      <c r="IW51" s="85">
        <f>IF(IW8&lt;=Condition!$E$16,0,IF(IW8&lt;=Condition!$F$16,Condition!$D$16,IF(IW8&lt;=Condition!$F$17,Condition!$D$17,IF(IW8&lt;=Condition!$F$18,Condition!$D$18,IF(IW8&gt;Condition!$E$19,Condition!$D$19,"")))))</f>
        <v>0</v>
      </c>
      <c r="IX51" s="85">
        <f>IF(IX8&lt;=Condition!$E$16,0,IF(IX8&lt;=Condition!$F$16,Condition!$D$16,IF(IX8&lt;=Condition!$F$17,Condition!$D$17,IF(IX8&lt;=Condition!$F$18,Condition!$D$18,IF(IX8&gt;Condition!$E$19,Condition!$D$19,"")))))</f>
        <v>0</v>
      </c>
      <c r="IY51" s="85">
        <f>IF(IY8&lt;=Condition!$E$16,0,IF(IY8&lt;=Condition!$F$16,Condition!$D$16,IF(IY8&lt;=Condition!$F$17,Condition!$D$17,IF(IY8&lt;=Condition!$F$18,Condition!$D$18,IF(IY8&gt;Condition!$E$19,Condition!$D$19,"")))))</f>
        <v>0</v>
      </c>
      <c r="IZ51" s="85">
        <f>IF(IZ8&lt;=Condition!$E$16,0,IF(IZ8&lt;=Condition!$F$16,Condition!$D$16,IF(IZ8&lt;=Condition!$F$17,Condition!$D$17,IF(IZ8&lt;=Condition!$F$18,Condition!$D$18,IF(IZ8&gt;Condition!$E$19,Condition!$D$19,"")))))</f>
        <v>0</v>
      </c>
      <c r="JA51" s="85">
        <f>IF(JA8&lt;=Condition!$E$16,0,IF(JA8&lt;=Condition!$F$16,Condition!$D$16,IF(JA8&lt;=Condition!$F$17,Condition!$D$17,IF(JA8&lt;=Condition!$F$18,Condition!$D$18,IF(JA8&gt;Condition!$E$19,Condition!$D$19,"")))))</f>
        <v>0</v>
      </c>
      <c r="JB51" s="85">
        <f>IF(JB8&lt;=Condition!$E$16,0,IF(JB8&lt;=Condition!$F$16,Condition!$D$16,IF(JB8&lt;=Condition!$F$17,Condition!$D$17,IF(JB8&lt;=Condition!$F$18,Condition!$D$18,IF(JB8&gt;Condition!$E$19,Condition!$D$19,"")))))</f>
        <v>0</v>
      </c>
      <c r="JC51" s="85">
        <f>IF(JC8&lt;=Condition!$E$16,0,IF(JC8&lt;=Condition!$F$16,Condition!$D$16,IF(JC8&lt;=Condition!$F$17,Condition!$D$17,IF(JC8&lt;=Condition!$F$18,Condition!$D$18,IF(JC8&gt;Condition!$E$19,Condition!$D$19,"")))))</f>
        <v>0</v>
      </c>
      <c r="JD51" s="85">
        <f>IF(JD8&lt;=Condition!$E$16,0,IF(JD8&lt;=Condition!$F$16,Condition!$D$16,IF(JD8&lt;=Condition!$F$17,Condition!$D$17,IF(JD8&lt;=Condition!$F$18,Condition!$D$18,IF(JD8&gt;Condition!$E$19,Condition!$D$19,"")))))</f>
        <v>0</v>
      </c>
      <c r="JE51" s="85">
        <f>IF(JE8&lt;=Condition!$E$16,0,IF(JE8&lt;=Condition!$F$16,Condition!$D$16,IF(JE8&lt;=Condition!$F$17,Condition!$D$17,IF(JE8&lt;=Condition!$F$18,Condition!$D$18,IF(JE8&gt;Condition!$E$19,Condition!$D$19,"")))))</f>
        <v>0</v>
      </c>
      <c r="JF51" s="85">
        <f>IF(JF8&lt;=Condition!$E$16,0,IF(JF8&lt;=Condition!$F$16,Condition!$D$16,IF(JF8&lt;=Condition!$F$17,Condition!$D$17,IF(JF8&lt;=Condition!$F$18,Condition!$D$18,IF(JF8&gt;Condition!$E$19,Condition!$D$19,"")))))</f>
        <v>0</v>
      </c>
      <c r="JG51" s="85">
        <f>IF(JG8&lt;=Condition!$E$16,0,IF(JG8&lt;=Condition!$F$16,Condition!$D$16,IF(JG8&lt;=Condition!$F$17,Condition!$D$17,IF(JG8&lt;=Condition!$F$18,Condition!$D$18,IF(JG8&gt;Condition!$E$19,Condition!$D$19,"")))))</f>
        <v>0</v>
      </c>
      <c r="JH51" s="85">
        <f>IF(JH8&lt;=Condition!$E$16,0,IF(JH8&lt;=Condition!$F$16,Condition!$D$16,IF(JH8&lt;=Condition!$F$17,Condition!$D$17,IF(JH8&lt;=Condition!$F$18,Condition!$D$18,IF(JH8&gt;Condition!$E$19,Condition!$D$19,"")))))</f>
        <v>0</v>
      </c>
      <c r="JI51" s="85">
        <f>IF(JI8&lt;=Condition!$E$16,0,IF(JI8&lt;=Condition!$F$16,Condition!$D$16,IF(JI8&lt;=Condition!$F$17,Condition!$D$17,IF(JI8&lt;=Condition!$F$18,Condition!$D$18,IF(JI8&gt;Condition!$E$19,Condition!$D$19,"")))))</f>
        <v>0</v>
      </c>
      <c r="JJ51" s="85">
        <f>IF(JJ8&lt;=Condition!$E$16,0,IF(JJ8&lt;=Condition!$F$16,Condition!$D$16,IF(JJ8&lt;=Condition!$F$17,Condition!$D$17,IF(JJ8&lt;=Condition!$F$18,Condition!$D$18,IF(JJ8&gt;Condition!$E$19,Condition!$D$19,"")))))</f>
        <v>0</v>
      </c>
      <c r="JK51" s="85">
        <f>IF(JK8&lt;=Condition!$E$16,0,IF(JK8&lt;=Condition!$F$16,Condition!$D$16,IF(JK8&lt;=Condition!$F$17,Condition!$D$17,IF(JK8&lt;=Condition!$F$18,Condition!$D$18,IF(JK8&gt;Condition!$E$19,Condition!$D$19,"")))))</f>
        <v>0</v>
      </c>
      <c r="JL51" s="85">
        <f>IF(JL8&lt;=Condition!$E$16,0,IF(JL8&lt;=Condition!$F$16,Condition!$D$16,IF(JL8&lt;=Condition!$F$17,Condition!$D$17,IF(JL8&lt;=Condition!$F$18,Condition!$D$18,IF(JL8&gt;Condition!$E$19,Condition!$D$19,"")))))</f>
        <v>0</v>
      </c>
      <c r="JM51" s="85">
        <f>IF(JM8&lt;=Condition!$E$16,0,IF(JM8&lt;=Condition!$F$16,Condition!$D$16,IF(JM8&lt;=Condition!$F$17,Condition!$D$17,IF(JM8&lt;=Condition!$F$18,Condition!$D$18,IF(JM8&gt;Condition!$E$19,Condition!$D$19,"")))))</f>
        <v>0</v>
      </c>
      <c r="JN51" s="85">
        <f>IF(JN8&lt;=Condition!$E$16,0,IF(JN8&lt;=Condition!$F$16,Condition!$D$16,IF(JN8&lt;=Condition!$F$17,Condition!$D$17,IF(JN8&lt;=Condition!$F$18,Condition!$D$18,IF(JN8&gt;Condition!$E$19,Condition!$D$19,"")))))</f>
        <v>0</v>
      </c>
      <c r="JO51" s="85">
        <f>IF(JO8&lt;=Condition!$E$16,0,IF(JO8&lt;=Condition!$F$16,Condition!$D$16,IF(JO8&lt;=Condition!$F$17,Condition!$D$17,IF(JO8&lt;=Condition!$F$18,Condition!$D$18,IF(JO8&gt;Condition!$E$19,Condition!$D$19,"")))))</f>
        <v>0</v>
      </c>
      <c r="JP51" s="85">
        <f>IF(JP8&lt;=Condition!$E$16,0,IF(JP8&lt;=Condition!$F$16,Condition!$D$16,IF(JP8&lt;=Condition!$F$17,Condition!$D$17,IF(JP8&lt;=Condition!$F$18,Condition!$D$18,IF(JP8&gt;Condition!$E$19,Condition!$D$19,"")))))</f>
        <v>0</v>
      </c>
      <c r="JQ51" s="85">
        <f>IF(JQ8&lt;=Condition!$E$16,0,IF(JQ8&lt;=Condition!$F$16,Condition!$D$16,IF(JQ8&lt;=Condition!$F$17,Condition!$D$17,IF(JQ8&lt;=Condition!$F$18,Condition!$D$18,IF(JQ8&gt;Condition!$E$19,Condition!$D$19,"")))))</f>
        <v>0</v>
      </c>
      <c r="JR51" s="85">
        <f>IF(JR8&lt;=Condition!$E$16,0,IF(JR8&lt;=Condition!$F$16,Condition!$D$16,IF(JR8&lt;=Condition!$F$17,Condition!$D$17,IF(JR8&lt;=Condition!$F$18,Condition!$D$18,IF(JR8&gt;Condition!$E$19,Condition!$D$19,"")))))</f>
        <v>0</v>
      </c>
      <c r="JS51" s="85">
        <f>IF(JS8&lt;=Condition!$E$16,0,IF(JS8&lt;=Condition!$F$16,Condition!$D$16,IF(JS8&lt;=Condition!$F$17,Condition!$D$17,IF(JS8&lt;=Condition!$F$18,Condition!$D$18,IF(JS8&gt;Condition!$E$19,Condition!$D$19,"")))))</f>
        <v>0</v>
      </c>
      <c r="JT51" s="85">
        <f>IF(JT8&lt;=Condition!$E$16,0,IF(JT8&lt;=Condition!$F$16,Condition!$D$16,IF(JT8&lt;=Condition!$F$17,Condition!$D$17,IF(JT8&lt;=Condition!$F$18,Condition!$D$18,IF(JT8&gt;Condition!$E$19,Condition!$D$19,"")))))</f>
        <v>0</v>
      </c>
      <c r="JU51" s="85">
        <f>IF(JU8&lt;=Condition!$E$16,0,IF(JU8&lt;=Condition!$F$16,Condition!$D$16,IF(JU8&lt;=Condition!$F$17,Condition!$D$17,IF(JU8&lt;=Condition!$F$18,Condition!$D$18,IF(JU8&gt;Condition!$E$19,Condition!$D$19,"")))))</f>
        <v>0</v>
      </c>
      <c r="JV51" s="85">
        <f>IF(JV8&lt;=Condition!$E$16,0,IF(JV8&lt;=Condition!$F$16,Condition!$D$16,IF(JV8&lt;=Condition!$F$17,Condition!$D$17,IF(JV8&lt;=Condition!$F$18,Condition!$D$18,IF(JV8&gt;Condition!$E$19,Condition!$D$19,"")))))</f>
        <v>0</v>
      </c>
      <c r="JW51" s="85">
        <f>IF(JW8&lt;=Condition!$E$16,0,IF(JW8&lt;=Condition!$F$16,Condition!$D$16,IF(JW8&lt;=Condition!$F$17,Condition!$D$17,IF(JW8&lt;=Condition!$F$18,Condition!$D$18,IF(JW8&gt;Condition!$E$19,Condition!$D$19,"")))))</f>
        <v>0</v>
      </c>
      <c r="JX51" s="85">
        <f>IF(JX8&lt;=Condition!$E$16,0,IF(JX8&lt;=Condition!$F$16,Condition!$D$16,IF(JX8&lt;=Condition!$F$17,Condition!$D$17,IF(JX8&lt;=Condition!$F$18,Condition!$D$18,IF(JX8&gt;Condition!$E$19,Condition!$D$19,"")))))</f>
        <v>0</v>
      </c>
      <c r="JY51" s="85">
        <f>IF(JY8&lt;=Condition!$E$16,0,IF(JY8&lt;=Condition!$F$16,Condition!$D$16,IF(JY8&lt;=Condition!$F$17,Condition!$D$17,IF(JY8&lt;=Condition!$F$18,Condition!$D$18,IF(JY8&gt;Condition!$E$19,Condition!$D$19,"")))))</f>
        <v>0</v>
      </c>
      <c r="JZ51" s="85">
        <f>IF(JZ8&lt;=Condition!$E$16,0,IF(JZ8&lt;=Condition!$F$16,Condition!$D$16,IF(JZ8&lt;=Condition!$F$17,Condition!$D$17,IF(JZ8&lt;=Condition!$F$18,Condition!$D$18,IF(JZ8&gt;Condition!$E$19,Condition!$D$19,"")))))</f>
        <v>0</v>
      </c>
      <c r="KA51" s="85">
        <f>IF(KA8&lt;=Condition!$E$16,0,IF(KA8&lt;=Condition!$F$16,Condition!$D$16,IF(KA8&lt;=Condition!$F$17,Condition!$D$17,IF(KA8&lt;=Condition!$F$18,Condition!$D$18,IF(KA8&gt;Condition!$E$19,Condition!$D$19,"")))))</f>
        <v>0</v>
      </c>
      <c r="KB51" s="85">
        <f>IF(KB8&lt;=Condition!$E$16,0,IF(KB8&lt;=Condition!$F$16,Condition!$D$16,IF(KB8&lt;=Condition!$F$17,Condition!$D$17,IF(KB8&lt;=Condition!$F$18,Condition!$D$18,IF(KB8&gt;Condition!$E$19,Condition!$D$19,"")))))</f>
        <v>0</v>
      </c>
      <c r="KC51" s="85">
        <f>IF(KC8&lt;=Condition!$E$16,0,IF(KC8&lt;=Condition!$F$16,Condition!$D$16,IF(KC8&lt;=Condition!$F$17,Condition!$D$17,IF(KC8&lt;=Condition!$F$18,Condition!$D$18,IF(KC8&gt;Condition!$E$19,Condition!$D$19,"")))))</f>
        <v>0</v>
      </c>
      <c r="KD51" s="85">
        <f>IF(KD8&lt;=Condition!$E$16,0,IF(KD8&lt;=Condition!$F$16,Condition!$D$16,IF(KD8&lt;=Condition!$F$17,Condition!$D$17,IF(KD8&lt;=Condition!$F$18,Condition!$D$18,IF(KD8&gt;Condition!$E$19,Condition!$D$19,"")))))</f>
        <v>0</v>
      </c>
      <c r="KE51" s="85">
        <f>IF(KE8&lt;=Condition!$E$16,0,IF(KE8&lt;=Condition!$F$16,Condition!$D$16,IF(KE8&lt;=Condition!$F$17,Condition!$D$17,IF(KE8&lt;=Condition!$F$18,Condition!$D$18,IF(KE8&gt;Condition!$E$19,Condition!$D$19,"")))))</f>
        <v>0</v>
      </c>
      <c r="KF51" s="85">
        <f>IF(KF8&lt;=Condition!$E$16,0,IF(KF8&lt;=Condition!$F$16,Condition!$D$16,IF(KF8&lt;=Condition!$F$17,Condition!$D$17,IF(KF8&lt;=Condition!$F$18,Condition!$D$18,IF(KF8&gt;Condition!$E$19,Condition!$D$19,"")))))</f>
        <v>0</v>
      </c>
      <c r="KG51" s="85">
        <f>IF(KG8&lt;=Condition!$E$16,0,IF(KG8&lt;=Condition!$F$16,Condition!$D$16,IF(KG8&lt;=Condition!$F$17,Condition!$D$17,IF(KG8&lt;=Condition!$F$18,Condition!$D$18,IF(KG8&gt;Condition!$E$19,Condition!$D$19,"")))))</f>
        <v>0</v>
      </c>
      <c r="KH51" s="85">
        <f>IF(KH8&lt;=Condition!$E$16,0,IF(KH8&lt;=Condition!$F$16,Condition!$D$16,IF(KH8&lt;=Condition!$F$17,Condition!$D$17,IF(KH8&lt;=Condition!$F$18,Condition!$D$18,IF(KH8&gt;Condition!$E$19,Condition!$D$19,"")))))</f>
        <v>0</v>
      </c>
      <c r="KI51" s="85">
        <f>IF(KI8&lt;=Condition!$E$16,0,IF(KI8&lt;=Condition!$F$16,Condition!$D$16,IF(KI8&lt;=Condition!$F$17,Condition!$D$17,IF(KI8&lt;=Condition!$F$18,Condition!$D$18,IF(KI8&gt;Condition!$E$19,Condition!$D$19,"")))))</f>
        <v>0</v>
      </c>
    </row>
    <row r="52" spans="2:295" x14ac:dyDescent="0.25">
      <c r="B52" s="15">
        <f t="shared" ref="B52:E52" si="7">B9</f>
        <v>4</v>
      </c>
      <c r="C52" s="25" t="str">
        <f t="shared" si="7"/>
        <v>DSL-DHK</v>
      </c>
      <c r="D52" s="25" t="str">
        <f t="shared" si="7"/>
        <v>Md. Nazmul Hasan Titu</v>
      </c>
      <c r="E52" s="26">
        <f t="shared" si="7"/>
        <v>2913</v>
      </c>
      <c r="F52" s="112">
        <f t="shared" si="4"/>
        <v>5300</v>
      </c>
      <c r="G52" s="112">
        <f t="shared" si="5"/>
        <v>0</v>
      </c>
      <c r="H52" s="85">
        <f>IF(H9&lt;=Condition!$E$16,0,IF(H9&lt;=Condition!$F$16,Condition!$D$16,IF(H9&lt;=Condition!$F$17,Condition!$D$17,IF(H9&lt;=Condition!$F$18,Condition!$D$18,IF(H9&gt;Condition!$E$19,Condition!$D$19,"")))))</f>
        <v>150</v>
      </c>
      <c r="I52" s="85">
        <f>IF(I9&lt;=Condition!$E$16,0,IF(I9&lt;=Condition!$F$16,Condition!$D$16,IF(I9&lt;=Condition!$F$17,Condition!$D$17,IF(I9&lt;=Condition!$F$18,Condition!$D$18,IF(I9&gt;Condition!$E$19,Condition!$D$19,"")))))</f>
        <v>0</v>
      </c>
      <c r="J52" s="85">
        <f>IF(J9&lt;=Condition!$E$16,0,IF(J9&lt;=Condition!$F$16,Condition!$D$16,IF(J9&lt;=Condition!$F$17,Condition!$D$17,IF(J9&lt;=Condition!$F$18,Condition!$D$18,IF(J9&gt;Condition!$E$19,Condition!$D$19,"")))))</f>
        <v>300</v>
      </c>
      <c r="K52" s="85">
        <f>IF(K9&lt;=Condition!$E$16,0,IF(K9&lt;=Condition!$F$16,Condition!$D$16,IF(K9&lt;=Condition!$F$17,Condition!$D$17,IF(K9&lt;=Condition!$F$18,Condition!$D$18,IF(K9&gt;Condition!$E$19,Condition!$D$19,"")))))</f>
        <v>0</v>
      </c>
      <c r="L52" s="85">
        <f>IF(L9&lt;=Condition!$E$16,0,IF(L9&lt;=Condition!$F$16,Condition!$D$16,IF(L9&lt;=Condition!$F$17,Condition!$D$17,IF(L9&lt;=Condition!$F$18,Condition!$D$18,IF(L9&gt;Condition!$E$19,Condition!$D$19,"")))))</f>
        <v>150</v>
      </c>
      <c r="M52" s="85">
        <f>IF(M9&lt;=Condition!$E$16,0,IF(M9&lt;=Condition!$F$16,Condition!$D$16,IF(M9&lt;=Condition!$F$17,Condition!$D$17,IF(M9&lt;=Condition!$F$18,Condition!$D$18,IF(M9&gt;Condition!$E$19,Condition!$D$19,"")))))</f>
        <v>0</v>
      </c>
      <c r="N52" s="85">
        <f>IF(N9&lt;=Condition!$E$16,0,IF(N9&lt;=Condition!$F$16,Condition!$D$16,IF(N9&lt;=Condition!$F$17,Condition!$D$17,IF(N9&lt;=Condition!$F$18,Condition!$D$18,IF(N9&gt;Condition!$E$19,Condition!$D$19,"")))))</f>
        <v>300</v>
      </c>
      <c r="O52" s="85">
        <f>IF(O9&lt;=Condition!$E$16,0,IF(O9&lt;=Condition!$F$16,Condition!$D$16,IF(O9&lt;=Condition!$F$17,Condition!$D$17,IF(O9&lt;=Condition!$F$18,Condition!$D$18,IF(O9&gt;Condition!$E$19,Condition!$D$19,"")))))</f>
        <v>0</v>
      </c>
      <c r="P52" s="85">
        <f>IF(P9&lt;=Condition!$E$16,0,IF(P9&lt;=Condition!$F$16,Condition!$D$16,IF(P9&lt;=Condition!$F$17,Condition!$D$17,IF(P9&lt;=Condition!$F$18,Condition!$D$18,IF(P9&gt;Condition!$E$19,Condition!$D$19,"")))))</f>
        <v>400</v>
      </c>
      <c r="Q52" s="85">
        <f>IF(Q9&lt;=Condition!$E$16,0,IF(Q9&lt;=Condition!$F$16,Condition!$D$16,IF(Q9&lt;=Condition!$F$17,Condition!$D$17,IF(Q9&lt;=Condition!$F$18,Condition!$D$18,IF(Q9&gt;Condition!$E$19,Condition!$D$19,"")))))</f>
        <v>0</v>
      </c>
      <c r="R52" s="85">
        <f>IF(R9&lt;=Condition!$E$16,0,IF(R9&lt;=Condition!$F$16,Condition!$D$16,IF(R9&lt;=Condition!$F$17,Condition!$D$17,IF(R9&lt;=Condition!$F$18,Condition!$D$18,IF(R9&gt;Condition!$E$19,Condition!$D$19,"")))))</f>
        <v>400</v>
      </c>
      <c r="S52" s="85">
        <f>IF(S9&lt;=Condition!$E$16,0,IF(S9&lt;=Condition!$F$16,Condition!$D$16,IF(S9&lt;=Condition!$F$17,Condition!$D$17,IF(S9&lt;=Condition!$F$18,Condition!$D$18,IF(S9&gt;Condition!$E$19,Condition!$D$19,"")))))</f>
        <v>0</v>
      </c>
      <c r="T52" s="85">
        <f>IF(T9&lt;=Condition!$E$16,0,IF(T9&lt;=Condition!$F$16,Condition!$D$16,IF(T9&lt;=Condition!$F$17,Condition!$D$17,IF(T9&lt;=Condition!$F$18,Condition!$D$18,IF(T9&gt;Condition!$E$19,Condition!$D$19,"")))))</f>
        <v>500</v>
      </c>
      <c r="U52" s="85">
        <f>IF(U9&lt;=Condition!$E$16,0,IF(U9&lt;=Condition!$F$16,Condition!$D$16,IF(U9&lt;=Condition!$F$17,Condition!$D$17,IF(U9&lt;=Condition!$F$18,Condition!$D$18,IF(U9&gt;Condition!$E$19,Condition!$D$19,"")))))</f>
        <v>0</v>
      </c>
      <c r="V52" s="85">
        <f>IF(V9&lt;=Condition!$E$16,0,IF(V9&lt;=Condition!$F$16,Condition!$D$16,IF(V9&lt;=Condition!$F$17,Condition!$D$17,IF(V9&lt;=Condition!$F$18,Condition!$D$18,IF(V9&gt;Condition!$E$19,Condition!$D$19,"")))))</f>
        <v>500</v>
      </c>
      <c r="W52" s="85">
        <f>IF(W9&lt;=Condition!$E$16,0,IF(W9&lt;=Condition!$F$16,Condition!$D$16,IF(W9&lt;=Condition!$F$17,Condition!$D$17,IF(W9&lt;=Condition!$F$18,Condition!$D$18,IF(W9&gt;Condition!$E$19,Condition!$D$19,"")))))</f>
        <v>0</v>
      </c>
      <c r="X52" s="85">
        <f>IF(X9&lt;=Condition!$E$16,0,IF(X9&lt;=Condition!$F$16,Condition!$D$16,IF(X9&lt;=Condition!$F$17,Condition!$D$17,IF(X9&lt;=Condition!$F$18,Condition!$D$18,IF(X9&gt;Condition!$E$19,Condition!$D$19,"")))))</f>
        <v>400</v>
      </c>
      <c r="Y52" s="85">
        <f>IF(Y9&lt;=Condition!$E$16,0,IF(Y9&lt;=Condition!$F$16,Condition!$D$16,IF(Y9&lt;=Condition!$F$17,Condition!$D$17,IF(Y9&lt;=Condition!$F$18,Condition!$D$18,IF(Y9&gt;Condition!$E$19,Condition!$D$19,"")))))</f>
        <v>0</v>
      </c>
      <c r="Z52" s="85">
        <f>IF(Z9&lt;=Condition!$E$16,0,IF(Z9&lt;=Condition!$F$16,Condition!$D$16,IF(Z9&lt;=Condition!$F$17,Condition!$D$17,IF(Z9&lt;=Condition!$F$18,Condition!$D$18,IF(Z9&gt;Condition!$E$19,Condition!$D$19,"")))))</f>
        <v>400</v>
      </c>
      <c r="AA52" s="85">
        <f>IF(AA9&lt;=Condition!$E$16,0,IF(AA9&lt;=Condition!$F$16,Condition!$D$16,IF(AA9&lt;=Condition!$F$17,Condition!$D$17,IF(AA9&lt;=Condition!$F$18,Condition!$D$18,IF(AA9&gt;Condition!$E$19,Condition!$D$19,"")))))</f>
        <v>0</v>
      </c>
      <c r="AB52" s="85">
        <f>IF(AB9&lt;=Condition!$E$16,0,IF(AB9&lt;=Condition!$F$16,Condition!$D$16,IF(AB9&lt;=Condition!$F$17,Condition!$D$17,IF(AB9&lt;=Condition!$F$18,Condition!$D$18,IF(AB9&gt;Condition!$E$19,Condition!$D$19,"")))))</f>
        <v>300</v>
      </c>
      <c r="AC52" s="85">
        <f>IF(AC9&lt;=Condition!$E$16,0,IF(AC9&lt;=Condition!$F$16,Condition!$D$16,IF(AC9&lt;=Condition!$F$17,Condition!$D$17,IF(AC9&lt;=Condition!$F$18,Condition!$D$18,IF(AC9&gt;Condition!$E$19,Condition!$D$19,"")))))</f>
        <v>0</v>
      </c>
      <c r="AD52" s="85">
        <f>IF(AD9&lt;=Condition!$E$16,0,IF(AD9&lt;=Condition!$F$16,Condition!$D$16,IF(AD9&lt;=Condition!$F$17,Condition!$D$17,IF(AD9&lt;=Condition!$F$18,Condition!$D$18,IF(AD9&gt;Condition!$E$19,Condition!$D$19,"")))))</f>
        <v>300</v>
      </c>
      <c r="AE52" s="85">
        <f>IF(AE9&lt;=Condition!$E$16,0,IF(AE9&lt;=Condition!$F$16,Condition!$D$16,IF(AE9&lt;=Condition!$F$17,Condition!$D$17,IF(AE9&lt;=Condition!$F$18,Condition!$D$18,IF(AE9&gt;Condition!$E$19,Condition!$D$19,"")))))</f>
        <v>0</v>
      </c>
      <c r="AF52" s="85">
        <f>IF(AF9&lt;=Condition!$E$16,0,IF(AF9&lt;=Condition!$F$16,Condition!$D$16,IF(AF9&lt;=Condition!$F$17,Condition!$D$17,IF(AF9&lt;=Condition!$F$18,Condition!$D$18,IF(AF9&gt;Condition!$E$19,Condition!$D$19,"")))))</f>
        <v>300</v>
      </c>
      <c r="AG52" s="85">
        <f>IF(AG9&lt;=Condition!$E$16,0,IF(AG9&lt;=Condition!$F$16,Condition!$D$16,IF(AG9&lt;=Condition!$F$17,Condition!$D$17,IF(AG9&lt;=Condition!$F$18,Condition!$D$18,IF(AG9&gt;Condition!$E$19,Condition!$D$19,"")))))</f>
        <v>0</v>
      </c>
      <c r="AH52" s="85">
        <f>IF(AH9&lt;=Condition!$E$16,0,IF(AH9&lt;=Condition!$F$16,Condition!$D$16,IF(AH9&lt;=Condition!$F$17,Condition!$D$17,IF(AH9&lt;=Condition!$F$18,Condition!$D$18,IF(AH9&gt;Condition!$E$19,Condition!$D$19,"")))))</f>
        <v>300</v>
      </c>
      <c r="AI52" s="85">
        <f>IF(AI9&lt;=Condition!$E$16,0,IF(AI9&lt;=Condition!$F$16,Condition!$D$16,IF(AI9&lt;=Condition!$F$17,Condition!$D$17,IF(AI9&lt;=Condition!$F$18,Condition!$D$18,IF(AI9&gt;Condition!$E$19,Condition!$D$19,"")))))</f>
        <v>0</v>
      </c>
      <c r="AJ52" s="85">
        <f>IF(AJ9&lt;=Condition!$E$16,0,IF(AJ9&lt;=Condition!$F$16,Condition!$D$16,IF(AJ9&lt;=Condition!$F$17,Condition!$D$17,IF(AJ9&lt;=Condition!$F$18,Condition!$D$18,IF(AJ9&gt;Condition!$E$19,Condition!$D$19,"")))))</f>
        <v>300</v>
      </c>
      <c r="AK52" s="85">
        <f>IF(AK9&lt;=Condition!$E$16,0,IF(AK9&lt;=Condition!$F$16,Condition!$D$16,IF(AK9&lt;=Condition!$F$17,Condition!$D$17,IF(AK9&lt;=Condition!$F$18,Condition!$D$18,IF(AK9&gt;Condition!$E$19,Condition!$D$19,"")))))</f>
        <v>0</v>
      </c>
      <c r="AL52" s="85">
        <f>IF(AL9&lt;=Condition!$E$16,0,IF(AL9&lt;=Condition!$F$16,Condition!$D$16,IF(AL9&lt;=Condition!$F$17,Condition!$D$17,IF(AL9&lt;=Condition!$F$18,Condition!$D$18,IF(AL9&gt;Condition!$E$19,Condition!$D$19,"")))))</f>
        <v>300</v>
      </c>
      <c r="AM52" s="85">
        <f>IF(AM9&lt;=Condition!$E$16,0,IF(AM9&lt;=Condition!$F$16,Condition!$D$16,IF(AM9&lt;=Condition!$F$17,Condition!$D$17,IF(AM9&lt;=Condition!$F$18,Condition!$D$18,IF(AM9&gt;Condition!$E$19,Condition!$D$19,"")))))</f>
        <v>0</v>
      </c>
      <c r="AN52" s="85">
        <f>IF(AN9&lt;=Condition!$E$16,0,IF(AN9&lt;=Condition!$F$16,Condition!$D$16,IF(AN9&lt;=Condition!$F$17,Condition!$D$17,IF(AN9&lt;=Condition!$F$18,Condition!$D$18,IF(AN9&gt;Condition!$E$19,Condition!$D$19,"")))))</f>
        <v>0</v>
      </c>
      <c r="AO52" s="85">
        <f>IF(AO9&lt;=Condition!$E$16,0,IF(AO9&lt;=Condition!$F$16,Condition!$D$16,IF(AO9&lt;=Condition!$F$17,Condition!$D$17,IF(AO9&lt;=Condition!$F$18,Condition!$D$18,IF(AO9&gt;Condition!$E$19,Condition!$D$19,"")))))</f>
        <v>0</v>
      </c>
      <c r="AP52" s="85">
        <f>IF(AP9&lt;=Condition!$E$16,0,IF(AP9&lt;=Condition!$F$16,Condition!$D$16,IF(AP9&lt;=Condition!$F$17,Condition!$D$17,IF(AP9&lt;=Condition!$F$18,Condition!$D$18,IF(AP9&gt;Condition!$E$19,Condition!$D$19,"")))))</f>
        <v>0</v>
      </c>
      <c r="AQ52" s="85">
        <f>IF(AQ9&lt;=Condition!$E$16,0,IF(AQ9&lt;=Condition!$F$16,Condition!$D$16,IF(AQ9&lt;=Condition!$F$17,Condition!$D$17,IF(AQ9&lt;=Condition!$F$18,Condition!$D$18,IF(AQ9&gt;Condition!$E$19,Condition!$D$19,"")))))</f>
        <v>0</v>
      </c>
      <c r="AR52" s="85">
        <f>IF(AR9&lt;=Condition!$E$16,0,IF(AR9&lt;=Condition!$F$16,Condition!$D$16,IF(AR9&lt;=Condition!$F$17,Condition!$D$17,IF(AR9&lt;=Condition!$F$18,Condition!$D$18,IF(AR9&gt;Condition!$E$19,Condition!$D$19,"")))))</f>
        <v>0</v>
      </c>
      <c r="AS52" s="85">
        <f>IF(AS9&lt;=Condition!$E$16,0,IF(AS9&lt;=Condition!$F$16,Condition!$D$16,IF(AS9&lt;=Condition!$F$17,Condition!$D$17,IF(AS9&lt;=Condition!$F$18,Condition!$D$18,IF(AS9&gt;Condition!$E$19,Condition!$D$19,"")))))</f>
        <v>0</v>
      </c>
      <c r="AT52" s="85">
        <f>IF(AT9&lt;=Condition!$E$16,0,IF(AT9&lt;=Condition!$F$16,Condition!$D$16,IF(AT9&lt;=Condition!$F$17,Condition!$D$17,IF(AT9&lt;=Condition!$F$18,Condition!$D$18,IF(AT9&gt;Condition!$E$19,Condition!$D$19,"")))))</f>
        <v>0</v>
      </c>
      <c r="AU52" s="85">
        <f>IF(AU9&lt;=Condition!$E$16,0,IF(AU9&lt;=Condition!$F$16,Condition!$D$16,IF(AU9&lt;=Condition!$F$17,Condition!$D$17,IF(AU9&lt;=Condition!$F$18,Condition!$D$18,IF(AU9&gt;Condition!$E$19,Condition!$D$19,"")))))</f>
        <v>0</v>
      </c>
      <c r="AV52" s="85">
        <f>IF(AV9&lt;=Condition!$E$16,0,IF(AV9&lt;=Condition!$F$16,Condition!$D$16,IF(AV9&lt;=Condition!$F$17,Condition!$D$17,IF(AV9&lt;=Condition!$F$18,Condition!$D$18,IF(AV9&gt;Condition!$E$19,Condition!$D$19,"")))))</f>
        <v>0</v>
      </c>
      <c r="AW52" s="85">
        <f>IF(AW9&lt;=Condition!$E$16,0,IF(AW9&lt;=Condition!$F$16,Condition!$D$16,IF(AW9&lt;=Condition!$F$17,Condition!$D$17,IF(AW9&lt;=Condition!$F$18,Condition!$D$18,IF(AW9&gt;Condition!$E$19,Condition!$D$19,"")))))</f>
        <v>0</v>
      </c>
      <c r="AX52" s="85">
        <f>IF(AX9&lt;=Condition!$E$16,0,IF(AX9&lt;=Condition!$F$16,Condition!$D$16,IF(AX9&lt;=Condition!$F$17,Condition!$D$17,IF(AX9&lt;=Condition!$F$18,Condition!$D$18,IF(AX9&gt;Condition!$E$19,Condition!$D$19,"")))))</f>
        <v>0</v>
      </c>
      <c r="AY52" s="85">
        <f>IF(AY9&lt;=Condition!$E$16,0,IF(AY9&lt;=Condition!$F$16,Condition!$D$16,IF(AY9&lt;=Condition!$F$17,Condition!$D$17,IF(AY9&lt;=Condition!$F$18,Condition!$D$18,IF(AY9&gt;Condition!$E$19,Condition!$D$19,"")))))</f>
        <v>0</v>
      </c>
      <c r="AZ52" s="85">
        <f>IF(AZ9&lt;=Condition!$E$16,0,IF(AZ9&lt;=Condition!$F$16,Condition!$D$16,IF(AZ9&lt;=Condition!$F$17,Condition!$D$17,IF(AZ9&lt;=Condition!$F$18,Condition!$D$18,IF(AZ9&gt;Condition!$E$19,Condition!$D$19,"")))))</f>
        <v>0</v>
      </c>
      <c r="BA52" s="85">
        <f>IF(BA9&lt;=Condition!$E$16,0,IF(BA9&lt;=Condition!$F$16,Condition!$D$16,IF(BA9&lt;=Condition!$F$17,Condition!$D$17,IF(BA9&lt;=Condition!$F$18,Condition!$D$18,IF(BA9&gt;Condition!$E$19,Condition!$D$19,"")))))</f>
        <v>0</v>
      </c>
      <c r="BB52" s="85">
        <f>IF(BB9&lt;=Condition!$E$16,0,IF(BB9&lt;=Condition!$F$16,Condition!$D$16,IF(BB9&lt;=Condition!$F$17,Condition!$D$17,IF(BB9&lt;=Condition!$F$18,Condition!$D$18,IF(BB9&gt;Condition!$E$19,Condition!$D$19,"")))))</f>
        <v>0</v>
      </c>
      <c r="BC52" s="85">
        <f>IF(BC9&lt;=Condition!$E$16,0,IF(BC9&lt;=Condition!$F$16,Condition!$D$16,IF(BC9&lt;=Condition!$F$17,Condition!$D$17,IF(BC9&lt;=Condition!$F$18,Condition!$D$18,IF(BC9&gt;Condition!$E$19,Condition!$D$19,"")))))</f>
        <v>0</v>
      </c>
      <c r="BD52" s="85">
        <f>IF(BD9&lt;=Condition!$E$16,0,IF(BD9&lt;=Condition!$F$16,Condition!$D$16,IF(BD9&lt;=Condition!$F$17,Condition!$D$17,IF(BD9&lt;=Condition!$F$18,Condition!$D$18,IF(BD9&gt;Condition!$E$19,Condition!$D$19,"")))))</f>
        <v>0</v>
      </c>
      <c r="BE52" s="85">
        <f>IF(BE9&lt;=Condition!$E$16,0,IF(BE9&lt;=Condition!$F$16,Condition!$D$16,IF(BE9&lt;=Condition!$F$17,Condition!$D$17,IF(BE9&lt;=Condition!$F$18,Condition!$D$18,IF(BE9&gt;Condition!$E$19,Condition!$D$19,"")))))</f>
        <v>0</v>
      </c>
      <c r="BF52" s="85">
        <f>IF(BF9&lt;=Condition!$E$16,0,IF(BF9&lt;=Condition!$F$16,Condition!$D$16,IF(BF9&lt;=Condition!$F$17,Condition!$D$17,IF(BF9&lt;=Condition!$F$18,Condition!$D$18,IF(BF9&gt;Condition!$E$19,Condition!$D$19,"")))))</f>
        <v>0</v>
      </c>
      <c r="BG52" s="85">
        <f>IF(BG9&lt;=Condition!$E$16,0,IF(BG9&lt;=Condition!$F$16,Condition!$D$16,IF(BG9&lt;=Condition!$F$17,Condition!$D$17,IF(BG9&lt;=Condition!$F$18,Condition!$D$18,IF(BG9&gt;Condition!$E$19,Condition!$D$19,"")))))</f>
        <v>0</v>
      </c>
      <c r="BH52" s="85">
        <f>IF(BH9&lt;=Condition!$E$16,0,IF(BH9&lt;=Condition!$F$16,Condition!$D$16,IF(BH9&lt;=Condition!$F$17,Condition!$D$17,IF(BH9&lt;=Condition!$F$18,Condition!$D$18,IF(BH9&gt;Condition!$E$19,Condition!$D$19,"")))))</f>
        <v>0</v>
      </c>
      <c r="BI52" s="85">
        <f>IF(BI9&lt;=Condition!$E$16,0,IF(BI9&lt;=Condition!$F$16,Condition!$D$16,IF(BI9&lt;=Condition!$F$17,Condition!$D$17,IF(BI9&lt;=Condition!$F$18,Condition!$D$18,IF(BI9&gt;Condition!$E$19,Condition!$D$19,"")))))</f>
        <v>0</v>
      </c>
      <c r="BJ52" s="85">
        <f>IF(BJ9&lt;=Condition!$E$16,0,IF(BJ9&lt;=Condition!$F$16,Condition!$D$16,IF(BJ9&lt;=Condition!$F$17,Condition!$D$17,IF(BJ9&lt;=Condition!$F$18,Condition!$D$18,IF(BJ9&gt;Condition!$E$19,Condition!$D$19,"")))))</f>
        <v>0</v>
      </c>
      <c r="BK52" s="85">
        <f>IF(BK9&lt;=Condition!$E$16,0,IF(BK9&lt;=Condition!$F$16,Condition!$D$16,IF(BK9&lt;=Condition!$F$17,Condition!$D$17,IF(BK9&lt;=Condition!$F$18,Condition!$D$18,IF(BK9&gt;Condition!$E$19,Condition!$D$19,"")))))</f>
        <v>0</v>
      </c>
      <c r="BL52" s="85">
        <f>IF(BL9&lt;=Condition!$E$16,0,IF(BL9&lt;=Condition!$F$16,Condition!$D$16,IF(BL9&lt;=Condition!$F$17,Condition!$D$17,IF(BL9&lt;=Condition!$F$18,Condition!$D$18,IF(BL9&gt;Condition!$E$19,Condition!$D$19,"")))))</f>
        <v>0</v>
      </c>
      <c r="BM52" s="85">
        <f>IF(BM9&lt;=Condition!$E$16,0,IF(BM9&lt;=Condition!$F$16,Condition!$D$16,IF(BM9&lt;=Condition!$F$17,Condition!$D$17,IF(BM9&lt;=Condition!$F$18,Condition!$D$18,IF(BM9&gt;Condition!$E$19,Condition!$D$19,"")))))</f>
        <v>0</v>
      </c>
      <c r="BN52" s="85">
        <f>IF(BN9&lt;=Condition!$E$16,0,IF(BN9&lt;=Condition!$F$16,Condition!$D$16,IF(BN9&lt;=Condition!$F$17,Condition!$D$17,IF(BN9&lt;=Condition!$F$18,Condition!$D$18,IF(BN9&gt;Condition!$E$19,Condition!$D$19,"")))))</f>
        <v>0</v>
      </c>
      <c r="BO52" s="85">
        <f>IF(BO9&lt;=Condition!$E$16,0,IF(BO9&lt;=Condition!$F$16,Condition!$D$16,IF(BO9&lt;=Condition!$F$17,Condition!$D$17,IF(BO9&lt;=Condition!$F$18,Condition!$D$18,IF(BO9&gt;Condition!$E$19,Condition!$D$19,"")))))</f>
        <v>0</v>
      </c>
      <c r="BP52" s="85">
        <f>IF(BP9&lt;=Condition!$E$16,0,IF(BP9&lt;=Condition!$F$16,Condition!$D$16,IF(BP9&lt;=Condition!$F$17,Condition!$D$17,IF(BP9&lt;=Condition!$F$18,Condition!$D$18,IF(BP9&gt;Condition!$E$19,Condition!$D$19,"")))))</f>
        <v>0</v>
      </c>
      <c r="BQ52" s="85">
        <f>IF(BQ9&lt;=Condition!$E$16,0,IF(BQ9&lt;=Condition!$F$16,Condition!$D$16,IF(BQ9&lt;=Condition!$F$17,Condition!$D$17,IF(BQ9&lt;=Condition!$F$18,Condition!$D$18,IF(BQ9&gt;Condition!$E$19,Condition!$D$19,"")))))</f>
        <v>0</v>
      </c>
      <c r="BR52" s="85">
        <f>IF(BR9&lt;=Condition!$E$16,0,IF(BR9&lt;=Condition!$F$16,Condition!$D$16,IF(BR9&lt;=Condition!$F$17,Condition!$D$17,IF(BR9&lt;=Condition!$F$18,Condition!$D$18,IF(BR9&gt;Condition!$E$19,Condition!$D$19,"")))))</f>
        <v>0</v>
      </c>
      <c r="BS52" s="85">
        <f>IF(BS9&lt;=Condition!$E$16,0,IF(BS9&lt;=Condition!$F$16,Condition!$D$16,IF(BS9&lt;=Condition!$F$17,Condition!$D$17,IF(BS9&lt;=Condition!$F$18,Condition!$D$18,IF(BS9&gt;Condition!$E$19,Condition!$D$19,"")))))</f>
        <v>0</v>
      </c>
      <c r="BT52" s="85">
        <f>IF(BT9&lt;=Condition!$E$16,0,IF(BT9&lt;=Condition!$F$16,Condition!$D$16,IF(BT9&lt;=Condition!$F$17,Condition!$D$17,IF(BT9&lt;=Condition!$F$18,Condition!$D$18,IF(BT9&gt;Condition!$E$19,Condition!$D$19,"")))))</f>
        <v>0</v>
      </c>
      <c r="BU52" s="85">
        <f>IF(BU9&lt;=Condition!$E$16,0,IF(BU9&lt;=Condition!$F$16,Condition!$D$16,IF(BU9&lt;=Condition!$F$17,Condition!$D$17,IF(BU9&lt;=Condition!$F$18,Condition!$D$18,IF(BU9&gt;Condition!$E$19,Condition!$D$19,"")))))</f>
        <v>0</v>
      </c>
      <c r="BV52" s="85">
        <f>IF(BV9&lt;=Condition!$E$16,0,IF(BV9&lt;=Condition!$F$16,Condition!$D$16,IF(BV9&lt;=Condition!$F$17,Condition!$D$17,IF(BV9&lt;=Condition!$F$18,Condition!$D$18,IF(BV9&gt;Condition!$E$19,Condition!$D$19,"")))))</f>
        <v>0</v>
      </c>
      <c r="BW52" s="85">
        <f>IF(BW9&lt;=Condition!$E$16,0,IF(BW9&lt;=Condition!$F$16,Condition!$D$16,IF(BW9&lt;=Condition!$F$17,Condition!$D$17,IF(BW9&lt;=Condition!$F$18,Condition!$D$18,IF(BW9&gt;Condition!$E$19,Condition!$D$19,"")))))</f>
        <v>0</v>
      </c>
      <c r="BX52" s="85">
        <f>IF(BX9&lt;=Condition!$E$16,0,IF(BX9&lt;=Condition!$F$16,Condition!$D$16,IF(BX9&lt;=Condition!$F$17,Condition!$D$17,IF(BX9&lt;=Condition!$F$18,Condition!$D$18,IF(BX9&gt;Condition!$E$19,Condition!$D$19,"")))))</f>
        <v>0</v>
      </c>
      <c r="BY52" s="85">
        <f>IF(BY9&lt;=Condition!$E$16,0,IF(BY9&lt;=Condition!$F$16,Condition!$D$16,IF(BY9&lt;=Condition!$F$17,Condition!$D$17,IF(BY9&lt;=Condition!$F$18,Condition!$D$18,IF(BY9&gt;Condition!$E$19,Condition!$D$19,"")))))</f>
        <v>0</v>
      </c>
      <c r="BZ52" s="85">
        <f>IF(BZ9&lt;=Condition!$E$16,0,IF(BZ9&lt;=Condition!$F$16,Condition!$D$16,IF(BZ9&lt;=Condition!$F$17,Condition!$D$17,IF(BZ9&lt;=Condition!$F$18,Condition!$D$18,IF(BZ9&gt;Condition!$E$19,Condition!$D$19,"")))))</f>
        <v>0</v>
      </c>
      <c r="CA52" s="85">
        <f>IF(CA9&lt;=Condition!$E$16,0,IF(CA9&lt;=Condition!$F$16,Condition!$D$16,IF(CA9&lt;=Condition!$F$17,Condition!$D$17,IF(CA9&lt;=Condition!$F$18,Condition!$D$18,IF(CA9&gt;Condition!$E$19,Condition!$D$19,"")))))</f>
        <v>0</v>
      </c>
      <c r="CB52" s="85">
        <f>IF(CB9&lt;=Condition!$E$16,0,IF(CB9&lt;=Condition!$F$16,Condition!$D$16,IF(CB9&lt;=Condition!$F$17,Condition!$D$17,IF(CB9&lt;=Condition!$F$18,Condition!$D$18,IF(CB9&gt;Condition!$E$19,Condition!$D$19,"")))))</f>
        <v>0</v>
      </c>
      <c r="CC52" s="85">
        <f>IF(CC9&lt;=Condition!$E$16,0,IF(CC9&lt;=Condition!$F$16,Condition!$D$16,IF(CC9&lt;=Condition!$F$17,Condition!$D$17,IF(CC9&lt;=Condition!$F$18,Condition!$D$18,IF(CC9&gt;Condition!$E$19,Condition!$D$19,"")))))</f>
        <v>0</v>
      </c>
      <c r="CD52" s="85">
        <f>IF(CD9&lt;=Condition!$E$16,0,IF(CD9&lt;=Condition!$F$16,Condition!$D$16,IF(CD9&lt;=Condition!$F$17,Condition!$D$17,IF(CD9&lt;=Condition!$F$18,Condition!$D$18,IF(CD9&gt;Condition!$E$19,Condition!$D$19,"")))))</f>
        <v>0</v>
      </c>
      <c r="CE52" s="85">
        <f>IF(CE9&lt;=Condition!$E$16,0,IF(CE9&lt;=Condition!$F$16,Condition!$D$16,IF(CE9&lt;=Condition!$F$17,Condition!$D$17,IF(CE9&lt;=Condition!$F$18,Condition!$D$18,IF(CE9&gt;Condition!$E$19,Condition!$D$19,"")))))</f>
        <v>0</v>
      </c>
      <c r="CF52" s="85">
        <f>IF(CF9&lt;=Condition!$E$16,0,IF(CF9&lt;=Condition!$F$16,Condition!$D$16,IF(CF9&lt;=Condition!$F$17,Condition!$D$17,IF(CF9&lt;=Condition!$F$18,Condition!$D$18,IF(CF9&gt;Condition!$E$19,Condition!$D$19,"")))))</f>
        <v>0</v>
      </c>
      <c r="CG52" s="85">
        <f>IF(CG9&lt;=Condition!$E$16,0,IF(CG9&lt;=Condition!$F$16,Condition!$D$16,IF(CG9&lt;=Condition!$F$17,Condition!$D$17,IF(CG9&lt;=Condition!$F$18,Condition!$D$18,IF(CG9&gt;Condition!$E$19,Condition!$D$19,"")))))</f>
        <v>0</v>
      </c>
      <c r="CH52" s="85">
        <f>IF(CH9&lt;=Condition!$E$16,0,IF(CH9&lt;=Condition!$F$16,Condition!$D$16,IF(CH9&lt;=Condition!$F$17,Condition!$D$17,IF(CH9&lt;=Condition!$F$18,Condition!$D$18,IF(CH9&gt;Condition!$E$19,Condition!$D$19,"")))))</f>
        <v>0</v>
      </c>
      <c r="CI52" s="85">
        <f>IF(CI9&lt;=Condition!$E$16,0,IF(CI9&lt;=Condition!$F$16,Condition!$D$16,IF(CI9&lt;=Condition!$F$17,Condition!$D$17,IF(CI9&lt;=Condition!$F$18,Condition!$D$18,IF(CI9&gt;Condition!$E$19,Condition!$D$19,"")))))</f>
        <v>0</v>
      </c>
      <c r="CJ52" s="85">
        <f>IF(CJ9&lt;=Condition!$E$16,0,IF(CJ9&lt;=Condition!$F$16,Condition!$D$16,IF(CJ9&lt;=Condition!$F$17,Condition!$D$17,IF(CJ9&lt;=Condition!$F$18,Condition!$D$18,IF(CJ9&gt;Condition!$E$19,Condition!$D$19,"")))))</f>
        <v>0</v>
      </c>
      <c r="CK52" s="85">
        <f>IF(CK9&lt;=Condition!$E$16,0,IF(CK9&lt;=Condition!$F$16,Condition!$D$16,IF(CK9&lt;=Condition!$F$17,Condition!$D$17,IF(CK9&lt;=Condition!$F$18,Condition!$D$18,IF(CK9&gt;Condition!$E$19,Condition!$D$19,"")))))</f>
        <v>0</v>
      </c>
      <c r="CL52" s="85">
        <f>IF(CL9&lt;=Condition!$E$16,0,IF(CL9&lt;=Condition!$F$16,Condition!$D$16,IF(CL9&lt;=Condition!$F$17,Condition!$D$17,IF(CL9&lt;=Condition!$F$18,Condition!$D$18,IF(CL9&gt;Condition!$E$19,Condition!$D$19,"")))))</f>
        <v>0</v>
      </c>
      <c r="CM52" s="85">
        <f>IF(CM9&lt;=Condition!$E$16,0,IF(CM9&lt;=Condition!$F$16,Condition!$D$16,IF(CM9&lt;=Condition!$F$17,Condition!$D$17,IF(CM9&lt;=Condition!$F$18,Condition!$D$18,IF(CM9&gt;Condition!$E$19,Condition!$D$19,"")))))</f>
        <v>0</v>
      </c>
      <c r="CN52" s="85">
        <f>IF(CN9&lt;=Condition!$E$16,0,IF(CN9&lt;=Condition!$F$16,Condition!$D$16,IF(CN9&lt;=Condition!$F$17,Condition!$D$17,IF(CN9&lt;=Condition!$F$18,Condition!$D$18,IF(CN9&gt;Condition!$E$19,Condition!$D$19,"")))))</f>
        <v>0</v>
      </c>
      <c r="CO52" s="85">
        <f>IF(CO9&lt;=Condition!$E$16,0,IF(CO9&lt;=Condition!$F$16,Condition!$D$16,IF(CO9&lt;=Condition!$F$17,Condition!$D$17,IF(CO9&lt;=Condition!$F$18,Condition!$D$18,IF(CO9&gt;Condition!$E$19,Condition!$D$19,"")))))</f>
        <v>0</v>
      </c>
      <c r="CP52" s="85">
        <f>IF(CP9&lt;=Condition!$E$16,0,IF(CP9&lt;=Condition!$F$16,Condition!$D$16,IF(CP9&lt;=Condition!$F$17,Condition!$D$17,IF(CP9&lt;=Condition!$F$18,Condition!$D$18,IF(CP9&gt;Condition!$E$19,Condition!$D$19,"")))))</f>
        <v>0</v>
      </c>
      <c r="CQ52" s="85">
        <f>IF(CQ9&lt;=Condition!$E$16,0,IF(CQ9&lt;=Condition!$F$16,Condition!$D$16,IF(CQ9&lt;=Condition!$F$17,Condition!$D$17,IF(CQ9&lt;=Condition!$F$18,Condition!$D$18,IF(CQ9&gt;Condition!$E$19,Condition!$D$19,"")))))</f>
        <v>0</v>
      </c>
      <c r="CR52" s="85">
        <f>IF(CR9&lt;=Condition!$E$16,0,IF(CR9&lt;=Condition!$F$16,Condition!$D$16,IF(CR9&lt;=Condition!$F$17,Condition!$D$17,IF(CR9&lt;=Condition!$F$18,Condition!$D$18,IF(CR9&gt;Condition!$E$19,Condition!$D$19,"")))))</f>
        <v>0</v>
      </c>
      <c r="CS52" s="85">
        <f>IF(CS9&lt;=Condition!$E$16,0,IF(CS9&lt;=Condition!$F$16,Condition!$D$16,IF(CS9&lt;=Condition!$F$17,Condition!$D$17,IF(CS9&lt;=Condition!$F$18,Condition!$D$18,IF(CS9&gt;Condition!$E$19,Condition!$D$19,"")))))</f>
        <v>0</v>
      </c>
      <c r="CT52" s="85">
        <f>IF(CT9&lt;=Condition!$E$16,0,IF(CT9&lt;=Condition!$F$16,Condition!$D$16,IF(CT9&lt;=Condition!$F$17,Condition!$D$17,IF(CT9&lt;=Condition!$F$18,Condition!$D$18,IF(CT9&gt;Condition!$E$19,Condition!$D$19,"")))))</f>
        <v>0</v>
      </c>
      <c r="CU52" s="85">
        <f>IF(CU9&lt;=Condition!$E$16,0,IF(CU9&lt;=Condition!$F$16,Condition!$D$16,IF(CU9&lt;=Condition!$F$17,Condition!$D$17,IF(CU9&lt;=Condition!$F$18,Condition!$D$18,IF(CU9&gt;Condition!$E$19,Condition!$D$19,"")))))</f>
        <v>0</v>
      </c>
      <c r="CV52" s="85">
        <f>IF(CV9&lt;=Condition!$E$16,0,IF(CV9&lt;=Condition!$F$16,Condition!$D$16,IF(CV9&lt;=Condition!$F$17,Condition!$D$17,IF(CV9&lt;=Condition!$F$18,Condition!$D$18,IF(CV9&gt;Condition!$E$19,Condition!$D$19,"")))))</f>
        <v>0</v>
      </c>
      <c r="CW52" s="85">
        <f>IF(CW9&lt;=Condition!$E$16,0,IF(CW9&lt;=Condition!$F$16,Condition!$D$16,IF(CW9&lt;=Condition!$F$17,Condition!$D$17,IF(CW9&lt;=Condition!$F$18,Condition!$D$18,IF(CW9&gt;Condition!$E$19,Condition!$D$19,"")))))</f>
        <v>0</v>
      </c>
      <c r="CX52" s="85">
        <f>IF(CX9&lt;=Condition!$E$16,0,IF(CX9&lt;=Condition!$F$16,Condition!$D$16,IF(CX9&lt;=Condition!$F$17,Condition!$D$17,IF(CX9&lt;=Condition!$F$18,Condition!$D$18,IF(CX9&gt;Condition!$E$19,Condition!$D$19,"")))))</f>
        <v>0</v>
      </c>
      <c r="CY52" s="85">
        <f>IF(CY9&lt;=Condition!$E$16,0,IF(CY9&lt;=Condition!$F$16,Condition!$D$16,IF(CY9&lt;=Condition!$F$17,Condition!$D$17,IF(CY9&lt;=Condition!$F$18,Condition!$D$18,IF(CY9&gt;Condition!$E$19,Condition!$D$19,"")))))</f>
        <v>0</v>
      </c>
      <c r="CZ52" s="85">
        <f>IF(CZ9&lt;=Condition!$E$16,0,IF(CZ9&lt;=Condition!$F$16,Condition!$D$16,IF(CZ9&lt;=Condition!$F$17,Condition!$D$17,IF(CZ9&lt;=Condition!$F$18,Condition!$D$18,IF(CZ9&gt;Condition!$E$19,Condition!$D$19,"")))))</f>
        <v>0</v>
      </c>
      <c r="DA52" s="85">
        <f>IF(DA9&lt;=Condition!$E$16,0,IF(DA9&lt;=Condition!$F$16,Condition!$D$16,IF(DA9&lt;=Condition!$F$17,Condition!$D$17,IF(DA9&lt;=Condition!$F$18,Condition!$D$18,IF(DA9&gt;Condition!$E$19,Condition!$D$19,"")))))</f>
        <v>0</v>
      </c>
      <c r="DB52" s="85">
        <f>IF(DB9&lt;=Condition!$E$16,0,IF(DB9&lt;=Condition!$F$16,Condition!$D$16,IF(DB9&lt;=Condition!$F$17,Condition!$D$17,IF(DB9&lt;=Condition!$F$18,Condition!$D$18,IF(DB9&gt;Condition!$E$19,Condition!$D$19,"")))))</f>
        <v>0</v>
      </c>
      <c r="DC52" s="85">
        <f>IF(DC9&lt;=Condition!$E$16,0,IF(DC9&lt;=Condition!$F$16,Condition!$D$16,IF(DC9&lt;=Condition!$F$17,Condition!$D$17,IF(DC9&lt;=Condition!$F$18,Condition!$D$18,IF(DC9&gt;Condition!$E$19,Condition!$D$19,"")))))</f>
        <v>0</v>
      </c>
      <c r="DD52" s="85">
        <f>IF(DD9&lt;=Condition!$E$16,0,IF(DD9&lt;=Condition!$F$16,Condition!$D$16,IF(DD9&lt;=Condition!$F$17,Condition!$D$17,IF(DD9&lt;=Condition!$F$18,Condition!$D$18,IF(DD9&gt;Condition!$E$19,Condition!$D$19,"")))))</f>
        <v>0</v>
      </c>
      <c r="DE52" s="85">
        <f>IF(DE9&lt;=Condition!$E$16,0,IF(DE9&lt;=Condition!$F$16,Condition!$D$16,IF(DE9&lt;=Condition!$F$17,Condition!$D$17,IF(DE9&lt;=Condition!$F$18,Condition!$D$18,IF(DE9&gt;Condition!$E$19,Condition!$D$19,"")))))</f>
        <v>0</v>
      </c>
      <c r="DF52" s="85">
        <f>IF(DF9&lt;=Condition!$E$16,0,IF(DF9&lt;=Condition!$F$16,Condition!$D$16,IF(DF9&lt;=Condition!$F$17,Condition!$D$17,IF(DF9&lt;=Condition!$F$18,Condition!$D$18,IF(DF9&gt;Condition!$E$19,Condition!$D$19,"")))))</f>
        <v>0</v>
      </c>
      <c r="DG52" s="85">
        <f>IF(DG9&lt;=Condition!$E$16,0,IF(DG9&lt;=Condition!$F$16,Condition!$D$16,IF(DG9&lt;=Condition!$F$17,Condition!$D$17,IF(DG9&lt;=Condition!$F$18,Condition!$D$18,IF(DG9&gt;Condition!$E$19,Condition!$D$19,"")))))</f>
        <v>0</v>
      </c>
      <c r="DH52" s="85">
        <f>IF(DH9&lt;=Condition!$E$16,0,IF(DH9&lt;=Condition!$F$16,Condition!$D$16,IF(DH9&lt;=Condition!$F$17,Condition!$D$17,IF(DH9&lt;=Condition!$F$18,Condition!$D$18,IF(DH9&gt;Condition!$E$19,Condition!$D$19,"")))))</f>
        <v>0</v>
      </c>
      <c r="DI52" s="85">
        <f>IF(DI9&lt;=Condition!$E$16,0,IF(DI9&lt;=Condition!$F$16,Condition!$D$16,IF(DI9&lt;=Condition!$F$17,Condition!$D$17,IF(DI9&lt;=Condition!$F$18,Condition!$D$18,IF(DI9&gt;Condition!$E$19,Condition!$D$19,"")))))</f>
        <v>0</v>
      </c>
      <c r="DJ52" s="85">
        <f>IF(DJ9&lt;=Condition!$E$16,0,IF(DJ9&lt;=Condition!$F$16,Condition!$D$16,IF(DJ9&lt;=Condition!$F$17,Condition!$D$17,IF(DJ9&lt;=Condition!$F$18,Condition!$D$18,IF(DJ9&gt;Condition!$E$19,Condition!$D$19,"")))))</f>
        <v>0</v>
      </c>
      <c r="DK52" s="85">
        <f>IF(DK9&lt;=Condition!$E$16,0,IF(DK9&lt;=Condition!$F$16,Condition!$D$16,IF(DK9&lt;=Condition!$F$17,Condition!$D$17,IF(DK9&lt;=Condition!$F$18,Condition!$D$18,IF(DK9&gt;Condition!$E$19,Condition!$D$19,"")))))</f>
        <v>0</v>
      </c>
      <c r="DL52" s="85">
        <f>IF(DL9&lt;=Condition!$E$16,0,IF(DL9&lt;=Condition!$F$16,Condition!$D$16,IF(DL9&lt;=Condition!$F$17,Condition!$D$17,IF(DL9&lt;=Condition!$F$18,Condition!$D$18,IF(DL9&gt;Condition!$E$19,Condition!$D$19,"")))))</f>
        <v>0</v>
      </c>
      <c r="DM52" s="85">
        <f>IF(DM9&lt;=Condition!$E$16,0,IF(DM9&lt;=Condition!$F$16,Condition!$D$16,IF(DM9&lt;=Condition!$F$17,Condition!$D$17,IF(DM9&lt;=Condition!$F$18,Condition!$D$18,IF(DM9&gt;Condition!$E$19,Condition!$D$19,"")))))</f>
        <v>0</v>
      </c>
      <c r="DN52" s="85">
        <f>IF(DN9&lt;=Condition!$E$16,0,IF(DN9&lt;=Condition!$F$16,Condition!$D$16,IF(DN9&lt;=Condition!$F$17,Condition!$D$17,IF(DN9&lt;=Condition!$F$18,Condition!$D$18,IF(DN9&gt;Condition!$E$19,Condition!$D$19,"")))))</f>
        <v>0</v>
      </c>
      <c r="DO52" s="85">
        <f>IF(DO9&lt;=Condition!$E$16,0,IF(DO9&lt;=Condition!$F$16,Condition!$D$16,IF(DO9&lt;=Condition!$F$17,Condition!$D$17,IF(DO9&lt;=Condition!$F$18,Condition!$D$18,IF(DO9&gt;Condition!$E$19,Condition!$D$19,"")))))</f>
        <v>0</v>
      </c>
      <c r="DP52" s="85">
        <f>IF(DP9&lt;=Condition!$E$16,0,IF(DP9&lt;=Condition!$F$16,Condition!$D$16,IF(DP9&lt;=Condition!$F$17,Condition!$D$17,IF(DP9&lt;=Condition!$F$18,Condition!$D$18,IF(DP9&gt;Condition!$E$19,Condition!$D$19,"")))))</f>
        <v>0</v>
      </c>
      <c r="DQ52" s="85">
        <f>IF(DQ9&lt;=Condition!$E$16,0,IF(DQ9&lt;=Condition!$F$16,Condition!$D$16,IF(DQ9&lt;=Condition!$F$17,Condition!$D$17,IF(DQ9&lt;=Condition!$F$18,Condition!$D$18,IF(DQ9&gt;Condition!$E$19,Condition!$D$19,"")))))</f>
        <v>0</v>
      </c>
      <c r="DR52" s="85">
        <f>IF(DR9&lt;=Condition!$E$16,0,IF(DR9&lt;=Condition!$F$16,Condition!$D$16,IF(DR9&lt;=Condition!$F$17,Condition!$D$17,IF(DR9&lt;=Condition!$F$18,Condition!$D$18,IF(DR9&gt;Condition!$E$19,Condition!$D$19,"")))))</f>
        <v>0</v>
      </c>
      <c r="DS52" s="85">
        <f>IF(DS9&lt;=Condition!$E$16,0,IF(DS9&lt;=Condition!$F$16,Condition!$D$16,IF(DS9&lt;=Condition!$F$17,Condition!$D$17,IF(DS9&lt;=Condition!$F$18,Condition!$D$18,IF(DS9&gt;Condition!$E$19,Condition!$D$19,"")))))</f>
        <v>0</v>
      </c>
      <c r="DT52" s="85">
        <f>IF(DT9&lt;=Condition!$E$16,0,IF(DT9&lt;=Condition!$F$16,Condition!$D$16,IF(DT9&lt;=Condition!$F$17,Condition!$D$17,IF(DT9&lt;=Condition!$F$18,Condition!$D$18,IF(DT9&gt;Condition!$E$19,Condition!$D$19,"")))))</f>
        <v>0</v>
      </c>
      <c r="DU52" s="85">
        <f>IF(DU9&lt;=Condition!$E$16,0,IF(DU9&lt;=Condition!$F$16,Condition!$D$16,IF(DU9&lt;=Condition!$F$17,Condition!$D$17,IF(DU9&lt;=Condition!$F$18,Condition!$D$18,IF(DU9&gt;Condition!$E$19,Condition!$D$19,"")))))</f>
        <v>0</v>
      </c>
      <c r="DV52" s="85">
        <f>IF(DV9&lt;=Condition!$E$16,0,IF(DV9&lt;=Condition!$F$16,Condition!$D$16,IF(DV9&lt;=Condition!$F$17,Condition!$D$17,IF(DV9&lt;=Condition!$F$18,Condition!$D$18,IF(DV9&gt;Condition!$E$19,Condition!$D$19,"")))))</f>
        <v>0</v>
      </c>
      <c r="DW52" s="85">
        <f>IF(DW9&lt;=Condition!$E$16,0,IF(DW9&lt;=Condition!$F$16,Condition!$D$16,IF(DW9&lt;=Condition!$F$17,Condition!$D$17,IF(DW9&lt;=Condition!$F$18,Condition!$D$18,IF(DW9&gt;Condition!$E$19,Condition!$D$19,"")))))</f>
        <v>0</v>
      </c>
      <c r="DX52" s="85">
        <f>IF(DX9&lt;=Condition!$E$16,0,IF(DX9&lt;=Condition!$F$16,Condition!$D$16,IF(DX9&lt;=Condition!$F$17,Condition!$D$17,IF(DX9&lt;=Condition!$F$18,Condition!$D$18,IF(DX9&gt;Condition!$E$19,Condition!$D$19,"")))))</f>
        <v>0</v>
      </c>
      <c r="DY52" s="85">
        <f>IF(DY9&lt;=Condition!$E$16,0,IF(DY9&lt;=Condition!$F$16,Condition!$D$16,IF(DY9&lt;=Condition!$F$17,Condition!$D$17,IF(DY9&lt;=Condition!$F$18,Condition!$D$18,IF(DY9&gt;Condition!$E$19,Condition!$D$19,"")))))</f>
        <v>0</v>
      </c>
      <c r="DZ52" s="85">
        <f>IF(DZ9&lt;=Condition!$E$16,0,IF(DZ9&lt;=Condition!$F$16,Condition!$D$16,IF(DZ9&lt;=Condition!$F$17,Condition!$D$17,IF(DZ9&lt;=Condition!$F$18,Condition!$D$18,IF(DZ9&gt;Condition!$E$19,Condition!$D$19,"")))))</f>
        <v>0</v>
      </c>
      <c r="EA52" s="85">
        <f>IF(EA9&lt;=Condition!$E$16,0,IF(EA9&lt;=Condition!$F$16,Condition!$D$16,IF(EA9&lt;=Condition!$F$17,Condition!$D$17,IF(EA9&lt;=Condition!$F$18,Condition!$D$18,IF(EA9&gt;Condition!$E$19,Condition!$D$19,"")))))</f>
        <v>0</v>
      </c>
      <c r="EB52" s="85">
        <f>IF(EB9&lt;=Condition!$E$16,0,IF(EB9&lt;=Condition!$F$16,Condition!$D$16,IF(EB9&lt;=Condition!$F$17,Condition!$D$17,IF(EB9&lt;=Condition!$F$18,Condition!$D$18,IF(EB9&gt;Condition!$E$19,Condition!$D$19,"")))))</f>
        <v>0</v>
      </c>
      <c r="EC52" s="85">
        <f>IF(EC9&lt;=Condition!$E$16,0,IF(EC9&lt;=Condition!$F$16,Condition!$D$16,IF(EC9&lt;=Condition!$F$17,Condition!$D$17,IF(EC9&lt;=Condition!$F$18,Condition!$D$18,IF(EC9&gt;Condition!$E$19,Condition!$D$19,"")))))</f>
        <v>0</v>
      </c>
      <c r="ED52" s="85">
        <f>IF(ED9&lt;=Condition!$E$16,0,IF(ED9&lt;=Condition!$F$16,Condition!$D$16,IF(ED9&lt;=Condition!$F$17,Condition!$D$17,IF(ED9&lt;=Condition!$F$18,Condition!$D$18,IF(ED9&gt;Condition!$E$19,Condition!$D$19,"")))))</f>
        <v>0</v>
      </c>
      <c r="EE52" s="85">
        <f>IF(EE9&lt;=Condition!$E$16,0,IF(EE9&lt;=Condition!$F$16,Condition!$D$16,IF(EE9&lt;=Condition!$F$17,Condition!$D$17,IF(EE9&lt;=Condition!$F$18,Condition!$D$18,IF(EE9&gt;Condition!$E$19,Condition!$D$19,"")))))</f>
        <v>0</v>
      </c>
      <c r="EF52" s="85">
        <f>IF(EF9&lt;=Condition!$E$16,0,IF(EF9&lt;=Condition!$F$16,Condition!$D$16,IF(EF9&lt;=Condition!$F$17,Condition!$D$17,IF(EF9&lt;=Condition!$F$18,Condition!$D$18,IF(EF9&gt;Condition!$E$19,Condition!$D$19,"")))))</f>
        <v>0</v>
      </c>
      <c r="EG52" s="85">
        <f>IF(EG9&lt;=Condition!$E$16,0,IF(EG9&lt;=Condition!$F$16,Condition!$D$16,IF(EG9&lt;=Condition!$F$17,Condition!$D$17,IF(EG9&lt;=Condition!$F$18,Condition!$D$18,IF(EG9&gt;Condition!$E$19,Condition!$D$19,"")))))</f>
        <v>0</v>
      </c>
      <c r="EH52" s="85">
        <f>IF(EH9&lt;=Condition!$E$16,0,IF(EH9&lt;=Condition!$F$16,Condition!$D$16,IF(EH9&lt;=Condition!$F$17,Condition!$D$17,IF(EH9&lt;=Condition!$F$18,Condition!$D$18,IF(EH9&gt;Condition!$E$19,Condition!$D$19,"")))))</f>
        <v>0</v>
      </c>
      <c r="EI52" s="85">
        <f>IF(EI9&lt;=Condition!$E$16,0,IF(EI9&lt;=Condition!$F$16,Condition!$D$16,IF(EI9&lt;=Condition!$F$17,Condition!$D$17,IF(EI9&lt;=Condition!$F$18,Condition!$D$18,IF(EI9&gt;Condition!$E$19,Condition!$D$19,"")))))</f>
        <v>0</v>
      </c>
      <c r="EJ52" s="85">
        <f>IF(EJ9&lt;=Condition!$E$16,0,IF(EJ9&lt;=Condition!$F$16,Condition!$D$16,IF(EJ9&lt;=Condition!$F$17,Condition!$D$17,IF(EJ9&lt;=Condition!$F$18,Condition!$D$18,IF(EJ9&gt;Condition!$E$19,Condition!$D$19,"")))))</f>
        <v>0</v>
      </c>
      <c r="EK52" s="85">
        <f>IF(EK9&lt;=Condition!$E$16,0,IF(EK9&lt;=Condition!$F$16,Condition!$D$16,IF(EK9&lt;=Condition!$F$17,Condition!$D$17,IF(EK9&lt;=Condition!$F$18,Condition!$D$18,IF(EK9&gt;Condition!$E$19,Condition!$D$19,"")))))</f>
        <v>0</v>
      </c>
      <c r="EL52" s="85">
        <f>IF(EL9&lt;=Condition!$E$16,0,IF(EL9&lt;=Condition!$F$16,Condition!$D$16,IF(EL9&lt;=Condition!$F$17,Condition!$D$17,IF(EL9&lt;=Condition!$F$18,Condition!$D$18,IF(EL9&gt;Condition!$E$19,Condition!$D$19,"")))))</f>
        <v>0</v>
      </c>
      <c r="EM52" s="85">
        <f>IF(EM9&lt;=Condition!$E$16,0,IF(EM9&lt;=Condition!$F$16,Condition!$D$16,IF(EM9&lt;=Condition!$F$17,Condition!$D$17,IF(EM9&lt;=Condition!$F$18,Condition!$D$18,IF(EM9&gt;Condition!$E$19,Condition!$D$19,"")))))</f>
        <v>0</v>
      </c>
      <c r="EN52" s="85">
        <f>IF(EN9&lt;=Condition!$E$16,0,IF(EN9&lt;=Condition!$F$16,Condition!$D$16,IF(EN9&lt;=Condition!$F$17,Condition!$D$17,IF(EN9&lt;=Condition!$F$18,Condition!$D$18,IF(EN9&gt;Condition!$E$19,Condition!$D$19,"")))))</f>
        <v>0</v>
      </c>
      <c r="EO52" s="85">
        <f>IF(EO9&lt;=Condition!$E$16,0,IF(EO9&lt;=Condition!$F$16,Condition!$D$16,IF(EO9&lt;=Condition!$F$17,Condition!$D$17,IF(EO9&lt;=Condition!$F$18,Condition!$D$18,IF(EO9&gt;Condition!$E$19,Condition!$D$19,"")))))</f>
        <v>0</v>
      </c>
      <c r="EP52" s="85">
        <f>IF(EP9&lt;=Condition!$E$16,0,IF(EP9&lt;=Condition!$F$16,Condition!$D$16,IF(EP9&lt;=Condition!$F$17,Condition!$D$17,IF(EP9&lt;=Condition!$F$18,Condition!$D$18,IF(EP9&gt;Condition!$E$19,Condition!$D$19,"")))))</f>
        <v>0</v>
      </c>
      <c r="EQ52" s="85">
        <f>IF(EQ9&lt;=Condition!$E$16,0,IF(EQ9&lt;=Condition!$F$16,Condition!$D$16,IF(EQ9&lt;=Condition!$F$17,Condition!$D$17,IF(EQ9&lt;=Condition!$F$18,Condition!$D$18,IF(EQ9&gt;Condition!$E$19,Condition!$D$19,"")))))</f>
        <v>0</v>
      </c>
      <c r="ER52" s="85">
        <f>IF(ER9&lt;=Condition!$E$16,0,IF(ER9&lt;=Condition!$F$16,Condition!$D$16,IF(ER9&lt;=Condition!$F$17,Condition!$D$17,IF(ER9&lt;=Condition!$F$18,Condition!$D$18,IF(ER9&gt;Condition!$E$19,Condition!$D$19,"")))))</f>
        <v>0</v>
      </c>
      <c r="ES52" s="85">
        <f>IF(ES9&lt;=Condition!$E$16,0,IF(ES9&lt;=Condition!$F$16,Condition!$D$16,IF(ES9&lt;=Condition!$F$17,Condition!$D$17,IF(ES9&lt;=Condition!$F$18,Condition!$D$18,IF(ES9&gt;Condition!$E$19,Condition!$D$19,"")))))</f>
        <v>0</v>
      </c>
      <c r="ET52" s="85">
        <f>IF(ET9&lt;=Condition!$E$16,0,IF(ET9&lt;=Condition!$F$16,Condition!$D$16,IF(ET9&lt;=Condition!$F$17,Condition!$D$17,IF(ET9&lt;=Condition!$F$18,Condition!$D$18,IF(ET9&gt;Condition!$E$19,Condition!$D$19,"")))))</f>
        <v>0</v>
      </c>
      <c r="EU52" s="85">
        <f>IF(EU9&lt;=Condition!$E$16,0,IF(EU9&lt;=Condition!$F$16,Condition!$D$16,IF(EU9&lt;=Condition!$F$17,Condition!$D$17,IF(EU9&lt;=Condition!$F$18,Condition!$D$18,IF(EU9&gt;Condition!$E$19,Condition!$D$19,"")))))</f>
        <v>0</v>
      </c>
      <c r="EV52" s="85">
        <f>IF(EV9&lt;=Condition!$E$16,0,IF(EV9&lt;=Condition!$F$16,Condition!$D$16,IF(EV9&lt;=Condition!$F$17,Condition!$D$17,IF(EV9&lt;=Condition!$F$18,Condition!$D$18,IF(EV9&gt;Condition!$E$19,Condition!$D$19,"")))))</f>
        <v>0</v>
      </c>
      <c r="EW52" s="85">
        <f>IF(EW9&lt;=Condition!$E$16,0,IF(EW9&lt;=Condition!$F$16,Condition!$D$16,IF(EW9&lt;=Condition!$F$17,Condition!$D$17,IF(EW9&lt;=Condition!$F$18,Condition!$D$18,IF(EW9&gt;Condition!$E$19,Condition!$D$19,"")))))</f>
        <v>0</v>
      </c>
      <c r="EX52" s="85">
        <f>IF(EX9&lt;=Condition!$E$16,0,IF(EX9&lt;=Condition!$F$16,Condition!$D$16,IF(EX9&lt;=Condition!$F$17,Condition!$D$17,IF(EX9&lt;=Condition!$F$18,Condition!$D$18,IF(EX9&gt;Condition!$E$19,Condition!$D$19,"")))))</f>
        <v>0</v>
      </c>
      <c r="EY52" s="85">
        <f>IF(EY9&lt;=Condition!$E$16,0,IF(EY9&lt;=Condition!$F$16,Condition!$D$16,IF(EY9&lt;=Condition!$F$17,Condition!$D$17,IF(EY9&lt;=Condition!$F$18,Condition!$D$18,IF(EY9&gt;Condition!$E$19,Condition!$D$19,"")))))</f>
        <v>0</v>
      </c>
      <c r="EZ52" s="85">
        <f>IF(EZ9&lt;=Condition!$E$16,0,IF(EZ9&lt;=Condition!$F$16,Condition!$D$16,IF(EZ9&lt;=Condition!$F$17,Condition!$D$17,IF(EZ9&lt;=Condition!$F$18,Condition!$D$18,IF(EZ9&gt;Condition!$E$19,Condition!$D$19,"")))))</f>
        <v>0</v>
      </c>
      <c r="FA52" s="85">
        <f>IF(FA9&lt;=Condition!$E$16,0,IF(FA9&lt;=Condition!$F$16,Condition!$D$16,IF(FA9&lt;=Condition!$F$17,Condition!$D$17,IF(FA9&lt;=Condition!$F$18,Condition!$D$18,IF(FA9&gt;Condition!$E$19,Condition!$D$19,"")))))</f>
        <v>0</v>
      </c>
      <c r="FB52" s="85">
        <f>IF(FB9&lt;=Condition!$E$16,0,IF(FB9&lt;=Condition!$F$16,Condition!$D$16,IF(FB9&lt;=Condition!$F$17,Condition!$D$17,IF(FB9&lt;=Condition!$F$18,Condition!$D$18,IF(FB9&gt;Condition!$E$19,Condition!$D$19,"")))))</f>
        <v>0</v>
      </c>
      <c r="FC52" s="85">
        <f>IF(FC9&lt;=Condition!$E$16,0,IF(FC9&lt;=Condition!$F$16,Condition!$D$16,IF(FC9&lt;=Condition!$F$17,Condition!$D$17,IF(FC9&lt;=Condition!$F$18,Condition!$D$18,IF(FC9&gt;Condition!$E$19,Condition!$D$19,"")))))</f>
        <v>0</v>
      </c>
      <c r="FD52" s="85">
        <f>IF(FD9&lt;=Condition!$E$16,0,IF(FD9&lt;=Condition!$F$16,Condition!$D$16,IF(FD9&lt;=Condition!$F$17,Condition!$D$17,IF(FD9&lt;=Condition!$F$18,Condition!$D$18,IF(FD9&gt;Condition!$E$19,Condition!$D$19,"")))))</f>
        <v>0</v>
      </c>
      <c r="FE52" s="85">
        <f>IF(FE9&lt;=Condition!$E$16,0,IF(FE9&lt;=Condition!$F$16,Condition!$D$16,IF(FE9&lt;=Condition!$F$17,Condition!$D$17,IF(FE9&lt;=Condition!$F$18,Condition!$D$18,IF(FE9&gt;Condition!$E$19,Condition!$D$19,"")))))</f>
        <v>0</v>
      </c>
      <c r="FF52" s="85">
        <f>IF(FF9&lt;=Condition!$E$16,0,IF(FF9&lt;=Condition!$F$16,Condition!$D$16,IF(FF9&lt;=Condition!$F$17,Condition!$D$17,IF(FF9&lt;=Condition!$F$18,Condition!$D$18,IF(FF9&gt;Condition!$E$19,Condition!$D$19,"")))))</f>
        <v>0</v>
      </c>
      <c r="FG52" s="85">
        <f>IF(FG9&lt;=Condition!$E$16,0,IF(FG9&lt;=Condition!$F$16,Condition!$D$16,IF(FG9&lt;=Condition!$F$17,Condition!$D$17,IF(FG9&lt;=Condition!$F$18,Condition!$D$18,IF(FG9&gt;Condition!$E$19,Condition!$D$19,"")))))</f>
        <v>0</v>
      </c>
      <c r="FH52" s="85">
        <f>IF(FH9&lt;=Condition!$E$16,0,IF(FH9&lt;=Condition!$F$16,Condition!$D$16,IF(FH9&lt;=Condition!$F$17,Condition!$D$17,IF(FH9&lt;=Condition!$F$18,Condition!$D$18,IF(FH9&gt;Condition!$E$19,Condition!$D$19,"")))))</f>
        <v>0</v>
      </c>
      <c r="FI52" s="85">
        <f>IF(FI9&lt;=Condition!$E$16,0,IF(FI9&lt;=Condition!$F$16,Condition!$D$16,IF(FI9&lt;=Condition!$F$17,Condition!$D$17,IF(FI9&lt;=Condition!$F$18,Condition!$D$18,IF(FI9&gt;Condition!$E$19,Condition!$D$19,"")))))</f>
        <v>0</v>
      </c>
      <c r="FJ52" s="85">
        <f>IF(FJ9&lt;=Condition!$E$16,0,IF(FJ9&lt;=Condition!$F$16,Condition!$D$16,IF(FJ9&lt;=Condition!$F$17,Condition!$D$17,IF(FJ9&lt;=Condition!$F$18,Condition!$D$18,IF(FJ9&gt;Condition!$E$19,Condition!$D$19,"")))))</f>
        <v>0</v>
      </c>
      <c r="FK52" s="85">
        <f>IF(FK9&lt;=Condition!$E$16,0,IF(FK9&lt;=Condition!$F$16,Condition!$D$16,IF(FK9&lt;=Condition!$F$17,Condition!$D$17,IF(FK9&lt;=Condition!$F$18,Condition!$D$18,IF(FK9&gt;Condition!$E$19,Condition!$D$19,"")))))</f>
        <v>0</v>
      </c>
      <c r="FL52" s="85">
        <f>IF(FL9&lt;=Condition!$E$16,0,IF(FL9&lt;=Condition!$F$16,Condition!$D$16,IF(FL9&lt;=Condition!$F$17,Condition!$D$17,IF(FL9&lt;=Condition!$F$18,Condition!$D$18,IF(FL9&gt;Condition!$E$19,Condition!$D$19,"")))))</f>
        <v>0</v>
      </c>
      <c r="FM52" s="85">
        <f>IF(FM9&lt;=Condition!$E$16,0,IF(FM9&lt;=Condition!$F$16,Condition!$D$16,IF(FM9&lt;=Condition!$F$17,Condition!$D$17,IF(FM9&lt;=Condition!$F$18,Condition!$D$18,IF(FM9&gt;Condition!$E$19,Condition!$D$19,"")))))</f>
        <v>0</v>
      </c>
      <c r="FN52" s="85">
        <f>IF(FN9&lt;=Condition!$E$16,0,IF(FN9&lt;=Condition!$F$16,Condition!$D$16,IF(FN9&lt;=Condition!$F$17,Condition!$D$17,IF(FN9&lt;=Condition!$F$18,Condition!$D$18,IF(FN9&gt;Condition!$E$19,Condition!$D$19,"")))))</f>
        <v>0</v>
      </c>
      <c r="FO52" s="85">
        <f>IF(FO9&lt;=Condition!$E$16,0,IF(FO9&lt;=Condition!$F$16,Condition!$D$16,IF(FO9&lt;=Condition!$F$17,Condition!$D$17,IF(FO9&lt;=Condition!$F$18,Condition!$D$18,IF(FO9&gt;Condition!$E$19,Condition!$D$19,"")))))</f>
        <v>0</v>
      </c>
      <c r="FP52" s="85">
        <f>IF(FP9&lt;=Condition!$E$16,0,IF(FP9&lt;=Condition!$F$16,Condition!$D$16,IF(FP9&lt;=Condition!$F$17,Condition!$D$17,IF(FP9&lt;=Condition!$F$18,Condition!$D$18,IF(FP9&gt;Condition!$E$19,Condition!$D$19,"")))))</f>
        <v>0</v>
      </c>
      <c r="FQ52" s="85">
        <f>IF(FQ9&lt;=Condition!$E$16,0,IF(FQ9&lt;=Condition!$F$16,Condition!$D$16,IF(FQ9&lt;=Condition!$F$17,Condition!$D$17,IF(FQ9&lt;=Condition!$F$18,Condition!$D$18,IF(FQ9&gt;Condition!$E$19,Condition!$D$19,"")))))</f>
        <v>0</v>
      </c>
      <c r="FR52" s="85">
        <f>IF(FR9&lt;=Condition!$E$16,0,IF(FR9&lt;=Condition!$F$16,Condition!$D$16,IF(FR9&lt;=Condition!$F$17,Condition!$D$17,IF(FR9&lt;=Condition!$F$18,Condition!$D$18,IF(FR9&gt;Condition!$E$19,Condition!$D$19,"")))))</f>
        <v>0</v>
      </c>
      <c r="FS52" s="85">
        <f>IF(FS9&lt;=Condition!$E$16,0,IF(FS9&lt;=Condition!$F$16,Condition!$D$16,IF(FS9&lt;=Condition!$F$17,Condition!$D$17,IF(FS9&lt;=Condition!$F$18,Condition!$D$18,IF(FS9&gt;Condition!$E$19,Condition!$D$19,"")))))</f>
        <v>0</v>
      </c>
      <c r="FT52" s="85">
        <f>IF(FT9&lt;=Condition!$E$16,0,IF(FT9&lt;=Condition!$F$16,Condition!$D$16,IF(FT9&lt;=Condition!$F$17,Condition!$D$17,IF(FT9&lt;=Condition!$F$18,Condition!$D$18,IF(FT9&gt;Condition!$E$19,Condition!$D$19,"")))))</f>
        <v>0</v>
      </c>
      <c r="FU52" s="85">
        <f>IF(FU9&lt;=Condition!$E$16,0,IF(FU9&lt;=Condition!$F$16,Condition!$D$16,IF(FU9&lt;=Condition!$F$17,Condition!$D$17,IF(FU9&lt;=Condition!$F$18,Condition!$D$18,IF(FU9&gt;Condition!$E$19,Condition!$D$19,"")))))</f>
        <v>0</v>
      </c>
      <c r="FV52" s="85">
        <f>IF(FV9&lt;=Condition!$E$16,0,IF(FV9&lt;=Condition!$F$16,Condition!$D$16,IF(FV9&lt;=Condition!$F$17,Condition!$D$17,IF(FV9&lt;=Condition!$F$18,Condition!$D$18,IF(FV9&gt;Condition!$E$19,Condition!$D$19,"")))))</f>
        <v>0</v>
      </c>
      <c r="FW52" s="85">
        <f>IF(FW9&lt;=Condition!$E$16,0,IF(FW9&lt;=Condition!$F$16,Condition!$D$16,IF(FW9&lt;=Condition!$F$17,Condition!$D$17,IF(FW9&lt;=Condition!$F$18,Condition!$D$18,IF(FW9&gt;Condition!$E$19,Condition!$D$19,"")))))</f>
        <v>0</v>
      </c>
      <c r="FX52" s="85">
        <f>IF(FX9&lt;=Condition!$E$16,0,IF(FX9&lt;=Condition!$F$16,Condition!$D$16,IF(FX9&lt;=Condition!$F$17,Condition!$D$17,IF(FX9&lt;=Condition!$F$18,Condition!$D$18,IF(FX9&gt;Condition!$E$19,Condition!$D$19,"")))))</f>
        <v>0</v>
      </c>
      <c r="FY52" s="85">
        <f>IF(FY9&lt;=Condition!$E$16,0,IF(FY9&lt;=Condition!$F$16,Condition!$D$16,IF(FY9&lt;=Condition!$F$17,Condition!$D$17,IF(FY9&lt;=Condition!$F$18,Condition!$D$18,IF(FY9&gt;Condition!$E$19,Condition!$D$19,"")))))</f>
        <v>0</v>
      </c>
      <c r="FZ52" s="85">
        <f>IF(FZ9&lt;=Condition!$E$16,0,IF(FZ9&lt;=Condition!$F$16,Condition!$D$16,IF(FZ9&lt;=Condition!$F$17,Condition!$D$17,IF(FZ9&lt;=Condition!$F$18,Condition!$D$18,IF(FZ9&gt;Condition!$E$19,Condition!$D$19,"")))))</f>
        <v>0</v>
      </c>
      <c r="GA52" s="85">
        <f>IF(GA9&lt;=Condition!$E$16,0,IF(GA9&lt;=Condition!$F$16,Condition!$D$16,IF(GA9&lt;=Condition!$F$17,Condition!$D$17,IF(GA9&lt;=Condition!$F$18,Condition!$D$18,IF(GA9&gt;Condition!$E$19,Condition!$D$19,"")))))</f>
        <v>0</v>
      </c>
      <c r="GB52" s="85">
        <f>IF(GB9&lt;=Condition!$E$16,0,IF(GB9&lt;=Condition!$F$16,Condition!$D$16,IF(GB9&lt;=Condition!$F$17,Condition!$D$17,IF(GB9&lt;=Condition!$F$18,Condition!$D$18,IF(GB9&gt;Condition!$E$19,Condition!$D$19,"")))))</f>
        <v>0</v>
      </c>
      <c r="GC52" s="85">
        <f>IF(GC9&lt;=Condition!$E$16,0,IF(GC9&lt;=Condition!$F$16,Condition!$D$16,IF(GC9&lt;=Condition!$F$17,Condition!$D$17,IF(GC9&lt;=Condition!$F$18,Condition!$D$18,IF(GC9&gt;Condition!$E$19,Condition!$D$19,"")))))</f>
        <v>0</v>
      </c>
      <c r="GD52" s="85">
        <f>IF(GD9&lt;=Condition!$E$16,0,IF(GD9&lt;=Condition!$F$16,Condition!$D$16,IF(GD9&lt;=Condition!$F$17,Condition!$D$17,IF(GD9&lt;=Condition!$F$18,Condition!$D$18,IF(GD9&gt;Condition!$E$19,Condition!$D$19,"")))))</f>
        <v>0</v>
      </c>
      <c r="GE52" s="85">
        <f>IF(GE9&lt;=Condition!$E$16,0,IF(GE9&lt;=Condition!$F$16,Condition!$D$16,IF(GE9&lt;=Condition!$F$17,Condition!$D$17,IF(GE9&lt;=Condition!$F$18,Condition!$D$18,IF(GE9&gt;Condition!$E$19,Condition!$D$19,"")))))</f>
        <v>0</v>
      </c>
      <c r="GF52" s="85">
        <f>IF(GF9&lt;=Condition!$E$16,0,IF(GF9&lt;=Condition!$F$16,Condition!$D$16,IF(GF9&lt;=Condition!$F$17,Condition!$D$17,IF(GF9&lt;=Condition!$F$18,Condition!$D$18,IF(GF9&gt;Condition!$E$19,Condition!$D$19,"")))))</f>
        <v>0</v>
      </c>
      <c r="GG52" s="85">
        <f>IF(GG9&lt;=Condition!$E$16,0,IF(GG9&lt;=Condition!$F$16,Condition!$D$16,IF(GG9&lt;=Condition!$F$17,Condition!$D$17,IF(GG9&lt;=Condition!$F$18,Condition!$D$18,IF(GG9&gt;Condition!$E$19,Condition!$D$19,"")))))</f>
        <v>0</v>
      </c>
      <c r="GH52" s="85">
        <f>IF(GH9&lt;=Condition!$E$16,0,IF(GH9&lt;=Condition!$F$16,Condition!$D$16,IF(GH9&lt;=Condition!$F$17,Condition!$D$17,IF(GH9&lt;=Condition!$F$18,Condition!$D$18,IF(GH9&gt;Condition!$E$19,Condition!$D$19,"")))))</f>
        <v>0</v>
      </c>
      <c r="GI52" s="85">
        <f>IF(GI9&lt;=Condition!$E$16,0,IF(GI9&lt;=Condition!$F$16,Condition!$D$16,IF(GI9&lt;=Condition!$F$17,Condition!$D$17,IF(GI9&lt;=Condition!$F$18,Condition!$D$18,IF(GI9&gt;Condition!$E$19,Condition!$D$19,"")))))</f>
        <v>0</v>
      </c>
      <c r="GJ52" s="85">
        <f>IF(GJ9&lt;=Condition!$E$16,0,IF(GJ9&lt;=Condition!$F$16,Condition!$D$16,IF(GJ9&lt;=Condition!$F$17,Condition!$D$17,IF(GJ9&lt;=Condition!$F$18,Condition!$D$18,IF(GJ9&gt;Condition!$E$19,Condition!$D$19,"")))))</f>
        <v>0</v>
      </c>
      <c r="GK52" s="85">
        <f>IF(GK9&lt;=Condition!$E$16,0,IF(GK9&lt;=Condition!$F$16,Condition!$D$16,IF(GK9&lt;=Condition!$F$17,Condition!$D$17,IF(GK9&lt;=Condition!$F$18,Condition!$D$18,IF(GK9&gt;Condition!$E$19,Condition!$D$19,"")))))</f>
        <v>0</v>
      </c>
      <c r="GL52" s="85">
        <f>IF(GL9&lt;=Condition!$E$16,0,IF(GL9&lt;=Condition!$F$16,Condition!$D$16,IF(GL9&lt;=Condition!$F$17,Condition!$D$17,IF(GL9&lt;=Condition!$F$18,Condition!$D$18,IF(GL9&gt;Condition!$E$19,Condition!$D$19,"")))))</f>
        <v>0</v>
      </c>
      <c r="GM52" s="85">
        <f>IF(GM9&lt;=Condition!$E$16,0,IF(GM9&lt;=Condition!$F$16,Condition!$D$16,IF(GM9&lt;=Condition!$F$17,Condition!$D$17,IF(GM9&lt;=Condition!$F$18,Condition!$D$18,IF(GM9&gt;Condition!$E$19,Condition!$D$19,"")))))</f>
        <v>0</v>
      </c>
      <c r="GN52" s="85">
        <f>IF(GN9&lt;=Condition!$E$16,0,IF(GN9&lt;=Condition!$F$16,Condition!$D$16,IF(GN9&lt;=Condition!$F$17,Condition!$D$17,IF(GN9&lt;=Condition!$F$18,Condition!$D$18,IF(GN9&gt;Condition!$E$19,Condition!$D$19,"")))))</f>
        <v>0</v>
      </c>
      <c r="GO52" s="85">
        <f>IF(GO9&lt;=Condition!$E$16,0,IF(GO9&lt;=Condition!$F$16,Condition!$D$16,IF(GO9&lt;=Condition!$F$17,Condition!$D$17,IF(GO9&lt;=Condition!$F$18,Condition!$D$18,IF(GO9&gt;Condition!$E$19,Condition!$D$19,"")))))</f>
        <v>0</v>
      </c>
      <c r="GP52" s="85">
        <f>IF(GP9&lt;=Condition!$E$16,0,IF(GP9&lt;=Condition!$F$16,Condition!$D$16,IF(GP9&lt;=Condition!$F$17,Condition!$D$17,IF(GP9&lt;=Condition!$F$18,Condition!$D$18,IF(GP9&gt;Condition!$E$19,Condition!$D$19,"")))))</f>
        <v>0</v>
      </c>
      <c r="GQ52" s="85">
        <f>IF(GQ9&lt;=Condition!$E$16,0,IF(GQ9&lt;=Condition!$F$16,Condition!$D$16,IF(GQ9&lt;=Condition!$F$17,Condition!$D$17,IF(GQ9&lt;=Condition!$F$18,Condition!$D$18,IF(GQ9&gt;Condition!$E$19,Condition!$D$19,"")))))</f>
        <v>0</v>
      </c>
      <c r="GR52" s="85">
        <f>IF(GR9&lt;=Condition!$E$16,0,IF(GR9&lt;=Condition!$F$16,Condition!$D$16,IF(GR9&lt;=Condition!$F$17,Condition!$D$17,IF(GR9&lt;=Condition!$F$18,Condition!$D$18,IF(GR9&gt;Condition!$E$19,Condition!$D$19,"")))))</f>
        <v>0</v>
      </c>
      <c r="GS52" s="85">
        <f>IF(GS9&lt;=Condition!$E$16,0,IF(GS9&lt;=Condition!$F$16,Condition!$D$16,IF(GS9&lt;=Condition!$F$17,Condition!$D$17,IF(GS9&lt;=Condition!$F$18,Condition!$D$18,IF(GS9&gt;Condition!$E$19,Condition!$D$19,"")))))</f>
        <v>0</v>
      </c>
      <c r="GT52" s="85">
        <f>IF(GT9&lt;=Condition!$E$16,0,IF(GT9&lt;=Condition!$F$16,Condition!$D$16,IF(GT9&lt;=Condition!$F$17,Condition!$D$17,IF(GT9&lt;=Condition!$F$18,Condition!$D$18,IF(GT9&gt;Condition!$E$19,Condition!$D$19,"")))))</f>
        <v>0</v>
      </c>
      <c r="GU52" s="85">
        <f>IF(GU9&lt;=Condition!$E$16,0,IF(GU9&lt;=Condition!$F$16,Condition!$D$16,IF(GU9&lt;=Condition!$F$17,Condition!$D$17,IF(GU9&lt;=Condition!$F$18,Condition!$D$18,IF(GU9&gt;Condition!$E$19,Condition!$D$19,"")))))</f>
        <v>0</v>
      </c>
      <c r="GV52" s="85">
        <f>IF(GV9&lt;=Condition!$E$16,0,IF(GV9&lt;=Condition!$F$16,Condition!$D$16,IF(GV9&lt;=Condition!$F$17,Condition!$D$17,IF(GV9&lt;=Condition!$F$18,Condition!$D$18,IF(GV9&gt;Condition!$E$19,Condition!$D$19,"")))))</f>
        <v>0</v>
      </c>
      <c r="GW52" s="85">
        <f>IF(GW9&lt;=Condition!$E$16,0,IF(GW9&lt;=Condition!$F$16,Condition!$D$16,IF(GW9&lt;=Condition!$F$17,Condition!$D$17,IF(GW9&lt;=Condition!$F$18,Condition!$D$18,IF(GW9&gt;Condition!$E$19,Condition!$D$19,"")))))</f>
        <v>0</v>
      </c>
      <c r="GX52" s="85">
        <f>IF(GX9&lt;=Condition!$E$16,0,IF(GX9&lt;=Condition!$F$16,Condition!$D$16,IF(GX9&lt;=Condition!$F$17,Condition!$D$17,IF(GX9&lt;=Condition!$F$18,Condition!$D$18,IF(GX9&gt;Condition!$E$19,Condition!$D$19,"")))))</f>
        <v>0</v>
      </c>
      <c r="GY52" s="85">
        <f>IF(GY9&lt;=Condition!$E$16,0,IF(GY9&lt;=Condition!$F$16,Condition!$D$16,IF(GY9&lt;=Condition!$F$17,Condition!$D$17,IF(GY9&lt;=Condition!$F$18,Condition!$D$18,IF(GY9&gt;Condition!$E$19,Condition!$D$19,"")))))</f>
        <v>0</v>
      </c>
      <c r="GZ52" s="85">
        <f>IF(GZ9&lt;=Condition!$E$16,0,IF(GZ9&lt;=Condition!$F$16,Condition!$D$16,IF(GZ9&lt;=Condition!$F$17,Condition!$D$17,IF(GZ9&lt;=Condition!$F$18,Condition!$D$18,IF(GZ9&gt;Condition!$E$19,Condition!$D$19,"")))))</f>
        <v>0</v>
      </c>
      <c r="HA52" s="85">
        <f>IF(HA9&lt;=Condition!$E$16,0,IF(HA9&lt;=Condition!$F$16,Condition!$D$16,IF(HA9&lt;=Condition!$F$17,Condition!$D$17,IF(HA9&lt;=Condition!$F$18,Condition!$D$18,IF(HA9&gt;Condition!$E$19,Condition!$D$19,"")))))</f>
        <v>0</v>
      </c>
      <c r="HB52" s="85">
        <f>IF(HB9&lt;=Condition!$E$16,0,IF(HB9&lt;=Condition!$F$16,Condition!$D$16,IF(HB9&lt;=Condition!$F$17,Condition!$D$17,IF(HB9&lt;=Condition!$F$18,Condition!$D$18,IF(HB9&gt;Condition!$E$19,Condition!$D$19,"")))))</f>
        <v>0</v>
      </c>
      <c r="HC52" s="85">
        <f>IF(HC9&lt;=Condition!$E$16,0,IF(HC9&lt;=Condition!$F$16,Condition!$D$16,IF(HC9&lt;=Condition!$F$17,Condition!$D$17,IF(HC9&lt;=Condition!$F$18,Condition!$D$18,IF(HC9&gt;Condition!$E$19,Condition!$D$19,"")))))</f>
        <v>0</v>
      </c>
      <c r="HD52" s="85">
        <f>IF(HD9&lt;=Condition!$E$16,0,IF(HD9&lt;=Condition!$F$16,Condition!$D$16,IF(HD9&lt;=Condition!$F$17,Condition!$D$17,IF(HD9&lt;=Condition!$F$18,Condition!$D$18,IF(HD9&gt;Condition!$E$19,Condition!$D$19,"")))))</f>
        <v>0</v>
      </c>
      <c r="HE52" s="85">
        <f>IF(HE9&lt;=Condition!$E$16,0,IF(HE9&lt;=Condition!$F$16,Condition!$D$16,IF(HE9&lt;=Condition!$F$17,Condition!$D$17,IF(HE9&lt;=Condition!$F$18,Condition!$D$18,IF(HE9&gt;Condition!$E$19,Condition!$D$19,"")))))</f>
        <v>0</v>
      </c>
      <c r="HF52" s="85">
        <f>IF(HF9&lt;=Condition!$E$16,0,IF(HF9&lt;=Condition!$F$16,Condition!$D$16,IF(HF9&lt;=Condition!$F$17,Condition!$D$17,IF(HF9&lt;=Condition!$F$18,Condition!$D$18,IF(HF9&gt;Condition!$E$19,Condition!$D$19,"")))))</f>
        <v>0</v>
      </c>
      <c r="HG52" s="85">
        <f>IF(HG9&lt;=Condition!$E$16,0,IF(HG9&lt;=Condition!$F$16,Condition!$D$16,IF(HG9&lt;=Condition!$F$17,Condition!$D$17,IF(HG9&lt;=Condition!$F$18,Condition!$D$18,IF(HG9&gt;Condition!$E$19,Condition!$D$19,"")))))</f>
        <v>0</v>
      </c>
      <c r="HH52" s="85">
        <f>IF(HH9&lt;=Condition!$E$16,0,IF(HH9&lt;=Condition!$F$16,Condition!$D$16,IF(HH9&lt;=Condition!$F$17,Condition!$D$17,IF(HH9&lt;=Condition!$F$18,Condition!$D$18,IF(HH9&gt;Condition!$E$19,Condition!$D$19,"")))))</f>
        <v>0</v>
      </c>
      <c r="HI52" s="85">
        <f>IF(HI9&lt;=Condition!$E$16,0,IF(HI9&lt;=Condition!$F$16,Condition!$D$16,IF(HI9&lt;=Condition!$F$17,Condition!$D$17,IF(HI9&lt;=Condition!$F$18,Condition!$D$18,IF(HI9&gt;Condition!$E$19,Condition!$D$19,"")))))</f>
        <v>0</v>
      </c>
      <c r="HJ52" s="85">
        <f>IF(HJ9&lt;=Condition!$E$16,0,IF(HJ9&lt;=Condition!$F$16,Condition!$D$16,IF(HJ9&lt;=Condition!$F$17,Condition!$D$17,IF(HJ9&lt;=Condition!$F$18,Condition!$D$18,IF(HJ9&gt;Condition!$E$19,Condition!$D$19,"")))))</f>
        <v>0</v>
      </c>
      <c r="HK52" s="85">
        <f>IF(HK9&lt;=Condition!$E$16,0,IF(HK9&lt;=Condition!$F$16,Condition!$D$16,IF(HK9&lt;=Condition!$F$17,Condition!$D$17,IF(HK9&lt;=Condition!$F$18,Condition!$D$18,IF(HK9&gt;Condition!$E$19,Condition!$D$19,"")))))</f>
        <v>0</v>
      </c>
      <c r="HL52" s="85">
        <f>IF(HL9&lt;=Condition!$E$16,0,IF(HL9&lt;=Condition!$F$16,Condition!$D$16,IF(HL9&lt;=Condition!$F$17,Condition!$D$17,IF(HL9&lt;=Condition!$F$18,Condition!$D$18,IF(HL9&gt;Condition!$E$19,Condition!$D$19,"")))))</f>
        <v>0</v>
      </c>
      <c r="HM52" s="85">
        <f>IF(HM9&lt;=Condition!$E$16,0,IF(HM9&lt;=Condition!$F$16,Condition!$D$16,IF(HM9&lt;=Condition!$F$17,Condition!$D$17,IF(HM9&lt;=Condition!$F$18,Condition!$D$18,IF(HM9&gt;Condition!$E$19,Condition!$D$19,"")))))</f>
        <v>0</v>
      </c>
      <c r="HN52" s="85">
        <f>IF(HN9&lt;=Condition!$E$16,0,IF(HN9&lt;=Condition!$F$16,Condition!$D$16,IF(HN9&lt;=Condition!$F$17,Condition!$D$17,IF(HN9&lt;=Condition!$F$18,Condition!$D$18,IF(HN9&gt;Condition!$E$19,Condition!$D$19,"")))))</f>
        <v>0</v>
      </c>
      <c r="HO52" s="85">
        <f>IF(HO9&lt;=Condition!$E$16,0,IF(HO9&lt;=Condition!$F$16,Condition!$D$16,IF(HO9&lt;=Condition!$F$17,Condition!$D$17,IF(HO9&lt;=Condition!$F$18,Condition!$D$18,IF(HO9&gt;Condition!$E$19,Condition!$D$19,"")))))</f>
        <v>0</v>
      </c>
      <c r="HP52" s="85">
        <f>IF(HP9&lt;=Condition!$E$16,0,IF(HP9&lt;=Condition!$F$16,Condition!$D$16,IF(HP9&lt;=Condition!$F$17,Condition!$D$17,IF(HP9&lt;=Condition!$F$18,Condition!$D$18,IF(HP9&gt;Condition!$E$19,Condition!$D$19,"")))))</f>
        <v>0</v>
      </c>
      <c r="HQ52" s="85">
        <f>IF(HQ9&lt;=Condition!$E$16,0,IF(HQ9&lt;=Condition!$F$16,Condition!$D$16,IF(HQ9&lt;=Condition!$F$17,Condition!$D$17,IF(HQ9&lt;=Condition!$F$18,Condition!$D$18,IF(HQ9&gt;Condition!$E$19,Condition!$D$19,"")))))</f>
        <v>0</v>
      </c>
      <c r="HR52" s="85">
        <f>IF(HR9&lt;=Condition!$E$16,0,IF(HR9&lt;=Condition!$F$16,Condition!$D$16,IF(HR9&lt;=Condition!$F$17,Condition!$D$17,IF(HR9&lt;=Condition!$F$18,Condition!$D$18,IF(HR9&gt;Condition!$E$19,Condition!$D$19,"")))))</f>
        <v>0</v>
      </c>
      <c r="HS52" s="85">
        <f>IF(HS9&lt;=Condition!$E$16,0,IF(HS9&lt;=Condition!$F$16,Condition!$D$16,IF(HS9&lt;=Condition!$F$17,Condition!$D$17,IF(HS9&lt;=Condition!$F$18,Condition!$D$18,IF(HS9&gt;Condition!$E$19,Condition!$D$19,"")))))</f>
        <v>0</v>
      </c>
      <c r="HT52" s="85">
        <f>IF(HT9&lt;=Condition!$E$16,0,IF(HT9&lt;=Condition!$F$16,Condition!$D$16,IF(HT9&lt;=Condition!$F$17,Condition!$D$17,IF(HT9&lt;=Condition!$F$18,Condition!$D$18,IF(HT9&gt;Condition!$E$19,Condition!$D$19,"")))))</f>
        <v>0</v>
      </c>
      <c r="HU52" s="85">
        <f>IF(HU9&lt;=Condition!$E$16,0,IF(HU9&lt;=Condition!$F$16,Condition!$D$16,IF(HU9&lt;=Condition!$F$17,Condition!$D$17,IF(HU9&lt;=Condition!$F$18,Condition!$D$18,IF(HU9&gt;Condition!$E$19,Condition!$D$19,"")))))</f>
        <v>0</v>
      </c>
      <c r="HV52" s="85">
        <f>IF(HV9&lt;=Condition!$E$16,0,IF(HV9&lt;=Condition!$F$16,Condition!$D$16,IF(HV9&lt;=Condition!$F$17,Condition!$D$17,IF(HV9&lt;=Condition!$F$18,Condition!$D$18,IF(HV9&gt;Condition!$E$19,Condition!$D$19,"")))))</f>
        <v>0</v>
      </c>
      <c r="HW52" s="85">
        <f>IF(HW9&lt;=Condition!$E$16,0,IF(HW9&lt;=Condition!$F$16,Condition!$D$16,IF(HW9&lt;=Condition!$F$17,Condition!$D$17,IF(HW9&lt;=Condition!$F$18,Condition!$D$18,IF(HW9&gt;Condition!$E$19,Condition!$D$19,"")))))</f>
        <v>0</v>
      </c>
      <c r="HX52" s="85">
        <f>IF(HX9&lt;=Condition!$E$16,0,IF(HX9&lt;=Condition!$F$16,Condition!$D$16,IF(HX9&lt;=Condition!$F$17,Condition!$D$17,IF(HX9&lt;=Condition!$F$18,Condition!$D$18,IF(HX9&gt;Condition!$E$19,Condition!$D$19,"")))))</f>
        <v>0</v>
      </c>
      <c r="HY52" s="85">
        <f>IF(HY9&lt;=Condition!$E$16,0,IF(HY9&lt;=Condition!$F$16,Condition!$D$16,IF(HY9&lt;=Condition!$F$17,Condition!$D$17,IF(HY9&lt;=Condition!$F$18,Condition!$D$18,IF(HY9&gt;Condition!$E$19,Condition!$D$19,"")))))</f>
        <v>0</v>
      </c>
      <c r="HZ52" s="85">
        <f>IF(HZ9&lt;=Condition!$E$16,0,IF(HZ9&lt;=Condition!$F$16,Condition!$D$16,IF(HZ9&lt;=Condition!$F$17,Condition!$D$17,IF(HZ9&lt;=Condition!$F$18,Condition!$D$18,IF(HZ9&gt;Condition!$E$19,Condition!$D$19,"")))))</f>
        <v>0</v>
      </c>
      <c r="IA52" s="85">
        <f>IF(IA9&lt;=Condition!$E$16,0,IF(IA9&lt;=Condition!$F$16,Condition!$D$16,IF(IA9&lt;=Condition!$F$17,Condition!$D$17,IF(IA9&lt;=Condition!$F$18,Condition!$D$18,IF(IA9&gt;Condition!$E$19,Condition!$D$19,"")))))</f>
        <v>0</v>
      </c>
      <c r="IB52" s="85">
        <f>IF(IB9&lt;=Condition!$E$16,0,IF(IB9&lt;=Condition!$F$16,Condition!$D$16,IF(IB9&lt;=Condition!$F$17,Condition!$D$17,IF(IB9&lt;=Condition!$F$18,Condition!$D$18,IF(IB9&gt;Condition!$E$19,Condition!$D$19,"")))))</f>
        <v>0</v>
      </c>
      <c r="IC52" s="85">
        <f>IF(IC9&lt;=Condition!$E$16,0,IF(IC9&lt;=Condition!$F$16,Condition!$D$16,IF(IC9&lt;=Condition!$F$17,Condition!$D$17,IF(IC9&lt;=Condition!$F$18,Condition!$D$18,IF(IC9&gt;Condition!$E$19,Condition!$D$19,"")))))</f>
        <v>0</v>
      </c>
      <c r="ID52" s="85">
        <f>IF(ID9&lt;=Condition!$E$16,0,IF(ID9&lt;=Condition!$F$16,Condition!$D$16,IF(ID9&lt;=Condition!$F$17,Condition!$D$17,IF(ID9&lt;=Condition!$F$18,Condition!$D$18,IF(ID9&gt;Condition!$E$19,Condition!$D$19,"")))))</f>
        <v>0</v>
      </c>
      <c r="IE52" s="85">
        <f>IF(IE9&lt;=Condition!$E$16,0,IF(IE9&lt;=Condition!$F$16,Condition!$D$16,IF(IE9&lt;=Condition!$F$17,Condition!$D$17,IF(IE9&lt;=Condition!$F$18,Condition!$D$18,IF(IE9&gt;Condition!$E$19,Condition!$D$19,"")))))</f>
        <v>0</v>
      </c>
      <c r="IF52" s="85">
        <f>IF(IF9&lt;=Condition!$E$16,0,IF(IF9&lt;=Condition!$F$16,Condition!$D$16,IF(IF9&lt;=Condition!$F$17,Condition!$D$17,IF(IF9&lt;=Condition!$F$18,Condition!$D$18,IF(IF9&gt;Condition!$E$19,Condition!$D$19,"")))))</f>
        <v>0</v>
      </c>
      <c r="IG52" s="85">
        <f>IF(IG9&lt;=Condition!$E$16,0,IF(IG9&lt;=Condition!$F$16,Condition!$D$16,IF(IG9&lt;=Condition!$F$17,Condition!$D$17,IF(IG9&lt;=Condition!$F$18,Condition!$D$18,IF(IG9&gt;Condition!$E$19,Condition!$D$19,"")))))</f>
        <v>0</v>
      </c>
      <c r="IH52" s="85">
        <f>IF(IH9&lt;=Condition!$E$16,0,IF(IH9&lt;=Condition!$F$16,Condition!$D$16,IF(IH9&lt;=Condition!$F$17,Condition!$D$17,IF(IH9&lt;=Condition!$F$18,Condition!$D$18,IF(IH9&gt;Condition!$E$19,Condition!$D$19,"")))))</f>
        <v>0</v>
      </c>
      <c r="II52" s="85">
        <f>IF(II9&lt;=Condition!$E$16,0,IF(II9&lt;=Condition!$F$16,Condition!$D$16,IF(II9&lt;=Condition!$F$17,Condition!$D$17,IF(II9&lt;=Condition!$F$18,Condition!$D$18,IF(II9&gt;Condition!$E$19,Condition!$D$19,"")))))</f>
        <v>0</v>
      </c>
      <c r="IJ52" s="85">
        <f>IF(IJ9&lt;=Condition!$E$16,0,IF(IJ9&lt;=Condition!$F$16,Condition!$D$16,IF(IJ9&lt;=Condition!$F$17,Condition!$D$17,IF(IJ9&lt;=Condition!$F$18,Condition!$D$18,IF(IJ9&gt;Condition!$E$19,Condition!$D$19,"")))))</f>
        <v>0</v>
      </c>
      <c r="IK52" s="85">
        <f>IF(IK9&lt;=Condition!$E$16,0,IF(IK9&lt;=Condition!$F$16,Condition!$D$16,IF(IK9&lt;=Condition!$F$17,Condition!$D$17,IF(IK9&lt;=Condition!$F$18,Condition!$D$18,IF(IK9&gt;Condition!$E$19,Condition!$D$19,"")))))</f>
        <v>0</v>
      </c>
      <c r="IL52" s="85">
        <f>IF(IL9&lt;=Condition!$E$16,0,IF(IL9&lt;=Condition!$F$16,Condition!$D$16,IF(IL9&lt;=Condition!$F$17,Condition!$D$17,IF(IL9&lt;=Condition!$F$18,Condition!$D$18,IF(IL9&gt;Condition!$E$19,Condition!$D$19,"")))))</f>
        <v>0</v>
      </c>
      <c r="IM52" s="85">
        <f>IF(IM9&lt;=Condition!$E$16,0,IF(IM9&lt;=Condition!$F$16,Condition!$D$16,IF(IM9&lt;=Condition!$F$17,Condition!$D$17,IF(IM9&lt;=Condition!$F$18,Condition!$D$18,IF(IM9&gt;Condition!$E$19,Condition!$D$19,"")))))</f>
        <v>0</v>
      </c>
      <c r="IN52" s="85">
        <f>IF(IN9&lt;=Condition!$E$16,0,IF(IN9&lt;=Condition!$F$16,Condition!$D$16,IF(IN9&lt;=Condition!$F$17,Condition!$D$17,IF(IN9&lt;=Condition!$F$18,Condition!$D$18,IF(IN9&gt;Condition!$E$19,Condition!$D$19,"")))))</f>
        <v>0</v>
      </c>
      <c r="IO52" s="85">
        <f>IF(IO9&lt;=Condition!$E$16,0,IF(IO9&lt;=Condition!$F$16,Condition!$D$16,IF(IO9&lt;=Condition!$F$17,Condition!$D$17,IF(IO9&lt;=Condition!$F$18,Condition!$D$18,IF(IO9&gt;Condition!$E$19,Condition!$D$19,"")))))</f>
        <v>0</v>
      </c>
      <c r="IP52" s="85">
        <f>IF(IP9&lt;=Condition!$E$16,0,IF(IP9&lt;=Condition!$F$16,Condition!$D$16,IF(IP9&lt;=Condition!$F$17,Condition!$D$17,IF(IP9&lt;=Condition!$F$18,Condition!$D$18,IF(IP9&gt;Condition!$E$19,Condition!$D$19,"")))))</f>
        <v>0</v>
      </c>
      <c r="IQ52" s="85">
        <f>IF(IQ9&lt;=Condition!$E$16,0,IF(IQ9&lt;=Condition!$F$16,Condition!$D$16,IF(IQ9&lt;=Condition!$F$17,Condition!$D$17,IF(IQ9&lt;=Condition!$F$18,Condition!$D$18,IF(IQ9&gt;Condition!$E$19,Condition!$D$19,"")))))</f>
        <v>0</v>
      </c>
      <c r="IR52" s="85">
        <f>IF(IR9&lt;=Condition!$E$16,0,IF(IR9&lt;=Condition!$F$16,Condition!$D$16,IF(IR9&lt;=Condition!$F$17,Condition!$D$17,IF(IR9&lt;=Condition!$F$18,Condition!$D$18,IF(IR9&gt;Condition!$E$19,Condition!$D$19,"")))))</f>
        <v>0</v>
      </c>
      <c r="IS52" s="85">
        <f>IF(IS9&lt;=Condition!$E$16,0,IF(IS9&lt;=Condition!$F$16,Condition!$D$16,IF(IS9&lt;=Condition!$F$17,Condition!$D$17,IF(IS9&lt;=Condition!$F$18,Condition!$D$18,IF(IS9&gt;Condition!$E$19,Condition!$D$19,"")))))</f>
        <v>0</v>
      </c>
      <c r="IT52" s="85">
        <f>IF(IT9&lt;=Condition!$E$16,0,IF(IT9&lt;=Condition!$F$16,Condition!$D$16,IF(IT9&lt;=Condition!$F$17,Condition!$D$17,IF(IT9&lt;=Condition!$F$18,Condition!$D$18,IF(IT9&gt;Condition!$E$19,Condition!$D$19,"")))))</f>
        <v>0</v>
      </c>
      <c r="IU52" s="85">
        <f>IF(IU9&lt;=Condition!$E$16,0,IF(IU9&lt;=Condition!$F$16,Condition!$D$16,IF(IU9&lt;=Condition!$F$17,Condition!$D$17,IF(IU9&lt;=Condition!$F$18,Condition!$D$18,IF(IU9&gt;Condition!$E$19,Condition!$D$19,"")))))</f>
        <v>0</v>
      </c>
      <c r="IV52" s="85">
        <f>IF(IV9&lt;=Condition!$E$16,0,IF(IV9&lt;=Condition!$F$16,Condition!$D$16,IF(IV9&lt;=Condition!$F$17,Condition!$D$17,IF(IV9&lt;=Condition!$F$18,Condition!$D$18,IF(IV9&gt;Condition!$E$19,Condition!$D$19,"")))))</f>
        <v>0</v>
      </c>
      <c r="IW52" s="85">
        <f>IF(IW9&lt;=Condition!$E$16,0,IF(IW9&lt;=Condition!$F$16,Condition!$D$16,IF(IW9&lt;=Condition!$F$17,Condition!$D$17,IF(IW9&lt;=Condition!$F$18,Condition!$D$18,IF(IW9&gt;Condition!$E$19,Condition!$D$19,"")))))</f>
        <v>0</v>
      </c>
      <c r="IX52" s="85">
        <f>IF(IX9&lt;=Condition!$E$16,0,IF(IX9&lt;=Condition!$F$16,Condition!$D$16,IF(IX9&lt;=Condition!$F$17,Condition!$D$17,IF(IX9&lt;=Condition!$F$18,Condition!$D$18,IF(IX9&gt;Condition!$E$19,Condition!$D$19,"")))))</f>
        <v>0</v>
      </c>
      <c r="IY52" s="85">
        <f>IF(IY9&lt;=Condition!$E$16,0,IF(IY9&lt;=Condition!$F$16,Condition!$D$16,IF(IY9&lt;=Condition!$F$17,Condition!$D$17,IF(IY9&lt;=Condition!$F$18,Condition!$D$18,IF(IY9&gt;Condition!$E$19,Condition!$D$19,"")))))</f>
        <v>0</v>
      </c>
      <c r="IZ52" s="85">
        <f>IF(IZ9&lt;=Condition!$E$16,0,IF(IZ9&lt;=Condition!$F$16,Condition!$D$16,IF(IZ9&lt;=Condition!$F$17,Condition!$D$17,IF(IZ9&lt;=Condition!$F$18,Condition!$D$18,IF(IZ9&gt;Condition!$E$19,Condition!$D$19,"")))))</f>
        <v>0</v>
      </c>
      <c r="JA52" s="85">
        <f>IF(JA9&lt;=Condition!$E$16,0,IF(JA9&lt;=Condition!$F$16,Condition!$D$16,IF(JA9&lt;=Condition!$F$17,Condition!$D$17,IF(JA9&lt;=Condition!$F$18,Condition!$D$18,IF(JA9&gt;Condition!$E$19,Condition!$D$19,"")))))</f>
        <v>0</v>
      </c>
      <c r="JB52" s="85">
        <f>IF(JB9&lt;=Condition!$E$16,0,IF(JB9&lt;=Condition!$F$16,Condition!$D$16,IF(JB9&lt;=Condition!$F$17,Condition!$D$17,IF(JB9&lt;=Condition!$F$18,Condition!$D$18,IF(JB9&gt;Condition!$E$19,Condition!$D$19,"")))))</f>
        <v>0</v>
      </c>
      <c r="JC52" s="85">
        <f>IF(JC9&lt;=Condition!$E$16,0,IF(JC9&lt;=Condition!$F$16,Condition!$D$16,IF(JC9&lt;=Condition!$F$17,Condition!$D$17,IF(JC9&lt;=Condition!$F$18,Condition!$D$18,IF(JC9&gt;Condition!$E$19,Condition!$D$19,"")))))</f>
        <v>0</v>
      </c>
      <c r="JD52" s="85">
        <f>IF(JD9&lt;=Condition!$E$16,0,IF(JD9&lt;=Condition!$F$16,Condition!$D$16,IF(JD9&lt;=Condition!$F$17,Condition!$D$17,IF(JD9&lt;=Condition!$F$18,Condition!$D$18,IF(JD9&gt;Condition!$E$19,Condition!$D$19,"")))))</f>
        <v>0</v>
      </c>
      <c r="JE52" s="85">
        <f>IF(JE9&lt;=Condition!$E$16,0,IF(JE9&lt;=Condition!$F$16,Condition!$D$16,IF(JE9&lt;=Condition!$F$17,Condition!$D$17,IF(JE9&lt;=Condition!$F$18,Condition!$D$18,IF(JE9&gt;Condition!$E$19,Condition!$D$19,"")))))</f>
        <v>0</v>
      </c>
      <c r="JF52" s="85">
        <f>IF(JF9&lt;=Condition!$E$16,0,IF(JF9&lt;=Condition!$F$16,Condition!$D$16,IF(JF9&lt;=Condition!$F$17,Condition!$D$17,IF(JF9&lt;=Condition!$F$18,Condition!$D$18,IF(JF9&gt;Condition!$E$19,Condition!$D$19,"")))))</f>
        <v>0</v>
      </c>
      <c r="JG52" s="85">
        <f>IF(JG9&lt;=Condition!$E$16,0,IF(JG9&lt;=Condition!$F$16,Condition!$D$16,IF(JG9&lt;=Condition!$F$17,Condition!$D$17,IF(JG9&lt;=Condition!$F$18,Condition!$D$18,IF(JG9&gt;Condition!$E$19,Condition!$D$19,"")))))</f>
        <v>0</v>
      </c>
      <c r="JH52" s="85">
        <f>IF(JH9&lt;=Condition!$E$16,0,IF(JH9&lt;=Condition!$F$16,Condition!$D$16,IF(JH9&lt;=Condition!$F$17,Condition!$D$17,IF(JH9&lt;=Condition!$F$18,Condition!$D$18,IF(JH9&gt;Condition!$E$19,Condition!$D$19,"")))))</f>
        <v>0</v>
      </c>
      <c r="JI52" s="85">
        <f>IF(JI9&lt;=Condition!$E$16,0,IF(JI9&lt;=Condition!$F$16,Condition!$D$16,IF(JI9&lt;=Condition!$F$17,Condition!$D$17,IF(JI9&lt;=Condition!$F$18,Condition!$D$18,IF(JI9&gt;Condition!$E$19,Condition!$D$19,"")))))</f>
        <v>0</v>
      </c>
      <c r="JJ52" s="85">
        <f>IF(JJ9&lt;=Condition!$E$16,0,IF(JJ9&lt;=Condition!$F$16,Condition!$D$16,IF(JJ9&lt;=Condition!$F$17,Condition!$D$17,IF(JJ9&lt;=Condition!$F$18,Condition!$D$18,IF(JJ9&gt;Condition!$E$19,Condition!$D$19,"")))))</f>
        <v>0</v>
      </c>
      <c r="JK52" s="85">
        <f>IF(JK9&lt;=Condition!$E$16,0,IF(JK9&lt;=Condition!$F$16,Condition!$D$16,IF(JK9&lt;=Condition!$F$17,Condition!$D$17,IF(JK9&lt;=Condition!$F$18,Condition!$D$18,IF(JK9&gt;Condition!$E$19,Condition!$D$19,"")))))</f>
        <v>0</v>
      </c>
      <c r="JL52" s="85">
        <f>IF(JL9&lt;=Condition!$E$16,0,IF(JL9&lt;=Condition!$F$16,Condition!$D$16,IF(JL9&lt;=Condition!$F$17,Condition!$D$17,IF(JL9&lt;=Condition!$F$18,Condition!$D$18,IF(JL9&gt;Condition!$E$19,Condition!$D$19,"")))))</f>
        <v>0</v>
      </c>
      <c r="JM52" s="85">
        <f>IF(JM9&lt;=Condition!$E$16,0,IF(JM9&lt;=Condition!$F$16,Condition!$D$16,IF(JM9&lt;=Condition!$F$17,Condition!$D$17,IF(JM9&lt;=Condition!$F$18,Condition!$D$18,IF(JM9&gt;Condition!$E$19,Condition!$D$19,"")))))</f>
        <v>0</v>
      </c>
      <c r="JN52" s="85">
        <f>IF(JN9&lt;=Condition!$E$16,0,IF(JN9&lt;=Condition!$F$16,Condition!$D$16,IF(JN9&lt;=Condition!$F$17,Condition!$D$17,IF(JN9&lt;=Condition!$F$18,Condition!$D$18,IF(JN9&gt;Condition!$E$19,Condition!$D$19,"")))))</f>
        <v>0</v>
      </c>
      <c r="JO52" s="85">
        <f>IF(JO9&lt;=Condition!$E$16,0,IF(JO9&lt;=Condition!$F$16,Condition!$D$16,IF(JO9&lt;=Condition!$F$17,Condition!$D$17,IF(JO9&lt;=Condition!$F$18,Condition!$D$18,IF(JO9&gt;Condition!$E$19,Condition!$D$19,"")))))</f>
        <v>0</v>
      </c>
      <c r="JP52" s="85">
        <f>IF(JP9&lt;=Condition!$E$16,0,IF(JP9&lt;=Condition!$F$16,Condition!$D$16,IF(JP9&lt;=Condition!$F$17,Condition!$D$17,IF(JP9&lt;=Condition!$F$18,Condition!$D$18,IF(JP9&gt;Condition!$E$19,Condition!$D$19,"")))))</f>
        <v>0</v>
      </c>
      <c r="JQ52" s="85">
        <f>IF(JQ9&lt;=Condition!$E$16,0,IF(JQ9&lt;=Condition!$F$16,Condition!$D$16,IF(JQ9&lt;=Condition!$F$17,Condition!$D$17,IF(JQ9&lt;=Condition!$F$18,Condition!$D$18,IF(JQ9&gt;Condition!$E$19,Condition!$D$19,"")))))</f>
        <v>0</v>
      </c>
      <c r="JR52" s="85">
        <f>IF(JR9&lt;=Condition!$E$16,0,IF(JR9&lt;=Condition!$F$16,Condition!$D$16,IF(JR9&lt;=Condition!$F$17,Condition!$D$17,IF(JR9&lt;=Condition!$F$18,Condition!$D$18,IF(JR9&gt;Condition!$E$19,Condition!$D$19,"")))))</f>
        <v>0</v>
      </c>
      <c r="JS52" s="85">
        <f>IF(JS9&lt;=Condition!$E$16,0,IF(JS9&lt;=Condition!$F$16,Condition!$D$16,IF(JS9&lt;=Condition!$F$17,Condition!$D$17,IF(JS9&lt;=Condition!$F$18,Condition!$D$18,IF(JS9&gt;Condition!$E$19,Condition!$D$19,"")))))</f>
        <v>0</v>
      </c>
      <c r="JT52" s="85">
        <f>IF(JT9&lt;=Condition!$E$16,0,IF(JT9&lt;=Condition!$F$16,Condition!$D$16,IF(JT9&lt;=Condition!$F$17,Condition!$D$17,IF(JT9&lt;=Condition!$F$18,Condition!$D$18,IF(JT9&gt;Condition!$E$19,Condition!$D$19,"")))))</f>
        <v>0</v>
      </c>
      <c r="JU52" s="85">
        <f>IF(JU9&lt;=Condition!$E$16,0,IF(JU9&lt;=Condition!$F$16,Condition!$D$16,IF(JU9&lt;=Condition!$F$17,Condition!$D$17,IF(JU9&lt;=Condition!$F$18,Condition!$D$18,IF(JU9&gt;Condition!$E$19,Condition!$D$19,"")))))</f>
        <v>0</v>
      </c>
      <c r="JV52" s="85">
        <f>IF(JV9&lt;=Condition!$E$16,0,IF(JV9&lt;=Condition!$F$16,Condition!$D$16,IF(JV9&lt;=Condition!$F$17,Condition!$D$17,IF(JV9&lt;=Condition!$F$18,Condition!$D$18,IF(JV9&gt;Condition!$E$19,Condition!$D$19,"")))))</f>
        <v>0</v>
      </c>
      <c r="JW52" s="85">
        <f>IF(JW9&lt;=Condition!$E$16,0,IF(JW9&lt;=Condition!$F$16,Condition!$D$16,IF(JW9&lt;=Condition!$F$17,Condition!$D$17,IF(JW9&lt;=Condition!$F$18,Condition!$D$18,IF(JW9&gt;Condition!$E$19,Condition!$D$19,"")))))</f>
        <v>0</v>
      </c>
      <c r="JX52" s="85">
        <f>IF(JX9&lt;=Condition!$E$16,0,IF(JX9&lt;=Condition!$F$16,Condition!$D$16,IF(JX9&lt;=Condition!$F$17,Condition!$D$17,IF(JX9&lt;=Condition!$F$18,Condition!$D$18,IF(JX9&gt;Condition!$E$19,Condition!$D$19,"")))))</f>
        <v>0</v>
      </c>
      <c r="JY52" s="85">
        <f>IF(JY9&lt;=Condition!$E$16,0,IF(JY9&lt;=Condition!$F$16,Condition!$D$16,IF(JY9&lt;=Condition!$F$17,Condition!$D$17,IF(JY9&lt;=Condition!$F$18,Condition!$D$18,IF(JY9&gt;Condition!$E$19,Condition!$D$19,"")))))</f>
        <v>0</v>
      </c>
      <c r="JZ52" s="85">
        <f>IF(JZ9&lt;=Condition!$E$16,0,IF(JZ9&lt;=Condition!$F$16,Condition!$D$16,IF(JZ9&lt;=Condition!$F$17,Condition!$D$17,IF(JZ9&lt;=Condition!$F$18,Condition!$D$18,IF(JZ9&gt;Condition!$E$19,Condition!$D$19,"")))))</f>
        <v>0</v>
      </c>
      <c r="KA52" s="85">
        <f>IF(KA9&lt;=Condition!$E$16,0,IF(KA9&lt;=Condition!$F$16,Condition!$D$16,IF(KA9&lt;=Condition!$F$17,Condition!$D$17,IF(KA9&lt;=Condition!$F$18,Condition!$D$18,IF(KA9&gt;Condition!$E$19,Condition!$D$19,"")))))</f>
        <v>0</v>
      </c>
      <c r="KB52" s="85">
        <f>IF(KB9&lt;=Condition!$E$16,0,IF(KB9&lt;=Condition!$F$16,Condition!$D$16,IF(KB9&lt;=Condition!$F$17,Condition!$D$17,IF(KB9&lt;=Condition!$F$18,Condition!$D$18,IF(KB9&gt;Condition!$E$19,Condition!$D$19,"")))))</f>
        <v>0</v>
      </c>
      <c r="KC52" s="85">
        <f>IF(KC9&lt;=Condition!$E$16,0,IF(KC9&lt;=Condition!$F$16,Condition!$D$16,IF(KC9&lt;=Condition!$F$17,Condition!$D$17,IF(KC9&lt;=Condition!$F$18,Condition!$D$18,IF(KC9&gt;Condition!$E$19,Condition!$D$19,"")))))</f>
        <v>0</v>
      </c>
      <c r="KD52" s="85">
        <f>IF(KD9&lt;=Condition!$E$16,0,IF(KD9&lt;=Condition!$F$16,Condition!$D$16,IF(KD9&lt;=Condition!$F$17,Condition!$D$17,IF(KD9&lt;=Condition!$F$18,Condition!$D$18,IF(KD9&gt;Condition!$E$19,Condition!$D$19,"")))))</f>
        <v>0</v>
      </c>
      <c r="KE52" s="85">
        <f>IF(KE9&lt;=Condition!$E$16,0,IF(KE9&lt;=Condition!$F$16,Condition!$D$16,IF(KE9&lt;=Condition!$F$17,Condition!$D$17,IF(KE9&lt;=Condition!$F$18,Condition!$D$18,IF(KE9&gt;Condition!$E$19,Condition!$D$19,"")))))</f>
        <v>0</v>
      </c>
      <c r="KF52" s="85">
        <f>IF(KF9&lt;=Condition!$E$16,0,IF(KF9&lt;=Condition!$F$16,Condition!$D$16,IF(KF9&lt;=Condition!$F$17,Condition!$D$17,IF(KF9&lt;=Condition!$F$18,Condition!$D$18,IF(KF9&gt;Condition!$E$19,Condition!$D$19,"")))))</f>
        <v>0</v>
      </c>
      <c r="KG52" s="85">
        <f>IF(KG9&lt;=Condition!$E$16,0,IF(KG9&lt;=Condition!$F$16,Condition!$D$16,IF(KG9&lt;=Condition!$F$17,Condition!$D$17,IF(KG9&lt;=Condition!$F$18,Condition!$D$18,IF(KG9&gt;Condition!$E$19,Condition!$D$19,"")))))</f>
        <v>0</v>
      </c>
      <c r="KH52" s="85">
        <f>IF(KH9&lt;=Condition!$E$16,0,IF(KH9&lt;=Condition!$F$16,Condition!$D$16,IF(KH9&lt;=Condition!$F$17,Condition!$D$17,IF(KH9&lt;=Condition!$F$18,Condition!$D$18,IF(KH9&gt;Condition!$E$19,Condition!$D$19,"")))))</f>
        <v>0</v>
      </c>
      <c r="KI52" s="85">
        <f>IF(KI9&lt;=Condition!$E$16,0,IF(KI9&lt;=Condition!$F$16,Condition!$D$16,IF(KI9&lt;=Condition!$F$17,Condition!$D$17,IF(KI9&lt;=Condition!$F$18,Condition!$D$18,IF(KI9&gt;Condition!$E$19,Condition!$D$19,"")))))</f>
        <v>0</v>
      </c>
    </row>
    <row r="53" spans="2:295" x14ac:dyDescent="0.25">
      <c r="B53" s="15">
        <f t="shared" ref="B53:E53" si="8">B10</f>
        <v>5</v>
      </c>
      <c r="C53" s="25" t="str">
        <f t="shared" si="8"/>
        <v>DSL-DHK</v>
      </c>
      <c r="D53" s="25" t="str">
        <f t="shared" si="8"/>
        <v>Md. Zahirul Islam</v>
      </c>
      <c r="E53" s="26">
        <f t="shared" si="8"/>
        <v>2914</v>
      </c>
      <c r="F53" s="112">
        <f t="shared" si="4"/>
        <v>7750</v>
      </c>
      <c r="G53" s="112">
        <f t="shared" si="5"/>
        <v>0</v>
      </c>
      <c r="H53" s="85">
        <f>IF(H10&lt;=Condition!$E$16,0,IF(H10&lt;=Condition!$F$16,Condition!$D$16,IF(H10&lt;=Condition!$F$17,Condition!$D$17,IF(H10&lt;=Condition!$F$18,Condition!$D$18,IF(H10&gt;Condition!$E$19,Condition!$D$19,"")))))</f>
        <v>300</v>
      </c>
      <c r="I53" s="85">
        <f>IF(I10&lt;=Condition!$E$16,0,IF(I10&lt;=Condition!$F$16,Condition!$D$16,IF(I10&lt;=Condition!$F$17,Condition!$D$17,IF(I10&lt;=Condition!$F$18,Condition!$D$18,IF(I10&gt;Condition!$E$19,Condition!$D$19,"")))))</f>
        <v>0</v>
      </c>
      <c r="J53" s="85">
        <f>IF(J10&lt;=Condition!$E$16,0,IF(J10&lt;=Condition!$F$16,Condition!$D$16,IF(J10&lt;=Condition!$F$17,Condition!$D$17,IF(J10&lt;=Condition!$F$18,Condition!$D$18,IF(J10&gt;Condition!$E$19,Condition!$D$19,"")))))</f>
        <v>300</v>
      </c>
      <c r="K53" s="85">
        <f>IF(K10&lt;=Condition!$E$16,0,IF(K10&lt;=Condition!$F$16,Condition!$D$16,IF(K10&lt;=Condition!$F$17,Condition!$D$17,IF(K10&lt;=Condition!$F$18,Condition!$D$18,IF(K10&gt;Condition!$E$19,Condition!$D$19,"")))))</f>
        <v>0</v>
      </c>
      <c r="L53" s="85">
        <f>IF(L10&lt;=Condition!$E$16,0,IF(L10&lt;=Condition!$F$16,Condition!$D$16,IF(L10&lt;=Condition!$F$17,Condition!$D$17,IF(L10&lt;=Condition!$F$18,Condition!$D$18,IF(L10&gt;Condition!$E$19,Condition!$D$19,"")))))</f>
        <v>300</v>
      </c>
      <c r="M53" s="85">
        <f>IF(M10&lt;=Condition!$E$16,0,IF(M10&lt;=Condition!$F$16,Condition!$D$16,IF(M10&lt;=Condition!$F$17,Condition!$D$17,IF(M10&lt;=Condition!$F$18,Condition!$D$18,IF(M10&gt;Condition!$E$19,Condition!$D$19,"")))))</f>
        <v>0</v>
      </c>
      <c r="N53" s="85">
        <f>IF(N10&lt;=Condition!$E$16,0,IF(N10&lt;=Condition!$F$16,Condition!$D$16,IF(N10&lt;=Condition!$F$17,Condition!$D$17,IF(N10&lt;=Condition!$F$18,Condition!$D$18,IF(N10&gt;Condition!$E$19,Condition!$D$19,"")))))</f>
        <v>300</v>
      </c>
      <c r="O53" s="85">
        <f>IF(O10&lt;=Condition!$E$16,0,IF(O10&lt;=Condition!$F$16,Condition!$D$16,IF(O10&lt;=Condition!$F$17,Condition!$D$17,IF(O10&lt;=Condition!$F$18,Condition!$D$18,IF(O10&gt;Condition!$E$19,Condition!$D$19,"")))))</f>
        <v>0</v>
      </c>
      <c r="P53" s="85">
        <f>IF(P10&lt;=Condition!$E$16,0,IF(P10&lt;=Condition!$F$16,Condition!$D$16,IF(P10&lt;=Condition!$F$17,Condition!$D$17,IF(P10&lt;=Condition!$F$18,Condition!$D$18,IF(P10&gt;Condition!$E$19,Condition!$D$19,"")))))</f>
        <v>300</v>
      </c>
      <c r="Q53" s="85">
        <f>IF(Q10&lt;=Condition!$E$16,0,IF(Q10&lt;=Condition!$F$16,Condition!$D$16,IF(Q10&lt;=Condition!$F$17,Condition!$D$17,IF(Q10&lt;=Condition!$F$18,Condition!$D$18,IF(Q10&gt;Condition!$E$19,Condition!$D$19,"")))))</f>
        <v>0</v>
      </c>
      <c r="R53" s="85">
        <f>IF(R10&lt;=Condition!$E$16,0,IF(R10&lt;=Condition!$F$16,Condition!$D$16,IF(R10&lt;=Condition!$F$17,Condition!$D$17,IF(R10&lt;=Condition!$F$18,Condition!$D$18,IF(R10&gt;Condition!$E$19,Condition!$D$19,"")))))</f>
        <v>400</v>
      </c>
      <c r="S53" s="85">
        <f>IF(S10&lt;=Condition!$E$16,0,IF(S10&lt;=Condition!$F$16,Condition!$D$16,IF(S10&lt;=Condition!$F$17,Condition!$D$17,IF(S10&lt;=Condition!$F$18,Condition!$D$18,IF(S10&gt;Condition!$E$19,Condition!$D$19,"")))))</f>
        <v>0</v>
      </c>
      <c r="T53" s="85">
        <f>IF(T10&lt;=Condition!$E$16,0,IF(T10&lt;=Condition!$F$16,Condition!$D$16,IF(T10&lt;=Condition!$F$17,Condition!$D$17,IF(T10&lt;=Condition!$F$18,Condition!$D$18,IF(T10&gt;Condition!$E$19,Condition!$D$19,"")))))</f>
        <v>500</v>
      </c>
      <c r="U53" s="85">
        <f>IF(U10&lt;=Condition!$E$16,0,IF(U10&lt;=Condition!$F$16,Condition!$D$16,IF(U10&lt;=Condition!$F$17,Condition!$D$17,IF(U10&lt;=Condition!$F$18,Condition!$D$18,IF(U10&gt;Condition!$E$19,Condition!$D$19,"")))))</f>
        <v>0</v>
      </c>
      <c r="V53" s="85">
        <f>IF(V10&lt;=Condition!$E$16,0,IF(V10&lt;=Condition!$F$16,Condition!$D$16,IF(V10&lt;=Condition!$F$17,Condition!$D$17,IF(V10&lt;=Condition!$F$18,Condition!$D$18,IF(V10&gt;Condition!$E$19,Condition!$D$19,"")))))</f>
        <v>400</v>
      </c>
      <c r="W53" s="85">
        <f>IF(W10&lt;=Condition!$E$16,0,IF(W10&lt;=Condition!$F$16,Condition!$D$16,IF(W10&lt;=Condition!$F$17,Condition!$D$17,IF(W10&lt;=Condition!$F$18,Condition!$D$18,IF(W10&gt;Condition!$E$19,Condition!$D$19,"")))))</f>
        <v>0</v>
      </c>
      <c r="X53" s="85">
        <f>IF(X10&lt;=Condition!$E$16,0,IF(X10&lt;=Condition!$F$16,Condition!$D$16,IF(X10&lt;=Condition!$F$17,Condition!$D$17,IF(X10&lt;=Condition!$F$18,Condition!$D$18,IF(X10&gt;Condition!$E$19,Condition!$D$19,"")))))</f>
        <v>300</v>
      </c>
      <c r="Y53" s="85">
        <f>IF(Y10&lt;=Condition!$E$16,0,IF(Y10&lt;=Condition!$F$16,Condition!$D$16,IF(Y10&lt;=Condition!$F$17,Condition!$D$17,IF(Y10&lt;=Condition!$F$18,Condition!$D$18,IF(Y10&gt;Condition!$E$19,Condition!$D$19,"")))))</f>
        <v>0</v>
      </c>
      <c r="Z53" s="85">
        <f>IF(Z10&lt;=Condition!$E$16,0,IF(Z10&lt;=Condition!$F$16,Condition!$D$16,IF(Z10&lt;=Condition!$F$17,Condition!$D$17,IF(Z10&lt;=Condition!$F$18,Condition!$D$18,IF(Z10&gt;Condition!$E$19,Condition!$D$19,"")))))</f>
        <v>300</v>
      </c>
      <c r="AA53" s="85">
        <f>IF(AA10&lt;=Condition!$E$16,0,IF(AA10&lt;=Condition!$F$16,Condition!$D$16,IF(AA10&lt;=Condition!$F$17,Condition!$D$17,IF(AA10&lt;=Condition!$F$18,Condition!$D$18,IF(AA10&gt;Condition!$E$19,Condition!$D$19,"")))))</f>
        <v>0</v>
      </c>
      <c r="AB53" s="85">
        <f>IF(AB10&lt;=Condition!$E$16,0,IF(AB10&lt;=Condition!$F$16,Condition!$D$16,IF(AB10&lt;=Condition!$F$17,Condition!$D$17,IF(AB10&lt;=Condition!$F$18,Condition!$D$18,IF(AB10&gt;Condition!$E$19,Condition!$D$19,"")))))</f>
        <v>300</v>
      </c>
      <c r="AC53" s="85">
        <f>IF(AC10&lt;=Condition!$E$16,0,IF(AC10&lt;=Condition!$F$16,Condition!$D$16,IF(AC10&lt;=Condition!$F$17,Condition!$D$17,IF(AC10&lt;=Condition!$F$18,Condition!$D$18,IF(AC10&gt;Condition!$E$19,Condition!$D$19,"")))))</f>
        <v>0</v>
      </c>
      <c r="AD53" s="85">
        <f>IF(AD10&lt;=Condition!$E$16,0,IF(AD10&lt;=Condition!$F$16,Condition!$D$16,IF(AD10&lt;=Condition!$F$17,Condition!$D$17,IF(AD10&lt;=Condition!$F$18,Condition!$D$18,IF(AD10&gt;Condition!$E$19,Condition!$D$19,"")))))</f>
        <v>300</v>
      </c>
      <c r="AE53" s="85">
        <f>IF(AE10&lt;=Condition!$E$16,0,IF(AE10&lt;=Condition!$F$16,Condition!$D$16,IF(AE10&lt;=Condition!$F$17,Condition!$D$17,IF(AE10&lt;=Condition!$F$18,Condition!$D$18,IF(AE10&gt;Condition!$E$19,Condition!$D$19,"")))))</f>
        <v>0</v>
      </c>
      <c r="AF53" s="85">
        <f>IF(AF10&lt;=Condition!$E$16,0,IF(AF10&lt;=Condition!$F$16,Condition!$D$16,IF(AF10&lt;=Condition!$F$17,Condition!$D$17,IF(AF10&lt;=Condition!$F$18,Condition!$D$18,IF(AF10&gt;Condition!$E$19,Condition!$D$19,"")))))</f>
        <v>300</v>
      </c>
      <c r="AG53" s="85">
        <f>IF(AG10&lt;=Condition!$E$16,0,IF(AG10&lt;=Condition!$F$16,Condition!$D$16,IF(AG10&lt;=Condition!$F$17,Condition!$D$17,IF(AG10&lt;=Condition!$F$18,Condition!$D$18,IF(AG10&gt;Condition!$E$19,Condition!$D$19,"")))))</f>
        <v>0</v>
      </c>
      <c r="AH53" s="85">
        <f>IF(AH10&lt;=Condition!$E$16,0,IF(AH10&lt;=Condition!$F$16,Condition!$D$16,IF(AH10&lt;=Condition!$F$17,Condition!$D$17,IF(AH10&lt;=Condition!$F$18,Condition!$D$18,IF(AH10&gt;Condition!$E$19,Condition!$D$19,"")))))</f>
        <v>300</v>
      </c>
      <c r="AI53" s="85">
        <f>IF(AI10&lt;=Condition!$E$16,0,IF(AI10&lt;=Condition!$F$16,Condition!$D$16,IF(AI10&lt;=Condition!$F$17,Condition!$D$17,IF(AI10&lt;=Condition!$F$18,Condition!$D$18,IF(AI10&gt;Condition!$E$19,Condition!$D$19,"")))))</f>
        <v>0</v>
      </c>
      <c r="AJ53" s="85">
        <f>IF(AJ10&lt;=Condition!$E$16,0,IF(AJ10&lt;=Condition!$F$16,Condition!$D$16,IF(AJ10&lt;=Condition!$F$17,Condition!$D$17,IF(AJ10&lt;=Condition!$F$18,Condition!$D$18,IF(AJ10&gt;Condition!$E$19,Condition!$D$19,"")))))</f>
        <v>300</v>
      </c>
      <c r="AK53" s="85">
        <f>IF(AK10&lt;=Condition!$E$16,0,IF(AK10&lt;=Condition!$F$16,Condition!$D$16,IF(AK10&lt;=Condition!$F$17,Condition!$D$17,IF(AK10&lt;=Condition!$F$18,Condition!$D$18,IF(AK10&gt;Condition!$E$19,Condition!$D$19,"")))))</f>
        <v>0</v>
      </c>
      <c r="AL53" s="85">
        <f>IF(AL10&lt;=Condition!$E$16,0,IF(AL10&lt;=Condition!$F$16,Condition!$D$16,IF(AL10&lt;=Condition!$F$17,Condition!$D$17,IF(AL10&lt;=Condition!$F$18,Condition!$D$18,IF(AL10&gt;Condition!$E$19,Condition!$D$19,"")))))</f>
        <v>400</v>
      </c>
      <c r="AM53" s="85">
        <f>IF(AM10&lt;=Condition!$E$16,0,IF(AM10&lt;=Condition!$F$16,Condition!$D$16,IF(AM10&lt;=Condition!$F$17,Condition!$D$17,IF(AM10&lt;=Condition!$F$18,Condition!$D$18,IF(AM10&gt;Condition!$E$19,Condition!$D$19,"")))))</f>
        <v>0</v>
      </c>
      <c r="AN53" s="85">
        <f>IF(AN10&lt;=Condition!$E$16,0,IF(AN10&lt;=Condition!$F$16,Condition!$D$16,IF(AN10&lt;=Condition!$F$17,Condition!$D$17,IF(AN10&lt;=Condition!$F$18,Condition!$D$18,IF(AN10&gt;Condition!$E$19,Condition!$D$19,"")))))</f>
        <v>400</v>
      </c>
      <c r="AO53" s="85">
        <f>IF(AO10&lt;=Condition!$E$16,0,IF(AO10&lt;=Condition!$F$16,Condition!$D$16,IF(AO10&lt;=Condition!$F$17,Condition!$D$17,IF(AO10&lt;=Condition!$F$18,Condition!$D$18,IF(AO10&gt;Condition!$E$19,Condition!$D$19,"")))))</f>
        <v>0</v>
      </c>
      <c r="AP53" s="85">
        <f>IF(AP10&lt;=Condition!$E$16,0,IF(AP10&lt;=Condition!$F$16,Condition!$D$16,IF(AP10&lt;=Condition!$F$17,Condition!$D$17,IF(AP10&lt;=Condition!$F$18,Condition!$D$18,IF(AP10&gt;Condition!$E$19,Condition!$D$19,"")))))</f>
        <v>500</v>
      </c>
      <c r="AQ53" s="85">
        <f>IF(AQ10&lt;=Condition!$E$16,0,IF(AQ10&lt;=Condition!$F$16,Condition!$D$16,IF(AQ10&lt;=Condition!$F$17,Condition!$D$17,IF(AQ10&lt;=Condition!$F$18,Condition!$D$18,IF(AQ10&gt;Condition!$E$19,Condition!$D$19,"")))))</f>
        <v>0</v>
      </c>
      <c r="AR53" s="85">
        <f>IF(AR10&lt;=Condition!$E$16,0,IF(AR10&lt;=Condition!$F$16,Condition!$D$16,IF(AR10&lt;=Condition!$F$17,Condition!$D$17,IF(AR10&lt;=Condition!$F$18,Condition!$D$18,IF(AR10&gt;Condition!$E$19,Condition!$D$19,"")))))</f>
        <v>400</v>
      </c>
      <c r="AS53" s="85">
        <f>IF(AS10&lt;=Condition!$E$16,0,IF(AS10&lt;=Condition!$F$16,Condition!$D$16,IF(AS10&lt;=Condition!$F$17,Condition!$D$17,IF(AS10&lt;=Condition!$F$18,Condition!$D$18,IF(AS10&gt;Condition!$E$19,Condition!$D$19,"")))))</f>
        <v>0</v>
      </c>
      <c r="AT53" s="85">
        <f>IF(AT10&lt;=Condition!$E$16,0,IF(AT10&lt;=Condition!$F$16,Condition!$D$16,IF(AT10&lt;=Condition!$F$17,Condition!$D$17,IF(AT10&lt;=Condition!$F$18,Condition!$D$18,IF(AT10&gt;Condition!$E$19,Condition!$D$19,"")))))</f>
        <v>300</v>
      </c>
      <c r="AU53" s="85">
        <f>IF(AU10&lt;=Condition!$E$16,0,IF(AU10&lt;=Condition!$F$16,Condition!$D$16,IF(AU10&lt;=Condition!$F$17,Condition!$D$17,IF(AU10&lt;=Condition!$F$18,Condition!$D$18,IF(AU10&gt;Condition!$E$19,Condition!$D$19,"")))))</f>
        <v>0</v>
      </c>
      <c r="AV53" s="85">
        <f>IF(AV10&lt;=Condition!$E$16,0,IF(AV10&lt;=Condition!$F$16,Condition!$D$16,IF(AV10&lt;=Condition!$F$17,Condition!$D$17,IF(AV10&lt;=Condition!$F$18,Condition!$D$18,IF(AV10&gt;Condition!$E$19,Condition!$D$19,"")))))</f>
        <v>400</v>
      </c>
      <c r="AW53" s="85">
        <f>IF(AW10&lt;=Condition!$E$16,0,IF(AW10&lt;=Condition!$F$16,Condition!$D$16,IF(AW10&lt;=Condition!$F$17,Condition!$D$17,IF(AW10&lt;=Condition!$F$18,Condition!$D$18,IF(AW10&gt;Condition!$E$19,Condition!$D$19,"")))))</f>
        <v>0</v>
      </c>
      <c r="AX53" s="85">
        <f>IF(AX10&lt;=Condition!$E$16,0,IF(AX10&lt;=Condition!$F$16,Condition!$D$16,IF(AX10&lt;=Condition!$F$17,Condition!$D$17,IF(AX10&lt;=Condition!$F$18,Condition!$D$18,IF(AX10&gt;Condition!$E$19,Condition!$D$19,"")))))</f>
        <v>300</v>
      </c>
      <c r="AY53" s="85">
        <f>IF(AY10&lt;=Condition!$E$16,0,IF(AY10&lt;=Condition!$F$16,Condition!$D$16,IF(AY10&lt;=Condition!$F$17,Condition!$D$17,IF(AY10&lt;=Condition!$F$18,Condition!$D$18,IF(AY10&gt;Condition!$E$19,Condition!$D$19,"")))))</f>
        <v>0</v>
      </c>
      <c r="AZ53" s="85">
        <f>IF(AZ10&lt;=Condition!$E$16,0,IF(AZ10&lt;=Condition!$F$16,Condition!$D$16,IF(AZ10&lt;=Condition!$F$17,Condition!$D$17,IF(AZ10&lt;=Condition!$F$18,Condition!$D$18,IF(AZ10&gt;Condition!$E$19,Condition!$D$19,"")))))</f>
        <v>150</v>
      </c>
      <c r="BA53" s="85">
        <f>IF(BA10&lt;=Condition!$E$16,0,IF(BA10&lt;=Condition!$F$16,Condition!$D$16,IF(BA10&lt;=Condition!$F$17,Condition!$D$17,IF(BA10&lt;=Condition!$F$18,Condition!$D$18,IF(BA10&gt;Condition!$E$19,Condition!$D$19,"")))))</f>
        <v>0</v>
      </c>
      <c r="BB53" s="85">
        <f>IF(BB10&lt;=Condition!$E$16,0,IF(BB10&lt;=Condition!$F$16,Condition!$D$16,IF(BB10&lt;=Condition!$F$17,Condition!$D$17,IF(BB10&lt;=Condition!$F$18,Condition!$D$18,IF(BB10&gt;Condition!$E$19,Condition!$D$19,"")))))</f>
        <v>0</v>
      </c>
      <c r="BC53" s="85">
        <f>IF(BC10&lt;=Condition!$E$16,0,IF(BC10&lt;=Condition!$F$16,Condition!$D$16,IF(BC10&lt;=Condition!$F$17,Condition!$D$17,IF(BC10&lt;=Condition!$F$18,Condition!$D$18,IF(BC10&gt;Condition!$E$19,Condition!$D$19,"")))))</f>
        <v>0</v>
      </c>
      <c r="BD53" s="85">
        <f>IF(BD10&lt;=Condition!$E$16,0,IF(BD10&lt;=Condition!$F$16,Condition!$D$16,IF(BD10&lt;=Condition!$F$17,Condition!$D$17,IF(BD10&lt;=Condition!$F$18,Condition!$D$18,IF(BD10&gt;Condition!$E$19,Condition!$D$19,"")))))</f>
        <v>0</v>
      </c>
      <c r="BE53" s="85">
        <f>IF(BE10&lt;=Condition!$E$16,0,IF(BE10&lt;=Condition!$F$16,Condition!$D$16,IF(BE10&lt;=Condition!$F$17,Condition!$D$17,IF(BE10&lt;=Condition!$F$18,Condition!$D$18,IF(BE10&gt;Condition!$E$19,Condition!$D$19,"")))))</f>
        <v>0</v>
      </c>
      <c r="BF53" s="85">
        <f>IF(BE10&lt;=Condition!$E$16,0,IF(BE10&lt;=Condition!$F$16,Condition!$D$16,IF(BE10&lt;=Condition!$F$17,Condition!$D$17,IF(BE10&lt;=Condition!$F$18,Condition!$D$18,IF(BE10&gt;Condition!$E$19,Condition!$D$19,"")))))</f>
        <v>0</v>
      </c>
      <c r="BG53" s="85">
        <f>IF(BG10&lt;=Condition!$E$16,0,IF(BG10&lt;=Condition!$F$16,Condition!$D$16,IF(BG10&lt;=Condition!$F$17,Condition!$D$17,IF(BG10&lt;=Condition!$F$18,Condition!$D$18,IF(BG10&gt;Condition!$E$19,Condition!$D$19,"")))))</f>
        <v>0</v>
      </c>
      <c r="BH53" s="85">
        <f>IF(BG10&lt;=Condition!$E$16,0,IF(BG10&lt;=Condition!$F$16,Condition!$D$16,IF(BG10&lt;=Condition!$F$17,Condition!$D$17,IF(BG10&lt;=Condition!$F$18,Condition!$D$18,IF(BG10&gt;Condition!$E$19,Condition!$D$19,"")))))</f>
        <v>0</v>
      </c>
      <c r="BI53" s="85">
        <f>IF(BI10&lt;=Condition!$E$16,0,IF(BI10&lt;=Condition!$F$16,Condition!$D$16,IF(BI10&lt;=Condition!$F$17,Condition!$D$17,IF(BI10&lt;=Condition!$F$18,Condition!$D$18,IF(BI10&gt;Condition!$E$19,Condition!$D$19,"")))))</f>
        <v>0</v>
      </c>
      <c r="BJ53" s="85">
        <f>IF(BJ10&lt;=Condition!$E$16,0,IF(BJ10&lt;=Condition!$F$16,Condition!$D$16,IF(BJ10&lt;=Condition!$F$17,Condition!$D$17,IF(BJ10&lt;=Condition!$F$18,Condition!$D$18,IF(BJ10&gt;Condition!$E$19,Condition!$D$19,"")))))</f>
        <v>0</v>
      </c>
      <c r="BK53" s="85">
        <f>IF(BK10&lt;=Condition!$E$16,0,IF(BK10&lt;=Condition!$F$16,Condition!$D$16,IF(BK10&lt;=Condition!$F$17,Condition!$D$17,IF(BK10&lt;=Condition!$F$18,Condition!$D$18,IF(BK10&gt;Condition!$E$19,Condition!$D$19,"")))))</f>
        <v>0</v>
      </c>
      <c r="BL53" s="85">
        <f>IF(BL10&lt;=Condition!$E$16,0,IF(BL10&lt;=Condition!$F$16,Condition!$D$16,IF(BL10&lt;=Condition!$F$17,Condition!$D$17,IF(BL10&lt;=Condition!$F$18,Condition!$D$18,IF(BL10&gt;Condition!$E$19,Condition!$D$19,"")))))</f>
        <v>0</v>
      </c>
      <c r="BM53" s="85">
        <f>IF(BM10&lt;=Condition!$E$16,0,IF(BM10&lt;=Condition!$F$16,Condition!$D$16,IF(BM10&lt;=Condition!$F$17,Condition!$D$17,IF(BM10&lt;=Condition!$F$18,Condition!$D$18,IF(BM10&gt;Condition!$E$19,Condition!$D$19,"")))))</f>
        <v>0</v>
      </c>
      <c r="BN53" s="85">
        <f>IF(BN10&lt;=Condition!$E$16,0,IF(BN10&lt;=Condition!$F$16,Condition!$D$16,IF(BN10&lt;=Condition!$F$17,Condition!$D$17,IF(BN10&lt;=Condition!$F$18,Condition!$D$18,IF(BN10&gt;Condition!$E$19,Condition!$D$19,"")))))</f>
        <v>0</v>
      </c>
      <c r="BO53" s="85">
        <f>IF(BO10&lt;=Condition!$E$16,0,IF(BO10&lt;=Condition!$F$16,Condition!$D$16,IF(BO10&lt;=Condition!$F$17,Condition!$D$17,IF(BO10&lt;=Condition!$F$18,Condition!$D$18,IF(BO10&gt;Condition!$E$19,Condition!$D$19,"")))))</f>
        <v>0</v>
      </c>
      <c r="BP53" s="85">
        <f>IF(BP10&lt;=Condition!$E$16,0,IF(BP10&lt;=Condition!$F$16,Condition!$D$16,IF(BP10&lt;=Condition!$F$17,Condition!$D$17,IF(BP10&lt;=Condition!$F$18,Condition!$D$18,IF(BP10&gt;Condition!$E$19,Condition!$D$19,"")))))</f>
        <v>0</v>
      </c>
      <c r="BQ53" s="85">
        <f>IF(BQ10&lt;=Condition!$E$16,0,IF(BQ10&lt;=Condition!$F$16,Condition!$D$16,IF(BQ10&lt;=Condition!$F$17,Condition!$D$17,IF(BQ10&lt;=Condition!$F$18,Condition!$D$18,IF(BQ10&gt;Condition!$E$19,Condition!$D$19,"")))))</f>
        <v>0</v>
      </c>
      <c r="BR53" s="85">
        <f>IF(BR10&lt;=Condition!$E$16,0,IF(BR10&lt;=Condition!$F$16,Condition!$D$16,IF(BR10&lt;=Condition!$F$17,Condition!$D$17,IF(BR10&lt;=Condition!$F$18,Condition!$D$18,IF(BR10&gt;Condition!$E$19,Condition!$D$19,"")))))</f>
        <v>0</v>
      </c>
      <c r="BS53" s="85">
        <f>IF(BS10&lt;=Condition!$E$16,0,IF(BS10&lt;=Condition!$F$16,Condition!$D$16,IF(BS10&lt;=Condition!$F$17,Condition!$D$17,IF(BS10&lt;=Condition!$F$18,Condition!$D$18,IF(BS10&gt;Condition!$E$19,Condition!$D$19,"")))))</f>
        <v>0</v>
      </c>
      <c r="BT53" s="85">
        <f>IF(BT10&lt;=Condition!$E$16,0,IF(BT10&lt;=Condition!$F$16,Condition!$D$16,IF(BT10&lt;=Condition!$F$17,Condition!$D$17,IF(BT10&lt;=Condition!$F$18,Condition!$D$18,IF(BT10&gt;Condition!$E$19,Condition!$D$19,"")))))</f>
        <v>0</v>
      </c>
      <c r="BU53" s="85">
        <f>IF(BU10&lt;=Condition!$E$16,0,IF(BU10&lt;=Condition!$F$16,Condition!$D$16,IF(BU10&lt;=Condition!$F$17,Condition!$D$17,IF(BU10&lt;=Condition!$F$18,Condition!$D$18,IF(BU10&gt;Condition!$E$19,Condition!$D$19,"")))))</f>
        <v>0</v>
      </c>
      <c r="BV53" s="85">
        <f>IF(BV10&lt;=Condition!$E$16,0,IF(BV10&lt;=Condition!$F$16,Condition!$D$16,IF(BV10&lt;=Condition!$F$17,Condition!$D$17,IF(BV10&lt;=Condition!$F$18,Condition!$D$18,IF(BV10&gt;Condition!$E$19,Condition!$D$19,"")))))</f>
        <v>0</v>
      </c>
      <c r="BW53" s="85">
        <f>IF(BW10&lt;=Condition!$E$16,0,IF(BW10&lt;=Condition!$F$16,Condition!$D$16,IF(BW10&lt;=Condition!$F$17,Condition!$D$17,IF(BW10&lt;=Condition!$F$18,Condition!$D$18,IF(BW10&gt;Condition!$E$19,Condition!$D$19,"")))))</f>
        <v>0</v>
      </c>
      <c r="BX53" s="85">
        <f>IF(BX10&lt;=Condition!$E$16,0,IF(BX10&lt;=Condition!$F$16,Condition!$D$16,IF(BX10&lt;=Condition!$F$17,Condition!$D$17,IF(BX10&lt;=Condition!$F$18,Condition!$D$18,IF(BX10&gt;Condition!$E$19,Condition!$D$19,"")))))</f>
        <v>0</v>
      </c>
      <c r="BY53" s="85">
        <f>IF(BY10&lt;=Condition!$E$16,0,IF(BY10&lt;=Condition!$F$16,Condition!$D$16,IF(BY10&lt;=Condition!$F$17,Condition!$D$17,IF(BY10&lt;=Condition!$F$18,Condition!$D$18,IF(BY10&gt;Condition!$E$19,Condition!$D$19,"")))))</f>
        <v>0</v>
      </c>
      <c r="BZ53" s="85">
        <f>IF(BZ10&lt;=Condition!$E$16,0,IF(BZ10&lt;=Condition!$F$16,Condition!$D$16,IF(BZ10&lt;=Condition!$F$17,Condition!$D$17,IF(BZ10&lt;=Condition!$F$18,Condition!$D$18,IF(BZ10&gt;Condition!$E$19,Condition!$D$19,"")))))</f>
        <v>0</v>
      </c>
      <c r="CA53" s="85">
        <f>IF(CA10&lt;=Condition!$E$16,0,IF(CA10&lt;=Condition!$F$16,Condition!$D$16,IF(CA10&lt;=Condition!$F$17,Condition!$D$17,IF(CA10&lt;=Condition!$F$18,Condition!$D$18,IF(CA10&gt;Condition!$E$19,Condition!$D$19,"")))))</f>
        <v>0</v>
      </c>
      <c r="CB53" s="85">
        <f>IF(CB10&lt;=Condition!$E$16,0,IF(CB10&lt;=Condition!$F$16,Condition!$D$16,IF(CB10&lt;=Condition!$F$17,Condition!$D$17,IF(CB10&lt;=Condition!$F$18,Condition!$D$18,IF(CB10&gt;Condition!$E$19,Condition!$D$19,"")))))</f>
        <v>0</v>
      </c>
      <c r="CC53" s="85">
        <f>IF(CC10&lt;=Condition!$E$16,0,IF(CC10&lt;=Condition!$F$16,Condition!$D$16,IF(CC10&lt;=Condition!$F$17,Condition!$D$17,IF(CC10&lt;=Condition!$F$18,Condition!$D$18,IF(CC10&gt;Condition!$E$19,Condition!$D$19,"")))))</f>
        <v>0</v>
      </c>
      <c r="CD53" s="85">
        <f>IF(CD10&lt;=Condition!$E$16,0,IF(CD10&lt;=Condition!$F$16,Condition!$D$16,IF(CD10&lt;=Condition!$F$17,Condition!$D$17,IF(CD10&lt;=Condition!$F$18,Condition!$D$18,IF(CD10&gt;Condition!$E$19,Condition!$D$19,"")))))</f>
        <v>0</v>
      </c>
      <c r="CE53" s="85">
        <f>IF(CE10&lt;=Condition!$E$16,0,IF(CE10&lt;=Condition!$F$16,Condition!$D$16,IF(CE10&lt;=Condition!$F$17,Condition!$D$17,IF(CE10&lt;=Condition!$F$18,Condition!$D$18,IF(CE10&gt;Condition!$E$19,Condition!$D$19,"")))))</f>
        <v>0</v>
      </c>
      <c r="CF53" s="85">
        <f>IF(CF10&lt;=Condition!$E$16,0,IF(CF10&lt;=Condition!$F$16,Condition!$D$16,IF(CF10&lt;=Condition!$F$17,Condition!$D$17,IF(CF10&lt;=Condition!$F$18,Condition!$D$18,IF(CF10&gt;Condition!$E$19,Condition!$D$19,"")))))</f>
        <v>0</v>
      </c>
      <c r="CG53" s="85">
        <f>IF(CG10&lt;=Condition!$E$16,0,IF(CG10&lt;=Condition!$F$16,Condition!$D$16,IF(CG10&lt;=Condition!$F$17,Condition!$D$17,IF(CG10&lt;=Condition!$F$18,Condition!$D$18,IF(CG10&gt;Condition!$E$19,Condition!$D$19,"")))))</f>
        <v>0</v>
      </c>
      <c r="CH53" s="85">
        <f>IF(CH10&lt;=Condition!$E$16,0,IF(CH10&lt;=Condition!$F$16,Condition!$D$16,IF(CH10&lt;=Condition!$F$17,Condition!$D$17,IF(CH10&lt;=Condition!$F$18,Condition!$D$18,IF(CH10&gt;Condition!$E$19,Condition!$D$19,"")))))</f>
        <v>0</v>
      </c>
      <c r="CI53" s="85">
        <f>IF(CI10&lt;=Condition!$E$16,0,IF(CI10&lt;=Condition!$F$16,Condition!$D$16,IF(CI10&lt;=Condition!$F$17,Condition!$D$17,IF(CI10&lt;=Condition!$F$18,Condition!$D$18,IF(CI10&gt;Condition!$E$19,Condition!$D$19,"")))))</f>
        <v>0</v>
      </c>
      <c r="CJ53" s="85">
        <f>IF(CJ10&lt;=Condition!$E$16,0,IF(CJ10&lt;=Condition!$F$16,Condition!$D$16,IF(CJ10&lt;=Condition!$F$17,Condition!$D$17,IF(CJ10&lt;=Condition!$F$18,Condition!$D$18,IF(CJ10&gt;Condition!$E$19,Condition!$D$19,"")))))</f>
        <v>0</v>
      </c>
      <c r="CK53" s="85">
        <f>IF(CK10&lt;=Condition!$E$16,0,IF(CK10&lt;=Condition!$F$16,Condition!$D$16,IF(CK10&lt;=Condition!$F$17,Condition!$D$17,IF(CK10&lt;=Condition!$F$18,Condition!$D$18,IF(CK10&gt;Condition!$E$19,Condition!$D$19,"")))))</f>
        <v>0</v>
      </c>
      <c r="CL53" s="85">
        <f>IF(CL10&lt;=Condition!$E$16,0,IF(CL10&lt;=Condition!$F$16,Condition!$D$16,IF(CL10&lt;=Condition!$F$17,Condition!$D$17,IF(CL10&lt;=Condition!$F$18,Condition!$D$18,IF(CL10&gt;Condition!$E$19,Condition!$D$19,"")))))</f>
        <v>0</v>
      </c>
      <c r="CM53" s="85">
        <f>IF(CM10&lt;=Condition!$E$16,0,IF(CM10&lt;=Condition!$F$16,Condition!$D$16,IF(CM10&lt;=Condition!$F$17,Condition!$D$17,IF(CM10&lt;=Condition!$F$18,Condition!$D$18,IF(CM10&gt;Condition!$E$19,Condition!$D$19,"")))))</f>
        <v>0</v>
      </c>
      <c r="CN53" s="85">
        <f>IF(CN10&lt;=Condition!$E$16,0,IF(CN10&lt;=Condition!$F$16,Condition!$D$16,IF(CN10&lt;=Condition!$F$17,Condition!$D$17,IF(CN10&lt;=Condition!$F$18,Condition!$D$18,IF(CN10&gt;Condition!$E$19,Condition!$D$19,"")))))</f>
        <v>0</v>
      </c>
      <c r="CO53" s="85">
        <f>IF(CO10&lt;=Condition!$E$16,0,IF(CO10&lt;=Condition!$F$16,Condition!$D$16,IF(CO10&lt;=Condition!$F$17,Condition!$D$17,IF(CO10&lt;=Condition!$F$18,Condition!$D$18,IF(CO10&gt;Condition!$E$19,Condition!$D$19,"")))))</f>
        <v>0</v>
      </c>
      <c r="CP53" s="85">
        <f>IF(CP10&lt;=Condition!$E$16,0,IF(CP10&lt;=Condition!$F$16,Condition!$D$16,IF(CP10&lt;=Condition!$F$17,Condition!$D$17,IF(CP10&lt;=Condition!$F$18,Condition!$D$18,IF(CP10&gt;Condition!$E$19,Condition!$D$19,"")))))</f>
        <v>0</v>
      </c>
      <c r="CQ53" s="85">
        <f>IF(CQ10&lt;=Condition!$E$16,0,IF(CQ10&lt;=Condition!$F$16,Condition!$D$16,IF(CQ10&lt;=Condition!$F$17,Condition!$D$17,IF(CQ10&lt;=Condition!$F$18,Condition!$D$18,IF(CQ10&gt;Condition!$E$19,Condition!$D$19,"")))))</f>
        <v>0</v>
      </c>
      <c r="CR53" s="85">
        <f>IF(CR10&lt;=Condition!$E$16,0,IF(CR10&lt;=Condition!$F$16,Condition!$D$16,IF(CR10&lt;=Condition!$F$17,Condition!$D$17,IF(CR10&lt;=Condition!$F$18,Condition!$D$18,IF(CR10&gt;Condition!$E$19,Condition!$D$19,"")))))</f>
        <v>0</v>
      </c>
      <c r="CS53" s="85">
        <f>IF(CS10&lt;=Condition!$E$16,0,IF(CS10&lt;=Condition!$F$16,Condition!$D$16,IF(CS10&lt;=Condition!$F$17,Condition!$D$17,IF(CS10&lt;=Condition!$F$18,Condition!$D$18,IF(CS10&gt;Condition!$E$19,Condition!$D$19,"")))))</f>
        <v>0</v>
      </c>
      <c r="CT53" s="85">
        <f>IF(CT10&lt;=Condition!$E$16,0,IF(CT10&lt;=Condition!$F$16,Condition!$D$16,IF(CT10&lt;=Condition!$F$17,Condition!$D$17,IF(CT10&lt;=Condition!$F$18,Condition!$D$18,IF(CT10&gt;Condition!$E$19,Condition!$D$19,"")))))</f>
        <v>0</v>
      </c>
      <c r="CU53" s="85">
        <f>IF(CU10&lt;=Condition!$E$16,0,IF(CU10&lt;=Condition!$F$16,Condition!$D$16,IF(CU10&lt;=Condition!$F$17,Condition!$D$17,IF(CU10&lt;=Condition!$F$18,Condition!$D$18,IF(CU10&gt;Condition!$E$19,Condition!$D$19,"")))))</f>
        <v>0</v>
      </c>
      <c r="CV53" s="85">
        <f>IF(CV10&lt;=Condition!$E$16,0,IF(CV10&lt;=Condition!$F$16,Condition!$D$16,IF(CV10&lt;=Condition!$F$17,Condition!$D$17,IF(CV10&lt;=Condition!$F$18,Condition!$D$18,IF(CV10&gt;Condition!$E$19,Condition!$D$19,"")))))</f>
        <v>0</v>
      </c>
      <c r="CW53" s="85">
        <f>IF(CW10&lt;=Condition!$E$16,0,IF(CW10&lt;=Condition!$F$16,Condition!$D$16,IF(CW10&lt;=Condition!$F$17,Condition!$D$17,IF(CW10&lt;=Condition!$F$18,Condition!$D$18,IF(CW10&gt;Condition!$E$19,Condition!$D$19,"")))))</f>
        <v>0</v>
      </c>
      <c r="CX53" s="85">
        <f>IF(CX10&lt;=Condition!$E$16,0,IF(CX10&lt;=Condition!$F$16,Condition!$D$16,IF(CX10&lt;=Condition!$F$17,Condition!$D$17,IF(CX10&lt;=Condition!$F$18,Condition!$D$18,IF(CX10&gt;Condition!$E$19,Condition!$D$19,"")))))</f>
        <v>0</v>
      </c>
      <c r="CY53" s="85">
        <f>IF(CY10&lt;=Condition!$E$16,0,IF(CY10&lt;=Condition!$F$16,Condition!$D$16,IF(CY10&lt;=Condition!$F$17,Condition!$D$17,IF(CY10&lt;=Condition!$F$18,Condition!$D$18,IF(CY10&gt;Condition!$E$19,Condition!$D$19,"")))))</f>
        <v>0</v>
      </c>
      <c r="CZ53" s="85">
        <f>IF(CZ10&lt;=Condition!$E$16,0,IF(CZ10&lt;=Condition!$F$16,Condition!$D$16,IF(CZ10&lt;=Condition!$F$17,Condition!$D$17,IF(CZ10&lt;=Condition!$F$18,Condition!$D$18,IF(CZ10&gt;Condition!$E$19,Condition!$D$19,"")))))</f>
        <v>0</v>
      </c>
      <c r="DA53" s="85">
        <f>IF(DA10&lt;=Condition!$E$16,0,IF(DA10&lt;=Condition!$F$16,Condition!$D$16,IF(DA10&lt;=Condition!$F$17,Condition!$D$17,IF(DA10&lt;=Condition!$F$18,Condition!$D$18,IF(DA10&gt;Condition!$E$19,Condition!$D$19,"")))))</f>
        <v>0</v>
      </c>
      <c r="DB53" s="85">
        <f>IF(DB10&lt;=Condition!$E$16,0,IF(DB10&lt;=Condition!$F$16,Condition!$D$16,IF(DB10&lt;=Condition!$F$17,Condition!$D$17,IF(DB10&lt;=Condition!$F$18,Condition!$D$18,IF(DB10&gt;Condition!$E$19,Condition!$D$19,"")))))</f>
        <v>0</v>
      </c>
      <c r="DC53" s="85">
        <f>IF(DC10&lt;=Condition!$E$16,0,IF(DC10&lt;=Condition!$F$16,Condition!$D$16,IF(DC10&lt;=Condition!$F$17,Condition!$D$17,IF(DC10&lt;=Condition!$F$18,Condition!$D$18,IF(DC10&gt;Condition!$E$19,Condition!$D$19,"")))))</f>
        <v>0</v>
      </c>
      <c r="DD53" s="85">
        <f>IF(DD10&lt;=Condition!$E$16,0,IF(DD10&lt;=Condition!$F$16,Condition!$D$16,IF(DD10&lt;=Condition!$F$17,Condition!$D$17,IF(DD10&lt;=Condition!$F$18,Condition!$D$18,IF(DD10&gt;Condition!$E$19,Condition!$D$19,"")))))</f>
        <v>0</v>
      </c>
      <c r="DE53" s="85">
        <f>IF(DE10&lt;=Condition!$E$16,0,IF(DE10&lt;=Condition!$F$16,Condition!$D$16,IF(DE10&lt;=Condition!$F$17,Condition!$D$17,IF(DE10&lt;=Condition!$F$18,Condition!$D$18,IF(DE10&gt;Condition!$E$19,Condition!$D$19,"")))))</f>
        <v>0</v>
      </c>
      <c r="DF53" s="85">
        <f>IF(DF10&lt;=Condition!$E$16,0,IF(DF10&lt;=Condition!$F$16,Condition!$D$16,IF(DF10&lt;=Condition!$F$17,Condition!$D$17,IF(DF10&lt;=Condition!$F$18,Condition!$D$18,IF(DF10&gt;Condition!$E$19,Condition!$D$19,"")))))</f>
        <v>0</v>
      </c>
      <c r="DG53" s="85">
        <f>IF(DG10&lt;=Condition!$E$16,0,IF(DG10&lt;=Condition!$F$16,Condition!$D$16,IF(DG10&lt;=Condition!$F$17,Condition!$D$17,IF(DG10&lt;=Condition!$F$18,Condition!$D$18,IF(DG10&gt;Condition!$E$19,Condition!$D$19,"")))))</f>
        <v>0</v>
      </c>
      <c r="DH53" s="85">
        <f>IF(DH10&lt;=Condition!$E$16,0,IF(DH10&lt;=Condition!$F$16,Condition!$D$16,IF(DH10&lt;=Condition!$F$17,Condition!$D$17,IF(DH10&lt;=Condition!$F$18,Condition!$D$18,IF(DH10&gt;Condition!$E$19,Condition!$D$19,"")))))</f>
        <v>0</v>
      </c>
      <c r="DI53" s="85">
        <f>IF(DI10&lt;=Condition!$E$16,0,IF(DI10&lt;=Condition!$F$16,Condition!$D$16,IF(DI10&lt;=Condition!$F$17,Condition!$D$17,IF(DI10&lt;=Condition!$F$18,Condition!$D$18,IF(DI10&gt;Condition!$E$19,Condition!$D$19,"")))))</f>
        <v>0</v>
      </c>
      <c r="DJ53" s="85">
        <f>IF(DJ10&lt;=Condition!$E$16,0,IF(DJ10&lt;=Condition!$F$16,Condition!$D$16,IF(DJ10&lt;=Condition!$F$17,Condition!$D$17,IF(DJ10&lt;=Condition!$F$18,Condition!$D$18,IF(DJ10&gt;Condition!$E$19,Condition!$D$19,"")))))</f>
        <v>0</v>
      </c>
      <c r="DK53" s="85">
        <f>IF(DK10&lt;=Condition!$E$16,0,IF(DK10&lt;=Condition!$F$16,Condition!$D$16,IF(DK10&lt;=Condition!$F$17,Condition!$D$17,IF(DK10&lt;=Condition!$F$18,Condition!$D$18,IF(DK10&gt;Condition!$E$19,Condition!$D$19,"")))))</f>
        <v>0</v>
      </c>
      <c r="DL53" s="85">
        <f>IF(DL10&lt;=Condition!$E$16,0,IF(DL10&lt;=Condition!$F$16,Condition!$D$16,IF(DL10&lt;=Condition!$F$17,Condition!$D$17,IF(DL10&lt;=Condition!$F$18,Condition!$D$18,IF(DL10&gt;Condition!$E$19,Condition!$D$19,"")))))</f>
        <v>0</v>
      </c>
      <c r="DM53" s="85">
        <f>IF(DM10&lt;=Condition!$E$16,0,IF(DM10&lt;=Condition!$F$16,Condition!$D$16,IF(DM10&lt;=Condition!$F$17,Condition!$D$17,IF(DM10&lt;=Condition!$F$18,Condition!$D$18,IF(DM10&gt;Condition!$E$19,Condition!$D$19,"")))))</f>
        <v>0</v>
      </c>
      <c r="DN53" s="85">
        <f>IF(DN10&lt;=Condition!$E$16,0,IF(DN10&lt;=Condition!$F$16,Condition!$D$16,IF(DN10&lt;=Condition!$F$17,Condition!$D$17,IF(DN10&lt;=Condition!$F$18,Condition!$D$18,IF(DN10&gt;Condition!$E$19,Condition!$D$19,"")))))</f>
        <v>0</v>
      </c>
      <c r="DO53" s="85">
        <f>IF(DO10&lt;=Condition!$E$16,0,IF(DO10&lt;=Condition!$F$16,Condition!$D$16,IF(DO10&lt;=Condition!$F$17,Condition!$D$17,IF(DO10&lt;=Condition!$F$18,Condition!$D$18,IF(DO10&gt;Condition!$E$19,Condition!$D$19,"")))))</f>
        <v>0</v>
      </c>
      <c r="DP53" s="85">
        <f>IF(DP10&lt;=Condition!$E$16,0,IF(DP10&lt;=Condition!$F$16,Condition!$D$16,IF(DP10&lt;=Condition!$F$17,Condition!$D$17,IF(DP10&lt;=Condition!$F$18,Condition!$D$18,IF(DP10&gt;Condition!$E$19,Condition!$D$19,"")))))</f>
        <v>0</v>
      </c>
      <c r="DQ53" s="85">
        <f>IF(DQ10&lt;=Condition!$E$16,0,IF(DQ10&lt;=Condition!$F$16,Condition!$D$16,IF(DQ10&lt;=Condition!$F$17,Condition!$D$17,IF(DQ10&lt;=Condition!$F$18,Condition!$D$18,IF(DQ10&gt;Condition!$E$19,Condition!$D$19,"")))))</f>
        <v>0</v>
      </c>
      <c r="DR53" s="85">
        <f>IF(DR10&lt;=Condition!$E$16,0,IF(DR10&lt;=Condition!$F$16,Condition!$D$16,IF(DR10&lt;=Condition!$F$17,Condition!$D$17,IF(DR10&lt;=Condition!$F$18,Condition!$D$18,IF(DR10&gt;Condition!$E$19,Condition!$D$19,"")))))</f>
        <v>0</v>
      </c>
      <c r="DS53" s="85">
        <f>IF(DS10&lt;=Condition!$E$16,0,IF(DS10&lt;=Condition!$F$16,Condition!$D$16,IF(DS10&lt;=Condition!$F$17,Condition!$D$17,IF(DS10&lt;=Condition!$F$18,Condition!$D$18,IF(DS10&gt;Condition!$E$19,Condition!$D$19,"")))))</f>
        <v>0</v>
      </c>
      <c r="DT53" s="85">
        <f>IF(DT10&lt;=Condition!$E$16,0,IF(DT10&lt;=Condition!$F$16,Condition!$D$16,IF(DT10&lt;=Condition!$F$17,Condition!$D$17,IF(DT10&lt;=Condition!$F$18,Condition!$D$18,IF(DT10&gt;Condition!$E$19,Condition!$D$19,"")))))</f>
        <v>0</v>
      </c>
      <c r="DU53" s="85">
        <f>IF(DU10&lt;=Condition!$E$16,0,IF(DU10&lt;=Condition!$F$16,Condition!$D$16,IF(DU10&lt;=Condition!$F$17,Condition!$D$17,IF(DU10&lt;=Condition!$F$18,Condition!$D$18,IF(DU10&gt;Condition!$E$19,Condition!$D$19,"")))))</f>
        <v>0</v>
      </c>
      <c r="DV53" s="85">
        <f>IF(DV10&lt;=Condition!$E$16,0,IF(DV10&lt;=Condition!$F$16,Condition!$D$16,IF(DV10&lt;=Condition!$F$17,Condition!$D$17,IF(DV10&lt;=Condition!$F$18,Condition!$D$18,IF(DV10&gt;Condition!$E$19,Condition!$D$19,"")))))</f>
        <v>0</v>
      </c>
      <c r="DW53" s="85">
        <f>IF(DW10&lt;=Condition!$E$16,0,IF(DW10&lt;=Condition!$F$16,Condition!$D$16,IF(DW10&lt;=Condition!$F$17,Condition!$D$17,IF(DW10&lt;=Condition!$F$18,Condition!$D$18,IF(DW10&gt;Condition!$E$19,Condition!$D$19,"")))))</f>
        <v>0</v>
      </c>
      <c r="DX53" s="85">
        <f>IF(DX10&lt;=Condition!$E$16,0,IF(DX10&lt;=Condition!$F$16,Condition!$D$16,IF(DX10&lt;=Condition!$F$17,Condition!$D$17,IF(DX10&lt;=Condition!$F$18,Condition!$D$18,IF(DX10&gt;Condition!$E$19,Condition!$D$19,"")))))</f>
        <v>0</v>
      </c>
      <c r="DY53" s="85">
        <f>IF(DY10&lt;=Condition!$E$16,0,IF(DY10&lt;=Condition!$F$16,Condition!$D$16,IF(DY10&lt;=Condition!$F$17,Condition!$D$17,IF(DY10&lt;=Condition!$F$18,Condition!$D$18,IF(DY10&gt;Condition!$E$19,Condition!$D$19,"")))))</f>
        <v>0</v>
      </c>
      <c r="DZ53" s="85">
        <f>IF(DZ10&lt;=Condition!$E$16,0,IF(DZ10&lt;=Condition!$F$16,Condition!$D$16,IF(DZ10&lt;=Condition!$F$17,Condition!$D$17,IF(DZ10&lt;=Condition!$F$18,Condition!$D$18,IF(DZ10&gt;Condition!$E$19,Condition!$D$19,"")))))</f>
        <v>0</v>
      </c>
      <c r="EA53" s="85">
        <f>IF(EA10&lt;=Condition!$E$16,0,IF(EA10&lt;=Condition!$F$16,Condition!$D$16,IF(EA10&lt;=Condition!$F$17,Condition!$D$17,IF(EA10&lt;=Condition!$F$18,Condition!$D$18,IF(EA10&gt;Condition!$E$19,Condition!$D$19,"")))))</f>
        <v>0</v>
      </c>
      <c r="EB53" s="85">
        <f>IF(EB10&lt;=Condition!$E$16,0,IF(EB10&lt;=Condition!$F$16,Condition!$D$16,IF(EB10&lt;=Condition!$F$17,Condition!$D$17,IF(EB10&lt;=Condition!$F$18,Condition!$D$18,IF(EB10&gt;Condition!$E$19,Condition!$D$19,"")))))</f>
        <v>0</v>
      </c>
      <c r="EC53" s="85">
        <f>IF(EC10&lt;=Condition!$E$16,0,IF(EC10&lt;=Condition!$F$16,Condition!$D$16,IF(EC10&lt;=Condition!$F$17,Condition!$D$17,IF(EC10&lt;=Condition!$F$18,Condition!$D$18,IF(EC10&gt;Condition!$E$19,Condition!$D$19,"")))))</f>
        <v>0</v>
      </c>
      <c r="ED53" s="85">
        <f>IF(ED10&lt;=Condition!$E$16,0,IF(ED10&lt;=Condition!$F$16,Condition!$D$16,IF(ED10&lt;=Condition!$F$17,Condition!$D$17,IF(ED10&lt;=Condition!$F$18,Condition!$D$18,IF(ED10&gt;Condition!$E$19,Condition!$D$19,"")))))</f>
        <v>0</v>
      </c>
      <c r="EE53" s="85">
        <f>IF(EE10&lt;=Condition!$E$16,0,IF(EE10&lt;=Condition!$F$16,Condition!$D$16,IF(EE10&lt;=Condition!$F$17,Condition!$D$17,IF(EE10&lt;=Condition!$F$18,Condition!$D$18,IF(EE10&gt;Condition!$E$19,Condition!$D$19,"")))))</f>
        <v>0</v>
      </c>
      <c r="EF53" s="85">
        <f>IF(EF10&lt;=Condition!$E$16,0,IF(EF10&lt;=Condition!$F$16,Condition!$D$16,IF(EF10&lt;=Condition!$F$17,Condition!$D$17,IF(EF10&lt;=Condition!$F$18,Condition!$D$18,IF(EF10&gt;Condition!$E$19,Condition!$D$19,"")))))</f>
        <v>0</v>
      </c>
      <c r="EG53" s="85">
        <f>IF(EG10&lt;=Condition!$E$16,0,IF(EG10&lt;=Condition!$F$16,Condition!$D$16,IF(EG10&lt;=Condition!$F$17,Condition!$D$17,IF(EG10&lt;=Condition!$F$18,Condition!$D$18,IF(EG10&gt;Condition!$E$19,Condition!$D$19,"")))))</f>
        <v>0</v>
      </c>
      <c r="EH53" s="85">
        <f>IF(EH10&lt;=Condition!$E$16,0,IF(EH10&lt;=Condition!$F$16,Condition!$D$16,IF(EH10&lt;=Condition!$F$17,Condition!$D$17,IF(EH10&lt;=Condition!$F$18,Condition!$D$18,IF(EH10&gt;Condition!$E$19,Condition!$D$19,"")))))</f>
        <v>0</v>
      </c>
      <c r="EI53" s="85">
        <f>IF(EI10&lt;=Condition!$E$16,0,IF(EI10&lt;=Condition!$F$16,Condition!$D$16,IF(EI10&lt;=Condition!$F$17,Condition!$D$17,IF(EI10&lt;=Condition!$F$18,Condition!$D$18,IF(EI10&gt;Condition!$E$19,Condition!$D$19,"")))))</f>
        <v>0</v>
      </c>
      <c r="EJ53" s="85">
        <f>IF(EJ10&lt;=Condition!$E$16,0,IF(EJ10&lt;=Condition!$F$16,Condition!$D$16,IF(EJ10&lt;=Condition!$F$17,Condition!$D$17,IF(EJ10&lt;=Condition!$F$18,Condition!$D$18,IF(EJ10&gt;Condition!$E$19,Condition!$D$19,"")))))</f>
        <v>0</v>
      </c>
      <c r="EK53" s="85">
        <f>IF(EK10&lt;=Condition!$E$16,0,IF(EK10&lt;=Condition!$F$16,Condition!$D$16,IF(EK10&lt;=Condition!$F$17,Condition!$D$17,IF(EK10&lt;=Condition!$F$18,Condition!$D$18,IF(EK10&gt;Condition!$E$19,Condition!$D$19,"")))))</f>
        <v>0</v>
      </c>
      <c r="EL53" s="85">
        <f>IF(EL10&lt;=Condition!$E$16,0,IF(EL10&lt;=Condition!$F$16,Condition!$D$16,IF(EL10&lt;=Condition!$F$17,Condition!$D$17,IF(EL10&lt;=Condition!$F$18,Condition!$D$18,IF(EL10&gt;Condition!$E$19,Condition!$D$19,"")))))</f>
        <v>0</v>
      </c>
      <c r="EM53" s="85">
        <f>IF(EM10&lt;=Condition!$E$16,0,IF(EM10&lt;=Condition!$F$16,Condition!$D$16,IF(EM10&lt;=Condition!$F$17,Condition!$D$17,IF(EM10&lt;=Condition!$F$18,Condition!$D$18,IF(EM10&gt;Condition!$E$19,Condition!$D$19,"")))))</f>
        <v>0</v>
      </c>
      <c r="EN53" s="85">
        <f>IF(EN10&lt;=Condition!$E$16,0,IF(EN10&lt;=Condition!$F$16,Condition!$D$16,IF(EN10&lt;=Condition!$F$17,Condition!$D$17,IF(EN10&lt;=Condition!$F$18,Condition!$D$18,IF(EN10&gt;Condition!$E$19,Condition!$D$19,"")))))</f>
        <v>0</v>
      </c>
      <c r="EO53" s="85">
        <f>IF(EO10&lt;=Condition!$E$16,0,IF(EO10&lt;=Condition!$F$16,Condition!$D$16,IF(EO10&lt;=Condition!$F$17,Condition!$D$17,IF(EO10&lt;=Condition!$F$18,Condition!$D$18,IF(EO10&gt;Condition!$E$19,Condition!$D$19,"")))))</f>
        <v>0</v>
      </c>
      <c r="EP53" s="85">
        <f>IF(EP10&lt;=Condition!$E$16,0,IF(EP10&lt;=Condition!$F$16,Condition!$D$16,IF(EP10&lt;=Condition!$F$17,Condition!$D$17,IF(EP10&lt;=Condition!$F$18,Condition!$D$18,IF(EP10&gt;Condition!$E$19,Condition!$D$19,"")))))</f>
        <v>0</v>
      </c>
      <c r="EQ53" s="85">
        <f>IF(EQ10&lt;=Condition!$E$16,0,IF(EQ10&lt;=Condition!$F$16,Condition!$D$16,IF(EQ10&lt;=Condition!$F$17,Condition!$D$17,IF(EQ10&lt;=Condition!$F$18,Condition!$D$18,IF(EQ10&gt;Condition!$E$19,Condition!$D$19,"")))))</f>
        <v>0</v>
      </c>
      <c r="ER53" s="85">
        <f>IF(ER10&lt;=Condition!$E$16,0,IF(ER10&lt;=Condition!$F$16,Condition!$D$16,IF(ER10&lt;=Condition!$F$17,Condition!$D$17,IF(ER10&lt;=Condition!$F$18,Condition!$D$18,IF(ER10&gt;Condition!$E$19,Condition!$D$19,"")))))</f>
        <v>0</v>
      </c>
      <c r="ES53" s="85">
        <f>IF(ES10&lt;=Condition!$E$16,0,IF(ES10&lt;=Condition!$F$16,Condition!$D$16,IF(ES10&lt;=Condition!$F$17,Condition!$D$17,IF(ES10&lt;=Condition!$F$18,Condition!$D$18,IF(ES10&gt;Condition!$E$19,Condition!$D$19,"")))))</f>
        <v>0</v>
      </c>
      <c r="ET53" s="85">
        <f>IF(ET10&lt;=Condition!$E$16,0,IF(ET10&lt;=Condition!$F$16,Condition!$D$16,IF(ET10&lt;=Condition!$F$17,Condition!$D$17,IF(ET10&lt;=Condition!$F$18,Condition!$D$18,IF(ET10&gt;Condition!$E$19,Condition!$D$19,"")))))</f>
        <v>0</v>
      </c>
      <c r="EU53" s="85">
        <f>IF(EU10&lt;=Condition!$E$16,0,IF(EU10&lt;=Condition!$F$16,Condition!$D$16,IF(EU10&lt;=Condition!$F$17,Condition!$D$17,IF(EU10&lt;=Condition!$F$18,Condition!$D$18,IF(EU10&gt;Condition!$E$19,Condition!$D$19,"")))))</f>
        <v>0</v>
      </c>
      <c r="EV53" s="85">
        <f>IF(EV10&lt;=Condition!$E$16,0,IF(EV10&lt;=Condition!$F$16,Condition!$D$16,IF(EV10&lt;=Condition!$F$17,Condition!$D$17,IF(EV10&lt;=Condition!$F$18,Condition!$D$18,IF(EV10&gt;Condition!$E$19,Condition!$D$19,"")))))</f>
        <v>0</v>
      </c>
      <c r="EW53" s="85">
        <f>IF(EW10&lt;=Condition!$E$16,0,IF(EW10&lt;=Condition!$F$16,Condition!$D$16,IF(EW10&lt;=Condition!$F$17,Condition!$D$17,IF(EW10&lt;=Condition!$F$18,Condition!$D$18,IF(EW10&gt;Condition!$E$19,Condition!$D$19,"")))))</f>
        <v>0</v>
      </c>
      <c r="EX53" s="85">
        <f>IF(EX10&lt;=Condition!$E$16,0,IF(EX10&lt;=Condition!$F$16,Condition!$D$16,IF(EX10&lt;=Condition!$F$17,Condition!$D$17,IF(EX10&lt;=Condition!$F$18,Condition!$D$18,IF(EX10&gt;Condition!$E$19,Condition!$D$19,"")))))</f>
        <v>0</v>
      </c>
      <c r="EY53" s="85">
        <f>IF(EY10&lt;=Condition!$E$16,0,IF(EY10&lt;=Condition!$F$16,Condition!$D$16,IF(EY10&lt;=Condition!$F$17,Condition!$D$17,IF(EY10&lt;=Condition!$F$18,Condition!$D$18,IF(EY10&gt;Condition!$E$19,Condition!$D$19,"")))))</f>
        <v>0</v>
      </c>
      <c r="EZ53" s="85">
        <f>IF(EZ10&lt;=Condition!$E$16,0,IF(EZ10&lt;=Condition!$F$16,Condition!$D$16,IF(EZ10&lt;=Condition!$F$17,Condition!$D$17,IF(EZ10&lt;=Condition!$F$18,Condition!$D$18,IF(EZ10&gt;Condition!$E$19,Condition!$D$19,"")))))</f>
        <v>0</v>
      </c>
      <c r="FA53" s="85">
        <f>IF(FA10&lt;=Condition!$E$16,0,IF(FA10&lt;=Condition!$F$16,Condition!$D$16,IF(FA10&lt;=Condition!$F$17,Condition!$D$17,IF(FA10&lt;=Condition!$F$18,Condition!$D$18,IF(FA10&gt;Condition!$E$19,Condition!$D$19,"")))))</f>
        <v>0</v>
      </c>
      <c r="FB53" s="85">
        <f>IF(FB10&lt;=Condition!$E$16,0,IF(FB10&lt;=Condition!$F$16,Condition!$D$16,IF(FB10&lt;=Condition!$F$17,Condition!$D$17,IF(FB10&lt;=Condition!$F$18,Condition!$D$18,IF(FB10&gt;Condition!$E$19,Condition!$D$19,"")))))</f>
        <v>0</v>
      </c>
      <c r="FC53" s="85">
        <f>IF(FC10&lt;=Condition!$E$16,0,IF(FC10&lt;=Condition!$F$16,Condition!$D$16,IF(FC10&lt;=Condition!$F$17,Condition!$D$17,IF(FC10&lt;=Condition!$F$18,Condition!$D$18,IF(FC10&gt;Condition!$E$19,Condition!$D$19,"")))))</f>
        <v>0</v>
      </c>
      <c r="FD53" s="85">
        <f>IF(FD10&lt;=Condition!$E$16,0,IF(FD10&lt;=Condition!$F$16,Condition!$D$16,IF(FD10&lt;=Condition!$F$17,Condition!$D$17,IF(FD10&lt;=Condition!$F$18,Condition!$D$18,IF(FD10&gt;Condition!$E$19,Condition!$D$19,"")))))</f>
        <v>0</v>
      </c>
      <c r="FE53" s="85">
        <f>IF(FE10&lt;=Condition!$E$16,0,IF(FE10&lt;=Condition!$F$16,Condition!$D$16,IF(FE10&lt;=Condition!$F$17,Condition!$D$17,IF(FE10&lt;=Condition!$F$18,Condition!$D$18,IF(FE10&gt;Condition!$E$19,Condition!$D$19,"")))))</f>
        <v>0</v>
      </c>
      <c r="FF53" s="85">
        <f>IF(FF10&lt;=Condition!$E$16,0,IF(FF10&lt;=Condition!$F$16,Condition!$D$16,IF(FF10&lt;=Condition!$F$17,Condition!$D$17,IF(FF10&lt;=Condition!$F$18,Condition!$D$18,IF(FF10&gt;Condition!$E$19,Condition!$D$19,"")))))</f>
        <v>0</v>
      </c>
      <c r="FG53" s="85">
        <f>IF(FG10&lt;=Condition!$E$16,0,IF(FG10&lt;=Condition!$F$16,Condition!$D$16,IF(FG10&lt;=Condition!$F$17,Condition!$D$17,IF(FG10&lt;=Condition!$F$18,Condition!$D$18,IF(FG10&gt;Condition!$E$19,Condition!$D$19,"")))))</f>
        <v>0</v>
      </c>
      <c r="FH53" s="85">
        <f>IF(FH10&lt;=Condition!$E$16,0,IF(FH10&lt;=Condition!$F$16,Condition!$D$16,IF(FH10&lt;=Condition!$F$17,Condition!$D$17,IF(FH10&lt;=Condition!$F$18,Condition!$D$18,IF(FH10&gt;Condition!$E$19,Condition!$D$19,"")))))</f>
        <v>0</v>
      </c>
      <c r="FI53" s="85">
        <f>IF(FI10&lt;=Condition!$E$16,0,IF(FI10&lt;=Condition!$F$16,Condition!$D$16,IF(FI10&lt;=Condition!$F$17,Condition!$D$17,IF(FI10&lt;=Condition!$F$18,Condition!$D$18,IF(FI10&gt;Condition!$E$19,Condition!$D$19,"")))))</f>
        <v>0</v>
      </c>
      <c r="FJ53" s="85">
        <f>IF(FJ10&lt;=Condition!$E$16,0,IF(FJ10&lt;=Condition!$F$16,Condition!$D$16,IF(FJ10&lt;=Condition!$F$17,Condition!$D$17,IF(FJ10&lt;=Condition!$F$18,Condition!$D$18,IF(FJ10&gt;Condition!$E$19,Condition!$D$19,"")))))</f>
        <v>0</v>
      </c>
      <c r="FK53" s="85">
        <f>IF(FK10&lt;=Condition!$E$16,0,IF(FK10&lt;=Condition!$F$16,Condition!$D$16,IF(FK10&lt;=Condition!$F$17,Condition!$D$17,IF(FK10&lt;=Condition!$F$18,Condition!$D$18,IF(FK10&gt;Condition!$E$19,Condition!$D$19,"")))))</f>
        <v>0</v>
      </c>
      <c r="FL53" s="85">
        <f>IF(FL10&lt;=Condition!$E$16,0,IF(FL10&lt;=Condition!$F$16,Condition!$D$16,IF(FL10&lt;=Condition!$F$17,Condition!$D$17,IF(FL10&lt;=Condition!$F$18,Condition!$D$18,IF(FL10&gt;Condition!$E$19,Condition!$D$19,"")))))</f>
        <v>0</v>
      </c>
      <c r="FM53" s="85">
        <f>IF(FM10&lt;=Condition!$E$16,0,IF(FM10&lt;=Condition!$F$16,Condition!$D$16,IF(FM10&lt;=Condition!$F$17,Condition!$D$17,IF(FM10&lt;=Condition!$F$18,Condition!$D$18,IF(FM10&gt;Condition!$E$19,Condition!$D$19,"")))))</f>
        <v>0</v>
      </c>
      <c r="FN53" s="85">
        <f>IF(FN10&lt;=Condition!$E$16,0,IF(FN10&lt;=Condition!$F$16,Condition!$D$16,IF(FN10&lt;=Condition!$F$17,Condition!$D$17,IF(FN10&lt;=Condition!$F$18,Condition!$D$18,IF(FN10&gt;Condition!$E$19,Condition!$D$19,"")))))</f>
        <v>0</v>
      </c>
      <c r="FO53" s="85">
        <f>IF(FO10&lt;=Condition!$E$16,0,IF(FO10&lt;=Condition!$F$16,Condition!$D$16,IF(FO10&lt;=Condition!$F$17,Condition!$D$17,IF(FO10&lt;=Condition!$F$18,Condition!$D$18,IF(FO10&gt;Condition!$E$19,Condition!$D$19,"")))))</f>
        <v>0</v>
      </c>
      <c r="FP53" s="85">
        <f>IF(FP10&lt;=Condition!$E$16,0,IF(FP10&lt;=Condition!$F$16,Condition!$D$16,IF(FP10&lt;=Condition!$F$17,Condition!$D$17,IF(FP10&lt;=Condition!$F$18,Condition!$D$18,IF(FP10&gt;Condition!$E$19,Condition!$D$19,"")))))</f>
        <v>0</v>
      </c>
      <c r="FQ53" s="85">
        <f>IF(FQ10&lt;=Condition!$E$16,0,IF(FQ10&lt;=Condition!$F$16,Condition!$D$16,IF(FQ10&lt;=Condition!$F$17,Condition!$D$17,IF(FQ10&lt;=Condition!$F$18,Condition!$D$18,IF(FQ10&gt;Condition!$E$19,Condition!$D$19,"")))))</f>
        <v>0</v>
      </c>
      <c r="FR53" s="85">
        <f>IF(FR10&lt;=Condition!$E$16,0,IF(FR10&lt;=Condition!$F$16,Condition!$D$16,IF(FR10&lt;=Condition!$F$17,Condition!$D$17,IF(FR10&lt;=Condition!$F$18,Condition!$D$18,IF(FR10&gt;Condition!$E$19,Condition!$D$19,"")))))</f>
        <v>0</v>
      </c>
      <c r="FS53" s="85">
        <f>IF(FS10&lt;=Condition!$E$16,0,IF(FS10&lt;=Condition!$F$16,Condition!$D$16,IF(FS10&lt;=Condition!$F$17,Condition!$D$17,IF(FS10&lt;=Condition!$F$18,Condition!$D$18,IF(FS10&gt;Condition!$E$19,Condition!$D$19,"")))))</f>
        <v>0</v>
      </c>
      <c r="FT53" s="85">
        <f>IF(FT10&lt;=Condition!$E$16,0,IF(FT10&lt;=Condition!$F$16,Condition!$D$16,IF(FT10&lt;=Condition!$F$17,Condition!$D$17,IF(FT10&lt;=Condition!$F$18,Condition!$D$18,IF(FT10&gt;Condition!$E$19,Condition!$D$19,"")))))</f>
        <v>0</v>
      </c>
      <c r="FU53" s="85">
        <f>IF(FU10&lt;=Condition!$E$16,0,IF(FU10&lt;=Condition!$F$16,Condition!$D$16,IF(FU10&lt;=Condition!$F$17,Condition!$D$17,IF(FU10&lt;=Condition!$F$18,Condition!$D$18,IF(FU10&gt;Condition!$E$19,Condition!$D$19,"")))))</f>
        <v>0</v>
      </c>
      <c r="FV53" s="85">
        <f>IF(FV10&lt;=Condition!$E$16,0,IF(FV10&lt;=Condition!$F$16,Condition!$D$16,IF(FV10&lt;=Condition!$F$17,Condition!$D$17,IF(FV10&lt;=Condition!$F$18,Condition!$D$18,IF(FV10&gt;Condition!$E$19,Condition!$D$19,"")))))</f>
        <v>0</v>
      </c>
      <c r="FW53" s="85">
        <f>IF(FW10&lt;=Condition!$E$16,0,IF(FW10&lt;=Condition!$F$16,Condition!$D$16,IF(FW10&lt;=Condition!$F$17,Condition!$D$17,IF(FW10&lt;=Condition!$F$18,Condition!$D$18,IF(FW10&gt;Condition!$E$19,Condition!$D$19,"")))))</f>
        <v>0</v>
      </c>
      <c r="FX53" s="85">
        <f>IF(FX10&lt;=Condition!$E$16,0,IF(FX10&lt;=Condition!$F$16,Condition!$D$16,IF(FX10&lt;=Condition!$F$17,Condition!$D$17,IF(FX10&lt;=Condition!$F$18,Condition!$D$18,IF(FX10&gt;Condition!$E$19,Condition!$D$19,"")))))</f>
        <v>0</v>
      </c>
      <c r="FY53" s="85">
        <f>IF(FY10&lt;=Condition!$E$16,0,IF(FY10&lt;=Condition!$F$16,Condition!$D$16,IF(FY10&lt;=Condition!$F$17,Condition!$D$17,IF(FY10&lt;=Condition!$F$18,Condition!$D$18,IF(FY10&gt;Condition!$E$19,Condition!$D$19,"")))))</f>
        <v>0</v>
      </c>
      <c r="FZ53" s="85">
        <f>IF(FZ10&lt;=Condition!$E$16,0,IF(FZ10&lt;=Condition!$F$16,Condition!$D$16,IF(FZ10&lt;=Condition!$F$17,Condition!$D$17,IF(FZ10&lt;=Condition!$F$18,Condition!$D$18,IF(FZ10&gt;Condition!$E$19,Condition!$D$19,"")))))</f>
        <v>0</v>
      </c>
      <c r="GA53" s="85">
        <f>IF(GA10&lt;=Condition!$E$16,0,IF(GA10&lt;=Condition!$F$16,Condition!$D$16,IF(GA10&lt;=Condition!$F$17,Condition!$D$17,IF(GA10&lt;=Condition!$F$18,Condition!$D$18,IF(GA10&gt;Condition!$E$19,Condition!$D$19,"")))))</f>
        <v>0</v>
      </c>
      <c r="GB53" s="85">
        <f>IF(GB10&lt;=Condition!$E$16,0,IF(GB10&lt;=Condition!$F$16,Condition!$D$16,IF(GB10&lt;=Condition!$F$17,Condition!$D$17,IF(GB10&lt;=Condition!$F$18,Condition!$D$18,IF(GB10&gt;Condition!$E$19,Condition!$D$19,"")))))</f>
        <v>0</v>
      </c>
      <c r="GC53" s="85">
        <f>IF(GC10&lt;=Condition!$E$16,0,IF(GC10&lt;=Condition!$F$16,Condition!$D$16,IF(GC10&lt;=Condition!$F$17,Condition!$D$17,IF(GC10&lt;=Condition!$F$18,Condition!$D$18,IF(GC10&gt;Condition!$E$19,Condition!$D$19,"")))))</f>
        <v>0</v>
      </c>
      <c r="GD53" s="85">
        <f>IF(GD10&lt;=Condition!$E$16,0,IF(GD10&lt;=Condition!$F$16,Condition!$D$16,IF(GD10&lt;=Condition!$F$17,Condition!$D$17,IF(GD10&lt;=Condition!$F$18,Condition!$D$18,IF(GD10&gt;Condition!$E$19,Condition!$D$19,"")))))</f>
        <v>0</v>
      </c>
      <c r="GE53" s="85">
        <f>IF(GE10&lt;=Condition!$E$16,0,IF(GE10&lt;=Condition!$F$16,Condition!$D$16,IF(GE10&lt;=Condition!$F$17,Condition!$D$17,IF(GE10&lt;=Condition!$F$18,Condition!$D$18,IF(GE10&gt;Condition!$E$19,Condition!$D$19,"")))))</f>
        <v>0</v>
      </c>
      <c r="GF53" s="85">
        <f>IF(GF10&lt;=Condition!$E$16,0,IF(GF10&lt;=Condition!$F$16,Condition!$D$16,IF(GF10&lt;=Condition!$F$17,Condition!$D$17,IF(GF10&lt;=Condition!$F$18,Condition!$D$18,IF(GF10&gt;Condition!$E$19,Condition!$D$19,"")))))</f>
        <v>0</v>
      </c>
      <c r="GG53" s="85">
        <f>IF(GG10&lt;=Condition!$E$16,0,IF(GG10&lt;=Condition!$F$16,Condition!$D$16,IF(GG10&lt;=Condition!$F$17,Condition!$D$17,IF(GG10&lt;=Condition!$F$18,Condition!$D$18,IF(GG10&gt;Condition!$E$19,Condition!$D$19,"")))))</f>
        <v>0</v>
      </c>
      <c r="GH53" s="85">
        <f>IF(GH10&lt;=Condition!$E$16,0,IF(GH10&lt;=Condition!$F$16,Condition!$D$16,IF(GH10&lt;=Condition!$F$17,Condition!$D$17,IF(GH10&lt;=Condition!$F$18,Condition!$D$18,IF(GH10&gt;Condition!$E$19,Condition!$D$19,"")))))</f>
        <v>0</v>
      </c>
      <c r="GI53" s="85">
        <f>IF(GI10&lt;=Condition!$E$16,0,IF(GI10&lt;=Condition!$F$16,Condition!$D$16,IF(GI10&lt;=Condition!$F$17,Condition!$D$17,IF(GI10&lt;=Condition!$F$18,Condition!$D$18,IF(GI10&gt;Condition!$E$19,Condition!$D$19,"")))))</f>
        <v>0</v>
      </c>
      <c r="GJ53" s="85">
        <f>IF(GJ10&lt;=Condition!$E$16,0,IF(GJ10&lt;=Condition!$F$16,Condition!$D$16,IF(GJ10&lt;=Condition!$F$17,Condition!$D$17,IF(GJ10&lt;=Condition!$F$18,Condition!$D$18,IF(GJ10&gt;Condition!$E$19,Condition!$D$19,"")))))</f>
        <v>0</v>
      </c>
      <c r="GK53" s="85">
        <f>IF(GK10&lt;=Condition!$E$16,0,IF(GK10&lt;=Condition!$F$16,Condition!$D$16,IF(GK10&lt;=Condition!$F$17,Condition!$D$17,IF(GK10&lt;=Condition!$F$18,Condition!$D$18,IF(GK10&gt;Condition!$E$19,Condition!$D$19,"")))))</f>
        <v>0</v>
      </c>
      <c r="GL53" s="85">
        <f>IF(GL10&lt;=Condition!$E$16,0,IF(GL10&lt;=Condition!$F$16,Condition!$D$16,IF(GL10&lt;=Condition!$F$17,Condition!$D$17,IF(GL10&lt;=Condition!$F$18,Condition!$D$18,IF(GL10&gt;Condition!$E$19,Condition!$D$19,"")))))</f>
        <v>0</v>
      </c>
      <c r="GM53" s="85">
        <f>IF(GM10&lt;=Condition!$E$16,0,IF(GM10&lt;=Condition!$F$16,Condition!$D$16,IF(GM10&lt;=Condition!$F$17,Condition!$D$17,IF(GM10&lt;=Condition!$F$18,Condition!$D$18,IF(GM10&gt;Condition!$E$19,Condition!$D$19,"")))))</f>
        <v>0</v>
      </c>
      <c r="GN53" s="85">
        <f>IF(GN10&lt;=Condition!$E$16,0,IF(GN10&lt;=Condition!$F$16,Condition!$D$16,IF(GN10&lt;=Condition!$F$17,Condition!$D$17,IF(GN10&lt;=Condition!$F$18,Condition!$D$18,IF(GN10&gt;Condition!$E$19,Condition!$D$19,"")))))</f>
        <v>0</v>
      </c>
      <c r="GO53" s="85">
        <f>IF(GO10&lt;=Condition!$E$16,0,IF(GO10&lt;=Condition!$F$16,Condition!$D$16,IF(GO10&lt;=Condition!$F$17,Condition!$D$17,IF(GO10&lt;=Condition!$F$18,Condition!$D$18,IF(GO10&gt;Condition!$E$19,Condition!$D$19,"")))))</f>
        <v>0</v>
      </c>
      <c r="GP53" s="85">
        <f>IF(GP10&lt;=Condition!$E$16,0,IF(GP10&lt;=Condition!$F$16,Condition!$D$16,IF(GP10&lt;=Condition!$F$17,Condition!$D$17,IF(GP10&lt;=Condition!$F$18,Condition!$D$18,IF(GP10&gt;Condition!$E$19,Condition!$D$19,"")))))</f>
        <v>0</v>
      </c>
      <c r="GQ53" s="85">
        <f>IF(GQ10&lt;=Condition!$E$16,0,IF(GQ10&lt;=Condition!$F$16,Condition!$D$16,IF(GQ10&lt;=Condition!$F$17,Condition!$D$17,IF(GQ10&lt;=Condition!$F$18,Condition!$D$18,IF(GQ10&gt;Condition!$E$19,Condition!$D$19,"")))))</f>
        <v>0</v>
      </c>
      <c r="GR53" s="85">
        <f>IF(GR10&lt;=Condition!$E$16,0,IF(GR10&lt;=Condition!$F$16,Condition!$D$16,IF(GR10&lt;=Condition!$F$17,Condition!$D$17,IF(GR10&lt;=Condition!$F$18,Condition!$D$18,IF(GR10&gt;Condition!$E$19,Condition!$D$19,"")))))</f>
        <v>0</v>
      </c>
      <c r="GS53" s="85">
        <f>IF(GS10&lt;=Condition!$E$16,0,IF(GS10&lt;=Condition!$F$16,Condition!$D$16,IF(GS10&lt;=Condition!$F$17,Condition!$D$17,IF(GS10&lt;=Condition!$F$18,Condition!$D$18,IF(GS10&gt;Condition!$E$19,Condition!$D$19,"")))))</f>
        <v>0</v>
      </c>
      <c r="GT53" s="85">
        <f>IF(GT10&lt;=Condition!$E$16,0,IF(GT10&lt;=Condition!$F$16,Condition!$D$16,IF(GT10&lt;=Condition!$F$17,Condition!$D$17,IF(GT10&lt;=Condition!$F$18,Condition!$D$18,IF(GT10&gt;Condition!$E$19,Condition!$D$19,"")))))</f>
        <v>0</v>
      </c>
      <c r="GU53" s="85">
        <f>IF(GU10&lt;=Condition!$E$16,0,IF(GU10&lt;=Condition!$F$16,Condition!$D$16,IF(GU10&lt;=Condition!$F$17,Condition!$D$17,IF(GU10&lt;=Condition!$F$18,Condition!$D$18,IF(GU10&gt;Condition!$E$19,Condition!$D$19,"")))))</f>
        <v>0</v>
      </c>
      <c r="GV53" s="85">
        <f>IF(GV10&lt;=Condition!$E$16,0,IF(GV10&lt;=Condition!$F$16,Condition!$D$16,IF(GV10&lt;=Condition!$F$17,Condition!$D$17,IF(GV10&lt;=Condition!$F$18,Condition!$D$18,IF(GV10&gt;Condition!$E$19,Condition!$D$19,"")))))</f>
        <v>0</v>
      </c>
      <c r="GW53" s="85">
        <f>IF(GW10&lt;=Condition!$E$16,0,IF(GW10&lt;=Condition!$F$16,Condition!$D$16,IF(GW10&lt;=Condition!$F$17,Condition!$D$17,IF(GW10&lt;=Condition!$F$18,Condition!$D$18,IF(GW10&gt;Condition!$E$19,Condition!$D$19,"")))))</f>
        <v>0</v>
      </c>
      <c r="GX53" s="85">
        <f>IF(GX10&lt;=Condition!$E$16,0,IF(GX10&lt;=Condition!$F$16,Condition!$D$16,IF(GX10&lt;=Condition!$F$17,Condition!$D$17,IF(GX10&lt;=Condition!$F$18,Condition!$D$18,IF(GX10&gt;Condition!$E$19,Condition!$D$19,"")))))</f>
        <v>0</v>
      </c>
      <c r="GY53" s="85">
        <f>IF(GY10&lt;=Condition!$E$16,0,IF(GY10&lt;=Condition!$F$16,Condition!$D$16,IF(GY10&lt;=Condition!$F$17,Condition!$D$17,IF(GY10&lt;=Condition!$F$18,Condition!$D$18,IF(GY10&gt;Condition!$E$19,Condition!$D$19,"")))))</f>
        <v>0</v>
      </c>
      <c r="GZ53" s="85">
        <f>IF(GZ10&lt;=Condition!$E$16,0,IF(GZ10&lt;=Condition!$F$16,Condition!$D$16,IF(GZ10&lt;=Condition!$F$17,Condition!$D$17,IF(GZ10&lt;=Condition!$F$18,Condition!$D$18,IF(GZ10&gt;Condition!$E$19,Condition!$D$19,"")))))</f>
        <v>0</v>
      </c>
      <c r="HA53" s="85">
        <f>IF(HA10&lt;=Condition!$E$16,0,IF(HA10&lt;=Condition!$F$16,Condition!$D$16,IF(HA10&lt;=Condition!$F$17,Condition!$D$17,IF(HA10&lt;=Condition!$F$18,Condition!$D$18,IF(HA10&gt;Condition!$E$19,Condition!$D$19,"")))))</f>
        <v>0</v>
      </c>
      <c r="HB53" s="85">
        <f>IF(HB10&lt;=Condition!$E$16,0,IF(HB10&lt;=Condition!$F$16,Condition!$D$16,IF(HB10&lt;=Condition!$F$17,Condition!$D$17,IF(HB10&lt;=Condition!$F$18,Condition!$D$18,IF(HB10&gt;Condition!$E$19,Condition!$D$19,"")))))</f>
        <v>0</v>
      </c>
      <c r="HC53" s="85">
        <f>IF(HC10&lt;=Condition!$E$16,0,IF(HC10&lt;=Condition!$F$16,Condition!$D$16,IF(HC10&lt;=Condition!$F$17,Condition!$D$17,IF(HC10&lt;=Condition!$F$18,Condition!$D$18,IF(HC10&gt;Condition!$E$19,Condition!$D$19,"")))))</f>
        <v>0</v>
      </c>
      <c r="HD53" s="85">
        <f>IF(HD10&lt;=Condition!$E$16,0,IF(HD10&lt;=Condition!$F$16,Condition!$D$16,IF(HD10&lt;=Condition!$F$17,Condition!$D$17,IF(HD10&lt;=Condition!$F$18,Condition!$D$18,IF(HD10&gt;Condition!$E$19,Condition!$D$19,"")))))</f>
        <v>0</v>
      </c>
      <c r="HE53" s="85">
        <f>IF(HE10&lt;=Condition!$E$16,0,IF(HE10&lt;=Condition!$F$16,Condition!$D$16,IF(HE10&lt;=Condition!$F$17,Condition!$D$17,IF(HE10&lt;=Condition!$F$18,Condition!$D$18,IF(HE10&gt;Condition!$E$19,Condition!$D$19,"")))))</f>
        <v>0</v>
      </c>
      <c r="HF53" s="85">
        <f>IF(HF10&lt;=Condition!$E$16,0,IF(HF10&lt;=Condition!$F$16,Condition!$D$16,IF(HF10&lt;=Condition!$F$17,Condition!$D$17,IF(HF10&lt;=Condition!$F$18,Condition!$D$18,IF(HF10&gt;Condition!$E$19,Condition!$D$19,"")))))</f>
        <v>0</v>
      </c>
      <c r="HG53" s="85">
        <f>IF(HG10&lt;=Condition!$E$16,0,IF(HG10&lt;=Condition!$F$16,Condition!$D$16,IF(HG10&lt;=Condition!$F$17,Condition!$D$17,IF(HG10&lt;=Condition!$F$18,Condition!$D$18,IF(HG10&gt;Condition!$E$19,Condition!$D$19,"")))))</f>
        <v>0</v>
      </c>
      <c r="HH53" s="85">
        <f>IF(HH10&lt;=Condition!$E$16,0,IF(HH10&lt;=Condition!$F$16,Condition!$D$16,IF(HH10&lt;=Condition!$F$17,Condition!$D$17,IF(HH10&lt;=Condition!$F$18,Condition!$D$18,IF(HH10&gt;Condition!$E$19,Condition!$D$19,"")))))</f>
        <v>0</v>
      </c>
      <c r="HI53" s="85">
        <f>IF(HI10&lt;=Condition!$E$16,0,IF(HI10&lt;=Condition!$F$16,Condition!$D$16,IF(HI10&lt;=Condition!$F$17,Condition!$D$17,IF(HI10&lt;=Condition!$F$18,Condition!$D$18,IF(HI10&gt;Condition!$E$19,Condition!$D$19,"")))))</f>
        <v>0</v>
      </c>
      <c r="HJ53" s="85">
        <f>IF(HJ10&lt;=Condition!$E$16,0,IF(HJ10&lt;=Condition!$F$16,Condition!$D$16,IF(HJ10&lt;=Condition!$F$17,Condition!$D$17,IF(HJ10&lt;=Condition!$F$18,Condition!$D$18,IF(HJ10&gt;Condition!$E$19,Condition!$D$19,"")))))</f>
        <v>0</v>
      </c>
      <c r="HK53" s="85">
        <f>IF(HK10&lt;=Condition!$E$16,0,IF(HK10&lt;=Condition!$F$16,Condition!$D$16,IF(HK10&lt;=Condition!$F$17,Condition!$D$17,IF(HK10&lt;=Condition!$F$18,Condition!$D$18,IF(HK10&gt;Condition!$E$19,Condition!$D$19,"")))))</f>
        <v>0</v>
      </c>
      <c r="HL53" s="85">
        <f>IF(HL10&lt;=Condition!$E$16,0,IF(HL10&lt;=Condition!$F$16,Condition!$D$16,IF(HL10&lt;=Condition!$F$17,Condition!$D$17,IF(HL10&lt;=Condition!$F$18,Condition!$D$18,IF(HL10&gt;Condition!$E$19,Condition!$D$19,"")))))</f>
        <v>0</v>
      </c>
      <c r="HM53" s="85">
        <f>IF(HM10&lt;=Condition!$E$16,0,IF(HM10&lt;=Condition!$F$16,Condition!$D$16,IF(HM10&lt;=Condition!$F$17,Condition!$D$17,IF(HM10&lt;=Condition!$F$18,Condition!$D$18,IF(HM10&gt;Condition!$E$19,Condition!$D$19,"")))))</f>
        <v>0</v>
      </c>
      <c r="HN53" s="85">
        <f>IF(HN10&lt;=Condition!$E$16,0,IF(HN10&lt;=Condition!$F$16,Condition!$D$16,IF(HN10&lt;=Condition!$F$17,Condition!$D$17,IF(HN10&lt;=Condition!$F$18,Condition!$D$18,IF(HN10&gt;Condition!$E$19,Condition!$D$19,"")))))</f>
        <v>0</v>
      </c>
      <c r="HO53" s="85">
        <f>IF(HO10&lt;=Condition!$E$16,0,IF(HO10&lt;=Condition!$F$16,Condition!$D$16,IF(HO10&lt;=Condition!$F$17,Condition!$D$17,IF(HO10&lt;=Condition!$F$18,Condition!$D$18,IF(HO10&gt;Condition!$E$19,Condition!$D$19,"")))))</f>
        <v>0</v>
      </c>
      <c r="HP53" s="85">
        <f>IF(HP10&lt;=Condition!$E$16,0,IF(HP10&lt;=Condition!$F$16,Condition!$D$16,IF(HP10&lt;=Condition!$F$17,Condition!$D$17,IF(HP10&lt;=Condition!$F$18,Condition!$D$18,IF(HP10&gt;Condition!$E$19,Condition!$D$19,"")))))</f>
        <v>0</v>
      </c>
      <c r="HQ53" s="85">
        <f>IF(HQ10&lt;=Condition!$E$16,0,IF(HQ10&lt;=Condition!$F$16,Condition!$D$16,IF(HQ10&lt;=Condition!$F$17,Condition!$D$17,IF(HQ10&lt;=Condition!$F$18,Condition!$D$18,IF(HQ10&gt;Condition!$E$19,Condition!$D$19,"")))))</f>
        <v>0</v>
      </c>
      <c r="HR53" s="85">
        <f>IF(HR10&lt;=Condition!$E$16,0,IF(HR10&lt;=Condition!$F$16,Condition!$D$16,IF(HR10&lt;=Condition!$F$17,Condition!$D$17,IF(HR10&lt;=Condition!$F$18,Condition!$D$18,IF(HR10&gt;Condition!$E$19,Condition!$D$19,"")))))</f>
        <v>0</v>
      </c>
      <c r="HS53" s="85">
        <f>IF(HS10&lt;=Condition!$E$16,0,IF(HS10&lt;=Condition!$F$16,Condition!$D$16,IF(HS10&lt;=Condition!$F$17,Condition!$D$17,IF(HS10&lt;=Condition!$F$18,Condition!$D$18,IF(HS10&gt;Condition!$E$19,Condition!$D$19,"")))))</f>
        <v>0</v>
      </c>
      <c r="HT53" s="85">
        <f>IF(HT10&lt;=Condition!$E$16,0,IF(HT10&lt;=Condition!$F$16,Condition!$D$16,IF(HT10&lt;=Condition!$F$17,Condition!$D$17,IF(HT10&lt;=Condition!$F$18,Condition!$D$18,IF(HT10&gt;Condition!$E$19,Condition!$D$19,"")))))</f>
        <v>0</v>
      </c>
      <c r="HU53" s="85">
        <f>IF(HU10&lt;=Condition!$E$16,0,IF(HU10&lt;=Condition!$F$16,Condition!$D$16,IF(HU10&lt;=Condition!$F$17,Condition!$D$17,IF(HU10&lt;=Condition!$F$18,Condition!$D$18,IF(HU10&gt;Condition!$E$19,Condition!$D$19,"")))))</f>
        <v>0</v>
      </c>
      <c r="HV53" s="85">
        <f>IF(HV10&lt;=Condition!$E$16,0,IF(HV10&lt;=Condition!$F$16,Condition!$D$16,IF(HV10&lt;=Condition!$F$17,Condition!$D$17,IF(HV10&lt;=Condition!$F$18,Condition!$D$18,IF(HV10&gt;Condition!$E$19,Condition!$D$19,"")))))</f>
        <v>0</v>
      </c>
      <c r="HW53" s="85">
        <f>IF(HW10&lt;=Condition!$E$16,0,IF(HW10&lt;=Condition!$F$16,Condition!$D$16,IF(HW10&lt;=Condition!$F$17,Condition!$D$17,IF(HW10&lt;=Condition!$F$18,Condition!$D$18,IF(HW10&gt;Condition!$E$19,Condition!$D$19,"")))))</f>
        <v>0</v>
      </c>
      <c r="HX53" s="85">
        <f>IF(HX10&lt;=Condition!$E$16,0,IF(HX10&lt;=Condition!$F$16,Condition!$D$16,IF(HX10&lt;=Condition!$F$17,Condition!$D$17,IF(HX10&lt;=Condition!$F$18,Condition!$D$18,IF(HX10&gt;Condition!$E$19,Condition!$D$19,"")))))</f>
        <v>0</v>
      </c>
      <c r="HY53" s="85">
        <f>IF(HY10&lt;=Condition!$E$16,0,IF(HY10&lt;=Condition!$F$16,Condition!$D$16,IF(HY10&lt;=Condition!$F$17,Condition!$D$17,IF(HY10&lt;=Condition!$F$18,Condition!$D$18,IF(HY10&gt;Condition!$E$19,Condition!$D$19,"")))))</f>
        <v>0</v>
      </c>
      <c r="HZ53" s="85">
        <f>IF(HZ10&lt;=Condition!$E$16,0,IF(HZ10&lt;=Condition!$F$16,Condition!$D$16,IF(HZ10&lt;=Condition!$F$17,Condition!$D$17,IF(HZ10&lt;=Condition!$F$18,Condition!$D$18,IF(HZ10&gt;Condition!$E$19,Condition!$D$19,"")))))</f>
        <v>0</v>
      </c>
      <c r="IA53" s="85">
        <f>IF(IA10&lt;=Condition!$E$16,0,IF(IA10&lt;=Condition!$F$16,Condition!$D$16,IF(IA10&lt;=Condition!$F$17,Condition!$D$17,IF(IA10&lt;=Condition!$F$18,Condition!$D$18,IF(IA10&gt;Condition!$E$19,Condition!$D$19,"")))))</f>
        <v>0</v>
      </c>
      <c r="IB53" s="85">
        <f>IF(IB10&lt;=Condition!$E$16,0,IF(IB10&lt;=Condition!$F$16,Condition!$D$16,IF(IB10&lt;=Condition!$F$17,Condition!$D$17,IF(IB10&lt;=Condition!$F$18,Condition!$D$18,IF(IB10&gt;Condition!$E$19,Condition!$D$19,"")))))</f>
        <v>0</v>
      </c>
      <c r="IC53" s="85">
        <f>IF(IC10&lt;=Condition!$E$16,0,IF(IC10&lt;=Condition!$F$16,Condition!$D$16,IF(IC10&lt;=Condition!$F$17,Condition!$D$17,IF(IC10&lt;=Condition!$F$18,Condition!$D$18,IF(IC10&gt;Condition!$E$19,Condition!$D$19,"")))))</f>
        <v>0</v>
      </c>
      <c r="ID53" s="85">
        <f>IF(ID10&lt;=Condition!$E$16,0,IF(ID10&lt;=Condition!$F$16,Condition!$D$16,IF(ID10&lt;=Condition!$F$17,Condition!$D$17,IF(ID10&lt;=Condition!$F$18,Condition!$D$18,IF(ID10&gt;Condition!$E$19,Condition!$D$19,"")))))</f>
        <v>0</v>
      </c>
      <c r="IE53" s="85">
        <f>IF(IE10&lt;=Condition!$E$16,0,IF(IE10&lt;=Condition!$F$16,Condition!$D$16,IF(IE10&lt;=Condition!$F$17,Condition!$D$17,IF(IE10&lt;=Condition!$F$18,Condition!$D$18,IF(IE10&gt;Condition!$E$19,Condition!$D$19,"")))))</f>
        <v>0</v>
      </c>
      <c r="IF53" s="85">
        <f>IF(IF10&lt;=Condition!$E$16,0,IF(IF10&lt;=Condition!$F$16,Condition!$D$16,IF(IF10&lt;=Condition!$F$17,Condition!$D$17,IF(IF10&lt;=Condition!$F$18,Condition!$D$18,IF(IF10&gt;Condition!$E$19,Condition!$D$19,"")))))</f>
        <v>0</v>
      </c>
      <c r="IG53" s="85">
        <f>IF(IG10&lt;=Condition!$E$16,0,IF(IG10&lt;=Condition!$F$16,Condition!$D$16,IF(IG10&lt;=Condition!$F$17,Condition!$D$17,IF(IG10&lt;=Condition!$F$18,Condition!$D$18,IF(IG10&gt;Condition!$E$19,Condition!$D$19,"")))))</f>
        <v>0</v>
      </c>
      <c r="IH53" s="85">
        <f>IF(IH10&lt;=Condition!$E$16,0,IF(IH10&lt;=Condition!$F$16,Condition!$D$16,IF(IH10&lt;=Condition!$F$17,Condition!$D$17,IF(IH10&lt;=Condition!$F$18,Condition!$D$18,IF(IH10&gt;Condition!$E$19,Condition!$D$19,"")))))</f>
        <v>0</v>
      </c>
      <c r="II53" s="85">
        <f>IF(II10&lt;=Condition!$E$16,0,IF(II10&lt;=Condition!$F$16,Condition!$D$16,IF(II10&lt;=Condition!$F$17,Condition!$D$17,IF(II10&lt;=Condition!$F$18,Condition!$D$18,IF(II10&gt;Condition!$E$19,Condition!$D$19,"")))))</f>
        <v>0</v>
      </c>
      <c r="IJ53" s="85">
        <f>IF(IJ10&lt;=Condition!$E$16,0,IF(IJ10&lt;=Condition!$F$16,Condition!$D$16,IF(IJ10&lt;=Condition!$F$17,Condition!$D$17,IF(IJ10&lt;=Condition!$F$18,Condition!$D$18,IF(IJ10&gt;Condition!$E$19,Condition!$D$19,"")))))</f>
        <v>0</v>
      </c>
      <c r="IK53" s="85">
        <f>IF(IK10&lt;=Condition!$E$16,0,IF(IK10&lt;=Condition!$F$16,Condition!$D$16,IF(IK10&lt;=Condition!$F$17,Condition!$D$17,IF(IK10&lt;=Condition!$F$18,Condition!$D$18,IF(IK10&gt;Condition!$E$19,Condition!$D$19,"")))))</f>
        <v>0</v>
      </c>
      <c r="IL53" s="85">
        <f>IF(IL10&lt;=Condition!$E$16,0,IF(IL10&lt;=Condition!$F$16,Condition!$D$16,IF(IL10&lt;=Condition!$F$17,Condition!$D$17,IF(IL10&lt;=Condition!$F$18,Condition!$D$18,IF(IL10&gt;Condition!$E$19,Condition!$D$19,"")))))</f>
        <v>0</v>
      </c>
      <c r="IM53" s="85">
        <f>IF(IM10&lt;=Condition!$E$16,0,IF(IM10&lt;=Condition!$F$16,Condition!$D$16,IF(IM10&lt;=Condition!$F$17,Condition!$D$17,IF(IM10&lt;=Condition!$F$18,Condition!$D$18,IF(IM10&gt;Condition!$E$19,Condition!$D$19,"")))))</f>
        <v>0</v>
      </c>
      <c r="IN53" s="85">
        <f>IF(IN10&lt;=Condition!$E$16,0,IF(IN10&lt;=Condition!$F$16,Condition!$D$16,IF(IN10&lt;=Condition!$F$17,Condition!$D$17,IF(IN10&lt;=Condition!$F$18,Condition!$D$18,IF(IN10&gt;Condition!$E$19,Condition!$D$19,"")))))</f>
        <v>0</v>
      </c>
      <c r="IO53" s="85">
        <f>IF(IO10&lt;=Condition!$E$16,0,IF(IO10&lt;=Condition!$F$16,Condition!$D$16,IF(IO10&lt;=Condition!$F$17,Condition!$D$17,IF(IO10&lt;=Condition!$F$18,Condition!$D$18,IF(IO10&gt;Condition!$E$19,Condition!$D$19,"")))))</f>
        <v>0</v>
      </c>
      <c r="IP53" s="85">
        <f>IF(IP10&lt;=Condition!$E$16,0,IF(IP10&lt;=Condition!$F$16,Condition!$D$16,IF(IP10&lt;=Condition!$F$17,Condition!$D$17,IF(IP10&lt;=Condition!$F$18,Condition!$D$18,IF(IP10&gt;Condition!$E$19,Condition!$D$19,"")))))</f>
        <v>0</v>
      </c>
      <c r="IQ53" s="85">
        <f>IF(IQ10&lt;=Condition!$E$16,0,IF(IQ10&lt;=Condition!$F$16,Condition!$D$16,IF(IQ10&lt;=Condition!$F$17,Condition!$D$17,IF(IQ10&lt;=Condition!$F$18,Condition!$D$18,IF(IQ10&gt;Condition!$E$19,Condition!$D$19,"")))))</f>
        <v>0</v>
      </c>
      <c r="IR53" s="85">
        <f>IF(IR10&lt;=Condition!$E$16,0,IF(IR10&lt;=Condition!$F$16,Condition!$D$16,IF(IR10&lt;=Condition!$F$17,Condition!$D$17,IF(IR10&lt;=Condition!$F$18,Condition!$D$18,IF(IR10&gt;Condition!$E$19,Condition!$D$19,"")))))</f>
        <v>0</v>
      </c>
      <c r="IS53" s="85">
        <f>IF(IS10&lt;=Condition!$E$16,0,IF(IS10&lt;=Condition!$F$16,Condition!$D$16,IF(IS10&lt;=Condition!$F$17,Condition!$D$17,IF(IS10&lt;=Condition!$F$18,Condition!$D$18,IF(IS10&gt;Condition!$E$19,Condition!$D$19,"")))))</f>
        <v>0</v>
      </c>
      <c r="IT53" s="85">
        <f>IF(IT10&lt;=Condition!$E$16,0,IF(IT10&lt;=Condition!$F$16,Condition!$D$16,IF(IT10&lt;=Condition!$F$17,Condition!$D$17,IF(IT10&lt;=Condition!$F$18,Condition!$D$18,IF(IT10&gt;Condition!$E$19,Condition!$D$19,"")))))</f>
        <v>0</v>
      </c>
      <c r="IU53" s="85">
        <f>IF(IU10&lt;=Condition!$E$16,0,IF(IU10&lt;=Condition!$F$16,Condition!$D$16,IF(IU10&lt;=Condition!$F$17,Condition!$D$17,IF(IU10&lt;=Condition!$F$18,Condition!$D$18,IF(IU10&gt;Condition!$E$19,Condition!$D$19,"")))))</f>
        <v>0</v>
      </c>
      <c r="IV53" s="85">
        <f>IF(IV10&lt;=Condition!$E$16,0,IF(IV10&lt;=Condition!$F$16,Condition!$D$16,IF(IV10&lt;=Condition!$F$17,Condition!$D$17,IF(IV10&lt;=Condition!$F$18,Condition!$D$18,IF(IV10&gt;Condition!$E$19,Condition!$D$19,"")))))</f>
        <v>0</v>
      </c>
      <c r="IW53" s="85">
        <f>IF(IW10&lt;=Condition!$E$16,0,IF(IW10&lt;=Condition!$F$16,Condition!$D$16,IF(IW10&lt;=Condition!$F$17,Condition!$D$17,IF(IW10&lt;=Condition!$F$18,Condition!$D$18,IF(IW10&gt;Condition!$E$19,Condition!$D$19,"")))))</f>
        <v>0</v>
      </c>
      <c r="IX53" s="85">
        <f>IF(IX10&lt;=Condition!$E$16,0,IF(IX10&lt;=Condition!$F$16,Condition!$D$16,IF(IX10&lt;=Condition!$F$17,Condition!$D$17,IF(IX10&lt;=Condition!$F$18,Condition!$D$18,IF(IX10&gt;Condition!$E$19,Condition!$D$19,"")))))</f>
        <v>0</v>
      </c>
      <c r="IY53" s="85">
        <f>IF(IY10&lt;=Condition!$E$16,0,IF(IY10&lt;=Condition!$F$16,Condition!$D$16,IF(IY10&lt;=Condition!$F$17,Condition!$D$17,IF(IY10&lt;=Condition!$F$18,Condition!$D$18,IF(IY10&gt;Condition!$E$19,Condition!$D$19,"")))))</f>
        <v>0</v>
      </c>
      <c r="IZ53" s="85">
        <f>IF(IZ10&lt;=Condition!$E$16,0,IF(IZ10&lt;=Condition!$F$16,Condition!$D$16,IF(IZ10&lt;=Condition!$F$17,Condition!$D$17,IF(IZ10&lt;=Condition!$F$18,Condition!$D$18,IF(IZ10&gt;Condition!$E$19,Condition!$D$19,"")))))</f>
        <v>0</v>
      </c>
      <c r="JA53" s="85">
        <f>IF(JA10&lt;=Condition!$E$16,0,IF(JA10&lt;=Condition!$F$16,Condition!$D$16,IF(JA10&lt;=Condition!$F$17,Condition!$D$17,IF(JA10&lt;=Condition!$F$18,Condition!$D$18,IF(JA10&gt;Condition!$E$19,Condition!$D$19,"")))))</f>
        <v>0</v>
      </c>
      <c r="JB53" s="85">
        <f>IF(JB10&lt;=Condition!$E$16,0,IF(JB10&lt;=Condition!$F$16,Condition!$D$16,IF(JB10&lt;=Condition!$F$17,Condition!$D$17,IF(JB10&lt;=Condition!$F$18,Condition!$D$18,IF(JB10&gt;Condition!$E$19,Condition!$D$19,"")))))</f>
        <v>0</v>
      </c>
      <c r="JC53" s="85">
        <f>IF(JC10&lt;=Condition!$E$16,0,IF(JC10&lt;=Condition!$F$16,Condition!$D$16,IF(JC10&lt;=Condition!$F$17,Condition!$D$17,IF(JC10&lt;=Condition!$F$18,Condition!$D$18,IF(JC10&gt;Condition!$E$19,Condition!$D$19,"")))))</f>
        <v>0</v>
      </c>
      <c r="JD53" s="85">
        <f>IF(JD10&lt;=Condition!$E$16,0,IF(JD10&lt;=Condition!$F$16,Condition!$D$16,IF(JD10&lt;=Condition!$F$17,Condition!$D$17,IF(JD10&lt;=Condition!$F$18,Condition!$D$18,IF(JD10&gt;Condition!$E$19,Condition!$D$19,"")))))</f>
        <v>0</v>
      </c>
      <c r="JE53" s="85">
        <f>IF(JE10&lt;=Condition!$E$16,0,IF(JE10&lt;=Condition!$F$16,Condition!$D$16,IF(JE10&lt;=Condition!$F$17,Condition!$D$17,IF(JE10&lt;=Condition!$F$18,Condition!$D$18,IF(JE10&gt;Condition!$E$19,Condition!$D$19,"")))))</f>
        <v>0</v>
      </c>
      <c r="JF53" s="85">
        <f>IF(JF10&lt;=Condition!$E$16,0,IF(JF10&lt;=Condition!$F$16,Condition!$D$16,IF(JF10&lt;=Condition!$F$17,Condition!$D$17,IF(JF10&lt;=Condition!$F$18,Condition!$D$18,IF(JF10&gt;Condition!$E$19,Condition!$D$19,"")))))</f>
        <v>0</v>
      </c>
      <c r="JG53" s="85">
        <f>IF(JG10&lt;=Condition!$E$16,0,IF(JG10&lt;=Condition!$F$16,Condition!$D$16,IF(JG10&lt;=Condition!$F$17,Condition!$D$17,IF(JG10&lt;=Condition!$F$18,Condition!$D$18,IF(JG10&gt;Condition!$E$19,Condition!$D$19,"")))))</f>
        <v>0</v>
      </c>
      <c r="JH53" s="85">
        <f>IF(JH10&lt;=Condition!$E$16,0,IF(JH10&lt;=Condition!$F$16,Condition!$D$16,IF(JH10&lt;=Condition!$F$17,Condition!$D$17,IF(JH10&lt;=Condition!$F$18,Condition!$D$18,IF(JH10&gt;Condition!$E$19,Condition!$D$19,"")))))</f>
        <v>0</v>
      </c>
      <c r="JI53" s="85">
        <f>IF(JI10&lt;=Condition!$E$16,0,IF(JI10&lt;=Condition!$F$16,Condition!$D$16,IF(JI10&lt;=Condition!$F$17,Condition!$D$17,IF(JI10&lt;=Condition!$F$18,Condition!$D$18,IF(JI10&gt;Condition!$E$19,Condition!$D$19,"")))))</f>
        <v>0</v>
      </c>
      <c r="JJ53" s="85">
        <f>IF(JJ10&lt;=Condition!$E$16,0,IF(JJ10&lt;=Condition!$F$16,Condition!$D$16,IF(JJ10&lt;=Condition!$F$17,Condition!$D$17,IF(JJ10&lt;=Condition!$F$18,Condition!$D$18,IF(JJ10&gt;Condition!$E$19,Condition!$D$19,"")))))</f>
        <v>0</v>
      </c>
      <c r="JK53" s="85">
        <f>IF(JK10&lt;=Condition!$E$16,0,IF(JK10&lt;=Condition!$F$16,Condition!$D$16,IF(JK10&lt;=Condition!$F$17,Condition!$D$17,IF(JK10&lt;=Condition!$F$18,Condition!$D$18,IF(JK10&gt;Condition!$E$19,Condition!$D$19,"")))))</f>
        <v>0</v>
      </c>
      <c r="JL53" s="85">
        <f>IF(JL10&lt;=Condition!$E$16,0,IF(JL10&lt;=Condition!$F$16,Condition!$D$16,IF(JL10&lt;=Condition!$F$17,Condition!$D$17,IF(JL10&lt;=Condition!$F$18,Condition!$D$18,IF(JL10&gt;Condition!$E$19,Condition!$D$19,"")))))</f>
        <v>0</v>
      </c>
      <c r="JM53" s="85">
        <f>IF(JM10&lt;=Condition!$E$16,0,IF(JM10&lt;=Condition!$F$16,Condition!$D$16,IF(JM10&lt;=Condition!$F$17,Condition!$D$17,IF(JM10&lt;=Condition!$F$18,Condition!$D$18,IF(JM10&gt;Condition!$E$19,Condition!$D$19,"")))))</f>
        <v>0</v>
      </c>
      <c r="JN53" s="85">
        <f>IF(JN10&lt;=Condition!$E$16,0,IF(JN10&lt;=Condition!$F$16,Condition!$D$16,IF(JN10&lt;=Condition!$F$17,Condition!$D$17,IF(JN10&lt;=Condition!$F$18,Condition!$D$18,IF(JN10&gt;Condition!$E$19,Condition!$D$19,"")))))</f>
        <v>0</v>
      </c>
      <c r="JO53" s="85">
        <f>IF(JO10&lt;=Condition!$E$16,0,IF(JO10&lt;=Condition!$F$16,Condition!$D$16,IF(JO10&lt;=Condition!$F$17,Condition!$D$17,IF(JO10&lt;=Condition!$F$18,Condition!$D$18,IF(JO10&gt;Condition!$E$19,Condition!$D$19,"")))))</f>
        <v>0</v>
      </c>
      <c r="JP53" s="85">
        <f>IF(JP10&lt;=Condition!$E$16,0,IF(JP10&lt;=Condition!$F$16,Condition!$D$16,IF(JP10&lt;=Condition!$F$17,Condition!$D$17,IF(JP10&lt;=Condition!$F$18,Condition!$D$18,IF(JP10&gt;Condition!$E$19,Condition!$D$19,"")))))</f>
        <v>0</v>
      </c>
      <c r="JQ53" s="85">
        <f>IF(JQ10&lt;=Condition!$E$16,0,IF(JQ10&lt;=Condition!$F$16,Condition!$D$16,IF(JQ10&lt;=Condition!$F$17,Condition!$D$17,IF(JQ10&lt;=Condition!$F$18,Condition!$D$18,IF(JQ10&gt;Condition!$E$19,Condition!$D$19,"")))))</f>
        <v>0</v>
      </c>
      <c r="JR53" s="85">
        <f>IF(JR10&lt;=Condition!$E$16,0,IF(JR10&lt;=Condition!$F$16,Condition!$D$16,IF(JR10&lt;=Condition!$F$17,Condition!$D$17,IF(JR10&lt;=Condition!$F$18,Condition!$D$18,IF(JR10&gt;Condition!$E$19,Condition!$D$19,"")))))</f>
        <v>0</v>
      </c>
      <c r="JS53" s="85">
        <f>IF(JS10&lt;=Condition!$E$16,0,IF(JS10&lt;=Condition!$F$16,Condition!$D$16,IF(JS10&lt;=Condition!$F$17,Condition!$D$17,IF(JS10&lt;=Condition!$F$18,Condition!$D$18,IF(JS10&gt;Condition!$E$19,Condition!$D$19,"")))))</f>
        <v>0</v>
      </c>
      <c r="JT53" s="85">
        <f>IF(JT10&lt;=Condition!$E$16,0,IF(JT10&lt;=Condition!$F$16,Condition!$D$16,IF(JT10&lt;=Condition!$F$17,Condition!$D$17,IF(JT10&lt;=Condition!$F$18,Condition!$D$18,IF(JT10&gt;Condition!$E$19,Condition!$D$19,"")))))</f>
        <v>0</v>
      </c>
      <c r="JU53" s="85">
        <f>IF(JU10&lt;=Condition!$E$16,0,IF(JU10&lt;=Condition!$F$16,Condition!$D$16,IF(JU10&lt;=Condition!$F$17,Condition!$D$17,IF(JU10&lt;=Condition!$F$18,Condition!$D$18,IF(JU10&gt;Condition!$E$19,Condition!$D$19,"")))))</f>
        <v>0</v>
      </c>
      <c r="JV53" s="85">
        <f>IF(JV10&lt;=Condition!$E$16,0,IF(JV10&lt;=Condition!$F$16,Condition!$D$16,IF(JV10&lt;=Condition!$F$17,Condition!$D$17,IF(JV10&lt;=Condition!$F$18,Condition!$D$18,IF(JV10&gt;Condition!$E$19,Condition!$D$19,"")))))</f>
        <v>0</v>
      </c>
      <c r="JW53" s="85">
        <f>IF(JW10&lt;=Condition!$E$16,0,IF(JW10&lt;=Condition!$F$16,Condition!$D$16,IF(JW10&lt;=Condition!$F$17,Condition!$D$17,IF(JW10&lt;=Condition!$F$18,Condition!$D$18,IF(JW10&gt;Condition!$E$19,Condition!$D$19,"")))))</f>
        <v>0</v>
      </c>
      <c r="JX53" s="85">
        <f>IF(JX10&lt;=Condition!$E$16,0,IF(JX10&lt;=Condition!$F$16,Condition!$D$16,IF(JX10&lt;=Condition!$F$17,Condition!$D$17,IF(JX10&lt;=Condition!$F$18,Condition!$D$18,IF(JX10&gt;Condition!$E$19,Condition!$D$19,"")))))</f>
        <v>0</v>
      </c>
      <c r="JY53" s="85">
        <f>IF(JY10&lt;=Condition!$E$16,0,IF(JY10&lt;=Condition!$F$16,Condition!$D$16,IF(JY10&lt;=Condition!$F$17,Condition!$D$17,IF(JY10&lt;=Condition!$F$18,Condition!$D$18,IF(JY10&gt;Condition!$E$19,Condition!$D$19,"")))))</f>
        <v>0</v>
      </c>
      <c r="JZ53" s="85">
        <f>IF(JZ10&lt;=Condition!$E$16,0,IF(JZ10&lt;=Condition!$F$16,Condition!$D$16,IF(JZ10&lt;=Condition!$F$17,Condition!$D$17,IF(JZ10&lt;=Condition!$F$18,Condition!$D$18,IF(JZ10&gt;Condition!$E$19,Condition!$D$19,"")))))</f>
        <v>0</v>
      </c>
      <c r="KA53" s="85">
        <f>IF(KA10&lt;=Condition!$E$16,0,IF(KA10&lt;=Condition!$F$16,Condition!$D$16,IF(KA10&lt;=Condition!$F$17,Condition!$D$17,IF(KA10&lt;=Condition!$F$18,Condition!$D$18,IF(KA10&gt;Condition!$E$19,Condition!$D$19,"")))))</f>
        <v>0</v>
      </c>
      <c r="KB53" s="85">
        <f>IF(KB10&lt;=Condition!$E$16,0,IF(KB10&lt;=Condition!$F$16,Condition!$D$16,IF(KB10&lt;=Condition!$F$17,Condition!$D$17,IF(KB10&lt;=Condition!$F$18,Condition!$D$18,IF(KB10&gt;Condition!$E$19,Condition!$D$19,"")))))</f>
        <v>0</v>
      </c>
      <c r="KC53" s="85">
        <f>IF(KC10&lt;=Condition!$E$16,0,IF(KC10&lt;=Condition!$F$16,Condition!$D$16,IF(KC10&lt;=Condition!$F$17,Condition!$D$17,IF(KC10&lt;=Condition!$F$18,Condition!$D$18,IF(KC10&gt;Condition!$E$19,Condition!$D$19,"")))))</f>
        <v>0</v>
      </c>
      <c r="KD53" s="85">
        <f>IF(KD10&lt;=Condition!$E$16,0,IF(KD10&lt;=Condition!$F$16,Condition!$D$16,IF(KD10&lt;=Condition!$F$17,Condition!$D$17,IF(KD10&lt;=Condition!$F$18,Condition!$D$18,IF(KD10&gt;Condition!$E$19,Condition!$D$19,"")))))</f>
        <v>0</v>
      </c>
      <c r="KE53" s="85">
        <f>IF(KE10&lt;=Condition!$E$16,0,IF(KE10&lt;=Condition!$F$16,Condition!$D$16,IF(KE10&lt;=Condition!$F$17,Condition!$D$17,IF(KE10&lt;=Condition!$F$18,Condition!$D$18,IF(KE10&gt;Condition!$E$19,Condition!$D$19,"")))))</f>
        <v>0</v>
      </c>
      <c r="KF53" s="85">
        <f>IF(KF10&lt;=Condition!$E$16,0,IF(KF10&lt;=Condition!$F$16,Condition!$D$16,IF(KF10&lt;=Condition!$F$17,Condition!$D$17,IF(KF10&lt;=Condition!$F$18,Condition!$D$18,IF(KF10&gt;Condition!$E$19,Condition!$D$19,"")))))</f>
        <v>0</v>
      </c>
      <c r="KG53" s="85">
        <f>IF(KG10&lt;=Condition!$E$16,0,IF(KG10&lt;=Condition!$F$16,Condition!$D$16,IF(KG10&lt;=Condition!$F$17,Condition!$D$17,IF(KG10&lt;=Condition!$F$18,Condition!$D$18,IF(KG10&gt;Condition!$E$19,Condition!$D$19,"")))))</f>
        <v>0</v>
      </c>
      <c r="KH53" s="85">
        <f>IF(KH10&lt;=Condition!$E$16,0,IF(KH10&lt;=Condition!$F$16,Condition!$D$16,IF(KH10&lt;=Condition!$F$17,Condition!$D$17,IF(KH10&lt;=Condition!$F$18,Condition!$D$18,IF(KH10&gt;Condition!$E$19,Condition!$D$19,"")))))</f>
        <v>0</v>
      </c>
      <c r="KI53" s="85">
        <f>IF(KI10&lt;=Condition!$E$16,0,IF(KI10&lt;=Condition!$F$16,Condition!$D$16,IF(KI10&lt;=Condition!$F$17,Condition!$D$17,IF(KI10&lt;=Condition!$F$18,Condition!$D$18,IF(KI10&gt;Condition!$E$19,Condition!$D$19,"")))))</f>
        <v>0</v>
      </c>
    </row>
    <row r="54" spans="2:295" x14ac:dyDescent="0.25">
      <c r="B54" s="15">
        <f t="shared" ref="B54:E54" si="9">B11</f>
        <v>6</v>
      </c>
      <c r="C54" s="25" t="str">
        <f t="shared" si="9"/>
        <v>DSL-DHK</v>
      </c>
      <c r="D54" s="25" t="str">
        <f t="shared" si="9"/>
        <v>Md. Rakibul Hasan</v>
      </c>
      <c r="E54" s="26">
        <f t="shared" si="9"/>
        <v>2927</v>
      </c>
      <c r="F54" s="112">
        <f t="shared" si="4"/>
        <v>2750</v>
      </c>
      <c r="G54" s="112">
        <f t="shared" si="5"/>
        <v>700</v>
      </c>
      <c r="H54" s="85">
        <f>IF(H11&lt;=Condition!$E$16,0,IF(H11&lt;=Condition!$F$16,Condition!$D$16,IF(H11&lt;=Condition!$F$17,Condition!$D$17,IF(H11&lt;=Condition!$F$18,Condition!$D$18,IF(H11&gt;Condition!$E$19,Condition!$D$19,"")))))</f>
        <v>150</v>
      </c>
      <c r="I54" s="85">
        <f>IF(I11&lt;=Condition!$E$16,0,IF(I11&lt;=Condition!$F$16,Condition!$D$16,IF(I11&lt;=Condition!$F$17,Condition!$D$17,IF(I11&lt;=Condition!$F$18,Condition!$D$18,IF(I11&gt;Condition!$E$19,Condition!$D$19,"")))))</f>
        <v>0</v>
      </c>
      <c r="J54" s="85">
        <f>IF(J11&lt;=Condition!$E$16,0,IF(J11&lt;=Condition!$F$16,Condition!$D$16,IF(J11&lt;=Condition!$F$17,Condition!$D$17,IF(J11&lt;=Condition!$F$18,Condition!$D$18,IF(J11&gt;Condition!$E$19,Condition!$D$19,"")))))</f>
        <v>400</v>
      </c>
      <c r="K54" s="85">
        <f>IF(K11&lt;=Condition!$E$16,0,IF(K11&lt;=Condition!$F$16,Condition!$D$16,IF(K11&lt;=Condition!$F$17,Condition!$D$17,IF(K11&lt;=Condition!$F$18,Condition!$D$18,IF(K11&gt;Condition!$E$19,Condition!$D$19,"")))))</f>
        <v>0</v>
      </c>
      <c r="L54" s="85">
        <f>IF(L11&lt;=Condition!$E$16,0,IF(L11&lt;=Condition!$F$16,Condition!$D$16,IF(L11&lt;=Condition!$F$17,Condition!$D$17,IF(L11&lt;=Condition!$F$18,Condition!$D$18,IF(L11&gt;Condition!$E$19,Condition!$D$19,"")))))</f>
        <v>500</v>
      </c>
      <c r="M54" s="85">
        <f>IF(M11&lt;=Condition!$E$16,0,IF(M11&lt;=Condition!$F$16,Condition!$D$16,IF(M11&lt;=Condition!$F$17,Condition!$D$17,IF(M11&lt;=Condition!$F$18,Condition!$D$18,IF(M11&gt;Condition!$E$19,Condition!$D$19,"")))))</f>
        <v>0</v>
      </c>
      <c r="N54" s="85">
        <f>IF(N11&lt;=Condition!$E$16,0,IF(N11&lt;=Condition!$F$16,Condition!$D$16,IF(N11&lt;=Condition!$F$17,Condition!$D$17,IF(N11&lt;=Condition!$F$18,Condition!$D$18,IF(N11&gt;Condition!$E$19,Condition!$D$19,"")))))</f>
        <v>500</v>
      </c>
      <c r="O54" s="85">
        <f>IF(O11&lt;=Condition!$E$16,0,IF(O11&lt;=Condition!$F$16,Condition!$D$16,IF(O11&lt;=Condition!$F$17,Condition!$D$17,IF(O11&lt;=Condition!$F$18,Condition!$D$18,IF(O11&gt;Condition!$E$19,Condition!$D$19,"")))))</f>
        <v>0</v>
      </c>
      <c r="P54" s="85">
        <f>IF(P11&lt;=Condition!$E$16,0,IF(P11&lt;=Condition!$F$16,Condition!$D$16,IF(P11&lt;=Condition!$F$17,Condition!$D$17,IF(P11&lt;=Condition!$F$18,Condition!$D$18,IF(P11&gt;Condition!$E$19,Condition!$D$19,"")))))</f>
        <v>400</v>
      </c>
      <c r="Q54" s="85">
        <f>IF(Q11&lt;=Condition!$E$16,0,IF(Q11&lt;=Condition!$F$16,Condition!$D$16,IF(Q11&lt;=Condition!$F$17,Condition!$D$17,IF(Q11&lt;=Condition!$F$18,Condition!$D$18,IF(Q11&gt;Condition!$E$19,Condition!$D$19,"")))))</f>
        <v>0</v>
      </c>
      <c r="R54" s="85">
        <f>IF(R11&lt;=Condition!$E$16,0,IF(R11&lt;=Condition!$F$16,Condition!$D$16,IF(R11&lt;=Condition!$F$17,Condition!$D$17,IF(R11&lt;=Condition!$F$18,Condition!$D$18,IF(R11&gt;Condition!$E$19,Condition!$D$19,"")))))</f>
        <v>400</v>
      </c>
      <c r="S54" s="85">
        <f>IF(S11&lt;=Condition!$E$16,0,IF(S11&lt;=Condition!$F$16,Condition!$D$16,IF(S11&lt;=Condition!$F$17,Condition!$D$17,IF(S11&lt;=Condition!$F$18,Condition!$D$18,IF(S11&gt;Condition!$E$19,Condition!$D$19,"")))))</f>
        <v>0</v>
      </c>
      <c r="T54" s="85">
        <f>IF(T11&lt;=Condition!$E$16,0,IF(T11&lt;=Condition!$F$16,Condition!$D$16,IF(T11&lt;=Condition!$F$17,Condition!$D$17,IF(T11&lt;=Condition!$F$18,Condition!$D$18,IF(T11&gt;Condition!$E$19,Condition!$D$19,"")))))</f>
        <v>400</v>
      </c>
      <c r="U54" s="85">
        <f>IF(U11&lt;=Condition!$E$16,0,IF(U11&lt;=Condition!$F$16,Condition!$D$16,IF(U11&lt;=Condition!$F$17,Condition!$D$17,IF(U11&lt;=Condition!$F$18,Condition!$D$18,IF(U11&gt;Condition!$E$19,Condition!$D$19,"")))))</f>
        <v>400</v>
      </c>
      <c r="V54" s="85">
        <f>IF(V11&lt;=Condition!$E$16,0,IF(V11&lt;=Condition!$F$16,Condition!$D$16,IF(V11&lt;=Condition!$F$17,Condition!$D$17,IF(V11&lt;=Condition!$F$18,Condition!$D$18,IF(V11&gt;Condition!$E$19,Condition!$D$19,"")))))</f>
        <v>0</v>
      </c>
      <c r="W54" s="85">
        <f>IF(W11&lt;=Condition!$E$16,0,IF(W11&lt;=Condition!$F$16,Condition!$D$16,IF(W11&lt;=Condition!$F$17,Condition!$D$17,IF(W11&lt;=Condition!$F$18,Condition!$D$18,IF(W11&gt;Condition!$E$19,Condition!$D$19,"")))))</f>
        <v>150</v>
      </c>
      <c r="X54" s="85">
        <f>IF(X11&lt;=Condition!$E$16,0,IF(X11&lt;=Condition!$F$16,Condition!$D$16,IF(X11&lt;=Condition!$F$17,Condition!$D$17,IF(X11&lt;=Condition!$F$18,Condition!$D$18,IF(X11&gt;Condition!$E$19,Condition!$D$19,"")))))</f>
        <v>0</v>
      </c>
      <c r="Y54" s="85">
        <f>IF(Y11&lt;=Condition!$E$16,0,IF(Y11&lt;=Condition!$F$16,Condition!$D$16,IF(Y11&lt;=Condition!$F$17,Condition!$D$17,IF(Y11&lt;=Condition!$F$18,Condition!$D$18,IF(Y11&gt;Condition!$E$19,Condition!$D$19,"")))))</f>
        <v>150</v>
      </c>
      <c r="Z54" s="85">
        <f>IF(Z11&lt;=Condition!$E$16,0,IF(Z11&lt;=Condition!$F$16,Condition!$D$16,IF(Z11&lt;=Condition!$F$17,Condition!$D$17,IF(Z11&lt;=Condition!$F$18,Condition!$D$18,IF(Z11&gt;Condition!$E$19,Condition!$D$19,"")))))</f>
        <v>0</v>
      </c>
      <c r="AA54" s="85">
        <f>IF(AA11&lt;=Condition!$E$16,0,IF(AA11&lt;=Condition!$F$16,Condition!$D$16,IF(AA11&lt;=Condition!$F$17,Condition!$D$17,IF(AA11&lt;=Condition!$F$18,Condition!$D$18,IF(AA11&gt;Condition!$E$19,Condition!$D$19,"")))))</f>
        <v>0</v>
      </c>
      <c r="AB54" s="85">
        <f>IF(AB11&lt;=Condition!$E$16,0,IF(AB11&lt;=Condition!$F$16,Condition!$D$16,IF(AB11&lt;=Condition!$F$17,Condition!$D$17,IF(AB11&lt;=Condition!$F$18,Condition!$D$18,IF(AB11&gt;Condition!$E$19,Condition!$D$19,"")))))</f>
        <v>0</v>
      </c>
      <c r="AC54" s="85">
        <f>IF(AC11&lt;=Condition!$E$16,0,IF(AC11&lt;=Condition!$F$16,Condition!$D$16,IF(AC11&lt;=Condition!$F$17,Condition!$D$17,IF(AC11&lt;=Condition!$F$18,Condition!$D$18,IF(AC11&gt;Condition!$E$19,Condition!$D$19,"")))))</f>
        <v>0</v>
      </c>
      <c r="AD54" s="85">
        <f>IF(AD11&lt;=Condition!$E$16,0,IF(AD11&lt;=Condition!$F$16,Condition!$D$16,IF(AD11&lt;=Condition!$F$17,Condition!$D$17,IF(AD11&lt;=Condition!$F$18,Condition!$D$18,IF(AD11&gt;Condition!$E$19,Condition!$D$19,"")))))</f>
        <v>0</v>
      </c>
      <c r="AE54" s="85">
        <f>IF(AE11&lt;=Condition!$E$16,0,IF(AE11&lt;=Condition!$F$16,Condition!$D$16,IF(AE11&lt;=Condition!$F$17,Condition!$D$17,IF(AE11&lt;=Condition!$F$18,Condition!$D$18,IF(AE11&gt;Condition!$E$19,Condition!$D$19,"")))))</f>
        <v>0</v>
      </c>
      <c r="AF54" s="85">
        <f>IF(AF11&lt;=Condition!$E$16,0,IF(AF11&lt;=Condition!$F$16,Condition!$D$16,IF(AF11&lt;=Condition!$F$17,Condition!$D$17,IF(AF11&lt;=Condition!$F$18,Condition!$D$18,IF(AF11&gt;Condition!$E$19,Condition!$D$19,"")))))</f>
        <v>0</v>
      </c>
      <c r="AG54" s="85">
        <f>IF(AG11&lt;=Condition!$E$16,0,IF(AG11&lt;=Condition!$F$16,Condition!$D$16,IF(AG11&lt;=Condition!$F$17,Condition!$D$17,IF(AG11&lt;=Condition!$F$18,Condition!$D$18,IF(AG11&gt;Condition!$E$19,Condition!$D$19,"")))))</f>
        <v>0</v>
      </c>
      <c r="AH54" s="85">
        <f>IF(AH11&lt;=Condition!$E$16,0,IF(AH11&lt;=Condition!$F$16,Condition!$D$16,IF(AH11&lt;=Condition!$F$17,Condition!$D$17,IF(AH11&lt;=Condition!$F$18,Condition!$D$18,IF(AH11&gt;Condition!$E$19,Condition!$D$19,"")))))</f>
        <v>0</v>
      </c>
      <c r="AI54" s="85">
        <f>IF(AI11&lt;=Condition!$E$16,0,IF(AI11&lt;=Condition!$F$16,Condition!$D$16,IF(AI11&lt;=Condition!$F$17,Condition!$D$17,IF(AI11&lt;=Condition!$F$18,Condition!$D$18,IF(AI11&gt;Condition!$E$19,Condition!$D$19,"")))))</f>
        <v>0</v>
      </c>
      <c r="AJ54" s="85">
        <f>IF(AJ11&lt;=Condition!$E$16,0,IF(AJ11&lt;=Condition!$F$16,Condition!$D$16,IF(AJ11&lt;=Condition!$F$17,Condition!$D$17,IF(AJ11&lt;=Condition!$F$18,Condition!$D$18,IF(AJ11&gt;Condition!$E$19,Condition!$D$19,"")))))</f>
        <v>0</v>
      </c>
      <c r="AK54" s="85">
        <f>IF(AK11&lt;=Condition!$E$16,0,IF(AK11&lt;=Condition!$F$16,Condition!$D$16,IF(AK11&lt;=Condition!$F$17,Condition!$D$17,IF(AK11&lt;=Condition!$F$18,Condition!$D$18,IF(AK11&gt;Condition!$E$19,Condition!$D$19,"")))))</f>
        <v>0</v>
      </c>
      <c r="AL54" s="85">
        <f>IF(AL11&lt;=Condition!$E$16,0,IF(AL11&lt;=Condition!$F$16,Condition!$D$16,IF(AL11&lt;=Condition!$F$17,Condition!$D$17,IF(AL11&lt;=Condition!$F$18,Condition!$D$18,IF(AL11&gt;Condition!$E$19,Condition!$D$19,"")))))</f>
        <v>0</v>
      </c>
      <c r="AM54" s="85">
        <f>IF(AM11&lt;=Condition!$E$16,0,IF(AM11&lt;=Condition!$F$16,Condition!$D$16,IF(AM11&lt;=Condition!$F$17,Condition!$D$17,IF(AM11&lt;=Condition!$F$18,Condition!$D$18,IF(AM11&gt;Condition!$E$19,Condition!$D$19,"")))))</f>
        <v>0</v>
      </c>
      <c r="AN54" s="85">
        <f>IF(AN11&lt;=Condition!$E$16,0,IF(AN11&lt;=Condition!$F$16,Condition!$D$16,IF(AN11&lt;=Condition!$F$17,Condition!$D$17,IF(AN11&lt;=Condition!$F$18,Condition!$D$18,IF(AN11&gt;Condition!$E$19,Condition!$D$19,"")))))</f>
        <v>0</v>
      </c>
      <c r="AO54" s="85">
        <f>IF(AO11&lt;=Condition!$E$16,0,IF(AO11&lt;=Condition!$F$16,Condition!$D$16,IF(AO11&lt;=Condition!$F$17,Condition!$D$17,IF(AO11&lt;=Condition!$F$18,Condition!$D$18,IF(AO11&gt;Condition!$E$19,Condition!$D$19,"")))))</f>
        <v>0</v>
      </c>
      <c r="AP54" s="85">
        <f>IF(AP11&lt;=Condition!$E$16,0,IF(AP11&lt;=Condition!$F$16,Condition!$D$16,IF(AP11&lt;=Condition!$F$17,Condition!$D$17,IF(AP11&lt;=Condition!$F$18,Condition!$D$18,IF(AP11&gt;Condition!$E$19,Condition!$D$19,"")))))</f>
        <v>0</v>
      </c>
      <c r="AQ54" s="85">
        <f>IF(AQ11&lt;=Condition!$E$16,0,IF(AQ11&lt;=Condition!$F$16,Condition!$D$16,IF(AQ11&lt;=Condition!$F$17,Condition!$D$17,IF(AQ11&lt;=Condition!$F$18,Condition!$D$18,IF(AQ11&gt;Condition!$E$19,Condition!$D$19,"")))))</f>
        <v>0</v>
      </c>
      <c r="AR54" s="85">
        <f>IF(AR11&lt;=Condition!$E$16,0,IF(AR11&lt;=Condition!$F$16,Condition!$D$16,IF(AR11&lt;=Condition!$F$17,Condition!$D$17,IF(AR11&lt;=Condition!$F$18,Condition!$D$18,IF(AR11&gt;Condition!$E$19,Condition!$D$19,"")))))</f>
        <v>0</v>
      </c>
      <c r="AS54" s="85">
        <f>IF(AS11&lt;=Condition!$E$16,0,IF(AS11&lt;=Condition!$F$16,Condition!$D$16,IF(AS11&lt;=Condition!$F$17,Condition!$D$17,IF(AS11&lt;=Condition!$F$18,Condition!$D$18,IF(AS11&gt;Condition!$E$19,Condition!$D$19,"")))))</f>
        <v>0</v>
      </c>
      <c r="AT54" s="85">
        <f>IF(AT11&lt;=Condition!$E$16,0,IF(AT11&lt;=Condition!$F$16,Condition!$D$16,IF(AT11&lt;=Condition!$F$17,Condition!$D$17,IF(AT11&lt;=Condition!$F$18,Condition!$D$18,IF(AT11&gt;Condition!$E$19,Condition!$D$19,"")))))</f>
        <v>0</v>
      </c>
      <c r="AU54" s="85">
        <f>IF(AU11&lt;=Condition!$E$16,0,IF(AU11&lt;=Condition!$F$16,Condition!$D$16,IF(AU11&lt;=Condition!$F$17,Condition!$D$17,IF(AU11&lt;=Condition!$F$18,Condition!$D$18,IF(AU11&gt;Condition!$E$19,Condition!$D$19,"")))))</f>
        <v>0</v>
      </c>
      <c r="AV54" s="85">
        <f>IF(AV11&lt;=Condition!$E$16,0,IF(AV11&lt;=Condition!$F$16,Condition!$D$16,IF(AV11&lt;=Condition!$F$17,Condition!$D$17,IF(AV11&lt;=Condition!$F$18,Condition!$D$18,IF(AV11&gt;Condition!$E$19,Condition!$D$19,"")))))</f>
        <v>0</v>
      </c>
      <c r="AW54" s="85">
        <f>IF(AW11&lt;=Condition!$E$16,0,IF(AW11&lt;=Condition!$F$16,Condition!$D$16,IF(AW11&lt;=Condition!$F$17,Condition!$D$17,IF(AW11&lt;=Condition!$F$18,Condition!$D$18,IF(AW11&gt;Condition!$E$19,Condition!$D$19,"")))))</f>
        <v>0</v>
      </c>
      <c r="AX54" s="85">
        <f>IF(AX11&lt;=Condition!$E$16,0,IF(AX11&lt;=Condition!$F$16,Condition!$D$16,IF(AX11&lt;=Condition!$F$17,Condition!$D$17,IF(AX11&lt;=Condition!$F$18,Condition!$D$18,IF(AX11&gt;Condition!$E$19,Condition!$D$19,"")))))</f>
        <v>0</v>
      </c>
      <c r="AY54" s="85">
        <f>IF(AY11&lt;=Condition!$E$16,0,IF(AY11&lt;=Condition!$F$16,Condition!$D$16,IF(AY11&lt;=Condition!$F$17,Condition!$D$17,IF(AY11&lt;=Condition!$F$18,Condition!$D$18,IF(AY11&gt;Condition!$E$19,Condition!$D$19,"")))))</f>
        <v>0</v>
      </c>
      <c r="AZ54" s="85">
        <f>IF(AZ11&lt;=Condition!$E$16,0,IF(AZ11&lt;=Condition!$F$16,Condition!$D$16,IF(AZ11&lt;=Condition!$F$17,Condition!$D$17,IF(AZ11&lt;=Condition!$F$18,Condition!$D$18,IF(AZ11&gt;Condition!$E$19,Condition!$D$19,"")))))</f>
        <v>0</v>
      </c>
      <c r="BA54" s="85">
        <f>IF(BA11&lt;=Condition!$E$16,0,IF(BA11&lt;=Condition!$F$16,Condition!$D$16,IF(BA11&lt;=Condition!$F$17,Condition!$D$17,IF(BA11&lt;=Condition!$F$18,Condition!$D$18,IF(BA11&gt;Condition!$E$19,Condition!$D$19,"")))))</f>
        <v>0</v>
      </c>
      <c r="BB54" s="85">
        <f>IF(BB11&lt;=Condition!$E$16,0,IF(BB11&lt;=Condition!$F$16,Condition!$D$16,IF(BB11&lt;=Condition!$F$17,Condition!$D$17,IF(BB11&lt;=Condition!$F$18,Condition!$D$18,IF(BB11&gt;Condition!$E$19,Condition!$D$19,"")))))</f>
        <v>0</v>
      </c>
      <c r="BC54" s="85">
        <f>IF(BC11&lt;=Condition!$E$16,0,IF(BC11&lt;=Condition!$F$16,Condition!$D$16,IF(BC11&lt;=Condition!$F$17,Condition!$D$17,IF(BC11&lt;=Condition!$F$18,Condition!$D$18,IF(BC11&gt;Condition!$E$19,Condition!$D$19,"")))))</f>
        <v>0</v>
      </c>
      <c r="BD54" s="85">
        <f>IF(BD11&lt;=Condition!$E$16,0,IF(BD11&lt;=Condition!$F$16,Condition!$D$16,IF(BD11&lt;=Condition!$F$17,Condition!$D$17,IF(BD11&lt;=Condition!$F$18,Condition!$D$18,IF(BD11&gt;Condition!$E$19,Condition!$D$19,"")))))</f>
        <v>0</v>
      </c>
      <c r="BE54" s="85">
        <f>IF(BE11&lt;=Condition!$E$16,0,IF(BE11&lt;=Condition!$F$16,Condition!$D$16,IF(BE11&lt;=Condition!$F$17,Condition!$D$17,IF(BE11&lt;=Condition!$F$18,Condition!$D$18,IF(BE11&gt;Condition!$E$19,Condition!$D$19,"")))))</f>
        <v>0</v>
      </c>
      <c r="BF54" s="85">
        <f>IF(BF11&lt;=Condition!$E$16,0,IF(BF11&lt;=Condition!$F$16,Condition!$D$16,IF(BF11&lt;=Condition!$F$17,Condition!$D$17,IF(BF11&lt;=Condition!$F$18,Condition!$D$18,IF(BF11&gt;Condition!$E$19,Condition!$D$19,"")))))</f>
        <v>0</v>
      </c>
      <c r="BG54" s="85">
        <f>IF(BG11&lt;=Condition!$E$16,0,IF(BG11&lt;=Condition!$F$16,Condition!$D$16,IF(BG11&lt;=Condition!$F$17,Condition!$D$17,IF(BG11&lt;=Condition!$F$18,Condition!$D$18,IF(BG11&gt;Condition!$E$19,Condition!$D$19,"")))))</f>
        <v>0</v>
      </c>
      <c r="BH54" s="85">
        <f>IF(BH11&lt;=Condition!$E$16,0,IF(BH11&lt;=Condition!$F$16,Condition!$D$16,IF(BH11&lt;=Condition!$F$17,Condition!$D$17,IF(BH11&lt;=Condition!$F$18,Condition!$D$18,IF(BH11&gt;Condition!$E$19,Condition!$D$19,"")))))</f>
        <v>0</v>
      </c>
      <c r="BI54" s="85">
        <f>IF(BI11&lt;=Condition!$E$16,0,IF(BI11&lt;=Condition!$F$16,Condition!$D$16,IF(BI11&lt;=Condition!$F$17,Condition!$D$17,IF(BI11&lt;=Condition!$F$18,Condition!$D$18,IF(BI11&gt;Condition!$E$19,Condition!$D$19,"")))))</f>
        <v>0</v>
      </c>
      <c r="BJ54" s="85">
        <f>IF(BJ11&lt;=Condition!$E$16,0,IF(BJ11&lt;=Condition!$F$16,Condition!$D$16,IF(BJ11&lt;=Condition!$F$17,Condition!$D$17,IF(BJ11&lt;=Condition!$F$18,Condition!$D$18,IF(BJ11&gt;Condition!$E$19,Condition!$D$19,"")))))</f>
        <v>0</v>
      </c>
      <c r="BK54" s="85">
        <f>IF(BK11&lt;=Condition!$E$16,0,IF(BK11&lt;=Condition!$F$16,Condition!$D$16,IF(BK11&lt;=Condition!$F$17,Condition!$D$17,IF(BK11&lt;=Condition!$F$18,Condition!$D$18,IF(BK11&gt;Condition!$E$19,Condition!$D$19,"")))))</f>
        <v>0</v>
      </c>
      <c r="BL54" s="85">
        <f>IF(BL11&lt;=Condition!$E$16,0,IF(BL11&lt;=Condition!$F$16,Condition!$D$16,IF(BL11&lt;=Condition!$F$17,Condition!$D$17,IF(BL11&lt;=Condition!$F$18,Condition!$D$18,IF(BL11&gt;Condition!$E$19,Condition!$D$19,"")))))</f>
        <v>0</v>
      </c>
      <c r="BM54" s="85">
        <f>IF(BM11&lt;=Condition!$E$16,0,IF(BM11&lt;=Condition!$F$16,Condition!$D$16,IF(BM11&lt;=Condition!$F$17,Condition!$D$17,IF(BM11&lt;=Condition!$F$18,Condition!$D$18,IF(BM11&gt;Condition!$E$19,Condition!$D$19,"")))))</f>
        <v>0</v>
      </c>
      <c r="BN54" s="85">
        <f>IF(BN11&lt;=Condition!$E$16,0,IF(BN11&lt;=Condition!$F$16,Condition!$D$16,IF(BN11&lt;=Condition!$F$17,Condition!$D$17,IF(BN11&lt;=Condition!$F$18,Condition!$D$18,IF(BN11&gt;Condition!$E$19,Condition!$D$19,"")))))</f>
        <v>0</v>
      </c>
      <c r="BO54" s="85">
        <f>IF(BO11&lt;=Condition!$E$16,0,IF(BO11&lt;=Condition!$F$16,Condition!$D$16,IF(BO11&lt;=Condition!$F$17,Condition!$D$17,IF(BO11&lt;=Condition!$F$18,Condition!$D$18,IF(BO11&gt;Condition!$E$19,Condition!$D$19,"")))))</f>
        <v>0</v>
      </c>
      <c r="BP54" s="85">
        <f>IF(BP11&lt;=Condition!$E$16,0,IF(BP11&lt;=Condition!$F$16,Condition!$D$16,IF(BP11&lt;=Condition!$F$17,Condition!$D$17,IF(BP11&lt;=Condition!$F$18,Condition!$D$18,IF(BP11&gt;Condition!$E$19,Condition!$D$19,"")))))</f>
        <v>0</v>
      </c>
      <c r="BQ54" s="85">
        <f>IF(BQ11&lt;=Condition!$E$16,0,IF(BQ11&lt;=Condition!$F$16,Condition!$D$16,IF(BQ11&lt;=Condition!$F$17,Condition!$D$17,IF(BQ11&lt;=Condition!$F$18,Condition!$D$18,IF(BQ11&gt;Condition!$E$19,Condition!$D$19,"")))))</f>
        <v>0</v>
      </c>
      <c r="BR54" s="85">
        <f>IF(BR11&lt;=Condition!$E$16,0,IF(BR11&lt;=Condition!$F$16,Condition!$D$16,IF(BR11&lt;=Condition!$F$17,Condition!$D$17,IF(BR11&lt;=Condition!$F$18,Condition!$D$18,IF(BR11&gt;Condition!$E$19,Condition!$D$19,"")))))</f>
        <v>0</v>
      </c>
      <c r="BS54" s="85">
        <f>IF(BS11&lt;=Condition!$E$16,0,IF(BS11&lt;=Condition!$F$16,Condition!$D$16,IF(BS11&lt;=Condition!$F$17,Condition!$D$17,IF(BS11&lt;=Condition!$F$18,Condition!$D$18,IF(BS11&gt;Condition!$E$19,Condition!$D$19,"")))))</f>
        <v>0</v>
      </c>
      <c r="BT54" s="85">
        <f>IF(BT11&lt;=Condition!$E$16,0,IF(BT11&lt;=Condition!$F$16,Condition!$D$16,IF(BT11&lt;=Condition!$F$17,Condition!$D$17,IF(BT11&lt;=Condition!$F$18,Condition!$D$18,IF(BT11&gt;Condition!$E$19,Condition!$D$19,"")))))</f>
        <v>0</v>
      </c>
      <c r="BU54" s="85">
        <f>IF(BU11&lt;=Condition!$E$16,0,IF(BU11&lt;=Condition!$F$16,Condition!$D$16,IF(BU11&lt;=Condition!$F$17,Condition!$D$17,IF(BU11&lt;=Condition!$F$18,Condition!$D$18,IF(BU11&gt;Condition!$E$19,Condition!$D$19,"")))))</f>
        <v>0</v>
      </c>
      <c r="BV54" s="85">
        <f>IF(BV11&lt;=Condition!$E$16,0,IF(BV11&lt;=Condition!$F$16,Condition!$D$16,IF(BV11&lt;=Condition!$F$17,Condition!$D$17,IF(BV11&lt;=Condition!$F$18,Condition!$D$18,IF(BV11&gt;Condition!$E$19,Condition!$D$19,"")))))</f>
        <v>0</v>
      </c>
      <c r="BW54" s="85">
        <f>IF(BW11&lt;=Condition!$E$16,0,IF(BW11&lt;=Condition!$F$16,Condition!$D$16,IF(BW11&lt;=Condition!$F$17,Condition!$D$17,IF(BW11&lt;=Condition!$F$18,Condition!$D$18,IF(BW11&gt;Condition!$E$19,Condition!$D$19,"")))))</f>
        <v>0</v>
      </c>
      <c r="BX54" s="85">
        <f>IF(BX11&lt;=Condition!$E$16,0,IF(BX11&lt;=Condition!$F$16,Condition!$D$16,IF(BX11&lt;=Condition!$F$17,Condition!$D$17,IF(BX11&lt;=Condition!$F$18,Condition!$D$18,IF(BX11&gt;Condition!$E$19,Condition!$D$19,"")))))</f>
        <v>0</v>
      </c>
      <c r="BY54" s="85">
        <f>IF(BY11&lt;=Condition!$E$16,0,IF(BY11&lt;=Condition!$F$16,Condition!$D$16,IF(BY11&lt;=Condition!$F$17,Condition!$D$17,IF(BY11&lt;=Condition!$F$18,Condition!$D$18,IF(BY11&gt;Condition!$E$19,Condition!$D$19,"")))))</f>
        <v>0</v>
      </c>
      <c r="BZ54" s="85">
        <f>IF(BZ11&lt;=Condition!$E$16,0,IF(BZ11&lt;=Condition!$F$16,Condition!$D$16,IF(BZ11&lt;=Condition!$F$17,Condition!$D$17,IF(BZ11&lt;=Condition!$F$18,Condition!$D$18,IF(BZ11&gt;Condition!$E$19,Condition!$D$19,"")))))</f>
        <v>0</v>
      </c>
      <c r="CA54" s="85">
        <f>IF(CA11&lt;=Condition!$E$16,0,IF(CA11&lt;=Condition!$F$16,Condition!$D$16,IF(CA11&lt;=Condition!$F$17,Condition!$D$17,IF(CA11&lt;=Condition!$F$18,Condition!$D$18,IF(CA11&gt;Condition!$E$19,Condition!$D$19,"")))))</f>
        <v>0</v>
      </c>
      <c r="CB54" s="85">
        <f>IF(CB11&lt;=Condition!$E$16,0,IF(CB11&lt;=Condition!$F$16,Condition!$D$16,IF(CB11&lt;=Condition!$F$17,Condition!$D$17,IF(CB11&lt;=Condition!$F$18,Condition!$D$18,IF(CB11&gt;Condition!$E$19,Condition!$D$19,"")))))</f>
        <v>0</v>
      </c>
      <c r="CC54" s="85">
        <f>IF(CC11&lt;=Condition!$E$16,0,IF(CC11&lt;=Condition!$F$16,Condition!$D$16,IF(CC11&lt;=Condition!$F$17,Condition!$D$17,IF(CC11&lt;=Condition!$F$18,Condition!$D$18,IF(CC11&gt;Condition!$E$19,Condition!$D$19,"")))))</f>
        <v>0</v>
      </c>
      <c r="CD54" s="85">
        <f>IF(CD11&lt;=Condition!$E$16,0,IF(CD11&lt;=Condition!$F$16,Condition!$D$16,IF(CD11&lt;=Condition!$F$17,Condition!$D$17,IF(CD11&lt;=Condition!$F$18,Condition!$D$18,IF(CD11&gt;Condition!$E$19,Condition!$D$19,"")))))</f>
        <v>0</v>
      </c>
      <c r="CE54" s="85">
        <f>IF(CE11&lt;=Condition!$E$16,0,IF(CE11&lt;=Condition!$F$16,Condition!$D$16,IF(CE11&lt;=Condition!$F$17,Condition!$D$17,IF(CE11&lt;=Condition!$F$18,Condition!$D$18,IF(CE11&gt;Condition!$E$19,Condition!$D$19,"")))))</f>
        <v>0</v>
      </c>
      <c r="CF54" s="85">
        <f>IF(CF11&lt;=Condition!$E$16,0,IF(CF11&lt;=Condition!$F$16,Condition!$D$16,IF(CF11&lt;=Condition!$F$17,Condition!$D$17,IF(CF11&lt;=Condition!$F$18,Condition!$D$18,IF(CF11&gt;Condition!$E$19,Condition!$D$19,"")))))</f>
        <v>0</v>
      </c>
      <c r="CG54" s="85">
        <f>IF(CG11&lt;=Condition!$E$16,0,IF(CG11&lt;=Condition!$F$16,Condition!$D$16,IF(CG11&lt;=Condition!$F$17,Condition!$D$17,IF(CG11&lt;=Condition!$F$18,Condition!$D$18,IF(CG11&gt;Condition!$E$19,Condition!$D$19,"")))))</f>
        <v>0</v>
      </c>
      <c r="CH54" s="85">
        <f>IF(CH11&lt;=Condition!$E$16,0,IF(CH11&lt;=Condition!$F$16,Condition!$D$16,IF(CH11&lt;=Condition!$F$17,Condition!$D$17,IF(CH11&lt;=Condition!$F$18,Condition!$D$18,IF(CH11&gt;Condition!$E$19,Condition!$D$19,"")))))</f>
        <v>0</v>
      </c>
      <c r="CI54" s="85">
        <f>IF(CI11&lt;=Condition!$E$16,0,IF(CI11&lt;=Condition!$F$16,Condition!$D$16,IF(CI11&lt;=Condition!$F$17,Condition!$D$17,IF(CI11&lt;=Condition!$F$18,Condition!$D$18,IF(CI11&gt;Condition!$E$19,Condition!$D$19,"")))))</f>
        <v>0</v>
      </c>
      <c r="CJ54" s="85">
        <f>IF(CJ11&lt;=Condition!$E$16,0,IF(CJ11&lt;=Condition!$F$16,Condition!$D$16,IF(CJ11&lt;=Condition!$F$17,Condition!$D$17,IF(CJ11&lt;=Condition!$F$18,Condition!$D$18,IF(CJ11&gt;Condition!$E$19,Condition!$D$19,"")))))</f>
        <v>0</v>
      </c>
      <c r="CK54" s="85">
        <f>IF(CK11&lt;=Condition!$E$16,0,IF(CK11&lt;=Condition!$F$16,Condition!$D$16,IF(CK11&lt;=Condition!$F$17,Condition!$D$17,IF(CK11&lt;=Condition!$F$18,Condition!$D$18,IF(CK11&gt;Condition!$E$19,Condition!$D$19,"")))))</f>
        <v>0</v>
      </c>
      <c r="CL54" s="85">
        <f>IF(CL11&lt;=Condition!$E$16,0,IF(CL11&lt;=Condition!$F$16,Condition!$D$16,IF(CL11&lt;=Condition!$F$17,Condition!$D$17,IF(CL11&lt;=Condition!$F$18,Condition!$D$18,IF(CL11&gt;Condition!$E$19,Condition!$D$19,"")))))</f>
        <v>0</v>
      </c>
      <c r="CM54" s="85">
        <f>IF(CM11&lt;=Condition!$E$16,0,IF(CM11&lt;=Condition!$F$16,Condition!$D$16,IF(CM11&lt;=Condition!$F$17,Condition!$D$17,IF(CM11&lt;=Condition!$F$18,Condition!$D$18,IF(CM11&gt;Condition!$E$19,Condition!$D$19,"")))))</f>
        <v>0</v>
      </c>
      <c r="CN54" s="85">
        <f>IF(CN11&lt;=Condition!$E$16,0,IF(CN11&lt;=Condition!$F$16,Condition!$D$16,IF(CN11&lt;=Condition!$F$17,Condition!$D$17,IF(CN11&lt;=Condition!$F$18,Condition!$D$18,IF(CN11&gt;Condition!$E$19,Condition!$D$19,"")))))</f>
        <v>0</v>
      </c>
      <c r="CO54" s="85">
        <f>IF(CO11&lt;=Condition!$E$16,0,IF(CO11&lt;=Condition!$F$16,Condition!$D$16,IF(CO11&lt;=Condition!$F$17,Condition!$D$17,IF(CO11&lt;=Condition!$F$18,Condition!$D$18,IF(CO11&gt;Condition!$E$19,Condition!$D$19,"")))))</f>
        <v>0</v>
      </c>
      <c r="CP54" s="85">
        <f>IF(CP11&lt;=Condition!$E$16,0,IF(CP11&lt;=Condition!$F$16,Condition!$D$16,IF(CP11&lt;=Condition!$F$17,Condition!$D$17,IF(CP11&lt;=Condition!$F$18,Condition!$D$18,IF(CP11&gt;Condition!$E$19,Condition!$D$19,"")))))</f>
        <v>0</v>
      </c>
      <c r="CQ54" s="85">
        <f>IF(CQ11&lt;=Condition!$E$16,0,IF(CQ11&lt;=Condition!$F$16,Condition!$D$16,IF(CQ11&lt;=Condition!$F$17,Condition!$D$17,IF(CQ11&lt;=Condition!$F$18,Condition!$D$18,IF(CQ11&gt;Condition!$E$19,Condition!$D$19,"")))))</f>
        <v>0</v>
      </c>
      <c r="CR54" s="85">
        <f>IF(CR11&lt;=Condition!$E$16,0,IF(CR11&lt;=Condition!$F$16,Condition!$D$16,IF(CR11&lt;=Condition!$F$17,Condition!$D$17,IF(CR11&lt;=Condition!$F$18,Condition!$D$18,IF(CR11&gt;Condition!$E$19,Condition!$D$19,"")))))</f>
        <v>0</v>
      </c>
      <c r="CS54" s="85">
        <f>IF(CS11&lt;=Condition!$E$16,0,IF(CS11&lt;=Condition!$F$16,Condition!$D$16,IF(CS11&lt;=Condition!$F$17,Condition!$D$17,IF(CS11&lt;=Condition!$F$18,Condition!$D$18,IF(CS11&gt;Condition!$E$19,Condition!$D$19,"")))))</f>
        <v>0</v>
      </c>
      <c r="CT54" s="85">
        <f>IF(CT11&lt;=Condition!$E$16,0,IF(CT11&lt;=Condition!$F$16,Condition!$D$16,IF(CT11&lt;=Condition!$F$17,Condition!$D$17,IF(CT11&lt;=Condition!$F$18,Condition!$D$18,IF(CT11&gt;Condition!$E$19,Condition!$D$19,"")))))</f>
        <v>0</v>
      </c>
      <c r="CU54" s="85">
        <f>IF(CU11&lt;=Condition!$E$16,0,IF(CU11&lt;=Condition!$F$16,Condition!$D$16,IF(CU11&lt;=Condition!$F$17,Condition!$D$17,IF(CU11&lt;=Condition!$F$18,Condition!$D$18,IF(CU11&gt;Condition!$E$19,Condition!$D$19,"")))))</f>
        <v>0</v>
      </c>
      <c r="CV54" s="85">
        <f>IF(CV11&lt;=Condition!$E$16,0,IF(CV11&lt;=Condition!$F$16,Condition!$D$16,IF(CV11&lt;=Condition!$F$17,Condition!$D$17,IF(CV11&lt;=Condition!$F$18,Condition!$D$18,IF(CV11&gt;Condition!$E$19,Condition!$D$19,"")))))</f>
        <v>0</v>
      </c>
      <c r="CW54" s="85">
        <f>IF(CW11&lt;=Condition!$E$16,0,IF(CW11&lt;=Condition!$F$16,Condition!$D$16,IF(CW11&lt;=Condition!$F$17,Condition!$D$17,IF(CW11&lt;=Condition!$F$18,Condition!$D$18,IF(CW11&gt;Condition!$E$19,Condition!$D$19,"")))))</f>
        <v>0</v>
      </c>
      <c r="CX54" s="85">
        <f>IF(CX11&lt;=Condition!$E$16,0,IF(CX11&lt;=Condition!$F$16,Condition!$D$16,IF(CX11&lt;=Condition!$F$17,Condition!$D$17,IF(CX11&lt;=Condition!$F$18,Condition!$D$18,IF(CX11&gt;Condition!$E$19,Condition!$D$19,"")))))</f>
        <v>0</v>
      </c>
      <c r="CY54" s="85">
        <f>IF(CY11&lt;=Condition!$E$16,0,IF(CY11&lt;=Condition!$F$16,Condition!$D$16,IF(CY11&lt;=Condition!$F$17,Condition!$D$17,IF(CY11&lt;=Condition!$F$18,Condition!$D$18,IF(CY11&gt;Condition!$E$19,Condition!$D$19,"")))))</f>
        <v>0</v>
      </c>
      <c r="CZ54" s="85">
        <f>IF(CZ11&lt;=Condition!$E$16,0,IF(CZ11&lt;=Condition!$F$16,Condition!$D$16,IF(CZ11&lt;=Condition!$F$17,Condition!$D$17,IF(CZ11&lt;=Condition!$F$18,Condition!$D$18,IF(CZ11&gt;Condition!$E$19,Condition!$D$19,"")))))</f>
        <v>0</v>
      </c>
      <c r="DA54" s="85">
        <f>IF(DA11&lt;=Condition!$E$16,0,IF(DA11&lt;=Condition!$F$16,Condition!$D$16,IF(DA11&lt;=Condition!$F$17,Condition!$D$17,IF(DA11&lt;=Condition!$F$18,Condition!$D$18,IF(DA11&gt;Condition!$E$19,Condition!$D$19,"")))))</f>
        <v>0</v>
      </c>
      <c r="DB54" s="85">
        <f>IF(DB11&lt;=Condition!$E$16,0,IF(DB11&lt;=Condition!$F$16,Condition!$D$16,IF(DB11&lt;=Condition!$F$17,Condition!$D$17,IF(DB11&lt;=Condition!$F$18,Condition!$D$18,IF(DB11&gt;Condition!$E$19,Condition!$D$19,"")))))</f>
        <v>0</v>
      </c>
      <c r="DC54" s="85">
        <f>IF(DC11&lt;=Condition!$E$16,0,IF(DC11&lt;=Condition!$F$16,Condition!$D$16,IF(DC11&lt;=Condition!$F$17,Condition!$D$17,IF(DC11&lt;=Condition!$F$18,Condition!$D$18,IF(DC11&gt;Condition!$E$19,Condition!$D$19,"")))))</f>
        <v>0</v>
      </c>
      <c r="DD54" s="85">
        <f>IF(DD11&lt;=Condition!$E$16,0,IF(DD11&lt;=Condition!$F$16,Condition!$D$16,IF(DD11&lt;=Condition!$F$17,Condition!$D$17,IF(DD11&lt;=Condition!$F$18,Condition!$D$18,IF(DD11&gt;Condition!$E$19,Condition!$D$19,"")))))</f>
        <v>0</v>
      </c>
      <c r="DE54" s="85">
        <f>IF(DE11&lt;=Condition!$E$16,0,IF(DE11&lt;=Condition!$F$16,Condition!$D$16,IF(DE11&lt;=Condition!$F$17,Condition!$D$17,IF(DE11&lt;=Condition!$F$18,Condition!$D$18,IF(DE11&gt;Condition!$E$19,Condition!$D$19,"")))))</f>
        <v>0</v>
      </c>
      <c r="DF54" s="85">
        <f>IF(DF11&lt;=Condition!$E$16,0,IF(DF11&lt;=Condition!$F$16,Condition!$D$16,IF(DF11&lt;=Condition!$F$17,Condition!$D$17,IF(DF11&lt;=Condition!$F$18,Condition!$D$18,IF(DF11&gt;Condition!$E$19,Condition!$D$19,"")))))</f>
        <v>0</v>
      </c>
      <c r="DG54" s="85">
        <f>IF(DG11&lt;=Condition!$E$16,0,IF(DG11&lt;=Condition!$F$16,Condition!$D$16,IF(DG11&lt;=Condition!$F$17,Condition!$D$17,IF(DG11&lt;=Condition!$F$18,Condition!$D$18,IF(DG11&gt;Condition!$E$19,Condition!$D$19,"")))))</f>
        <v>0</v>
      </c>
      <c r="DH54" s="85">
        <f>IF(DH11&lt;=Condition!$E$16,0,IF(DH11&lt;=Condition!$F$16,Condition!$D$16,IF(DH11&lt;=Condition!$F$17,Condition!$D$17,IF(DH11&lt;=Condition!$F$18,Condition!$D$18,IF(DH11&gt;Condition!$E$19,Condition!$D$19,"")))))</f>
        <v>0</v>
      </c>
      <c r="DI54" s="85">
        <f>IF(DI11&lt;=Condition!$E$16,0,IF(DI11&lt;=Condition!$F$16,Condition!$D$16,IF(DI11&lt;=Condition!$F$17,Condition!$D$17,IF(DI11&lt;=Condition!$F$18,Condition!$D$18,IF(DI11&gt;Condition!$E$19,Condition!$D$19,"")))))</f>
        <v>0</v>
      </c>
      <c r="DJ54" s="85">
        <f>IF(DJ11&lt;=Condition!$E$16,0,IF(DJ11&lt;=Condition!$F$16,Condition!$D$16,IF(DJ11&lt;=Condition!$F$17,Condition!$D$17,IF(DJ11&lt;=Condition!$F$18,Condition!$D$18,IF(DJ11&gt;Condition!$E$19,Condition!$D$19,"")))))</f>
        <v>0</v>
      </c>
      <c r="DK54" s="85">
        <f>IF(DK11&lt;=Condition!$E$16,0,IF(DK11&lt;=Condition!$F$16,Condition!$D$16,IF(DK11&lt;=Condition!$F$17,Condition!$D$17,IF(DK11&lt;=Condition!$F$18,Condition!$D$18,IF(DK11&gt;Condition!$E$19,Condition!$D$19,"")))))</f>
        <v>0</v>
      </c>
      <c r="DL54" s="85">
        <f>IF(DL11&lt;=Condition!$E$16,0,IF(DL11&lt;=Condition!$F$16,Condition!$D$16,IF(DL11&lt;=Condition!$F$17,Condition!$D$17,IF(DL11&lt;=Condition!$F$18,Condition!$D$18,IF(DL11&gt;Condition!$E$19,Condition!$D$19,"")))))</f>
        <v>0</v>
      </c>
      <c r="DM54" s="85">
        <f>IF(DM11&lt;=Condition!$E$16,0,IF(DM11&lt;=Condition!$F$16,Condition!$D$16,IF(DM11&lt;=Condition!$F$17,Condition!$D$17,IF(DM11&lt;=Condition!$F$18,Condition!$D$18,IF(DM11&gt;Condition!$E$19,Condition!$D$19,"")))))</f>
        <v>0</v>
      </c>
      <c r="DN54" s="85">
        <f>IF(DN11&lt;=Condition!$E$16,0,IF(DN11&lt;=Condition!$F$16,Condition!$D$16,IF(DN11&lt;=Condition!$F$17,Condition!$D$17,IF(DN11&lt;=Condition!$F$18,Condition!$D$18,IF(DN11&gt;Condition!$E$19,Condition!$D$19,"")))))</f>
        <v>0</v>
      </c>
      <c r="DO54" s="85">
        <f>IF(DO11&lt;=Condition!$E$16,0,IF(DO11&lt;=Condition!$F$16,Condition!$D$16,IF(DO11&lt;=Condition!$F$17,Condition!$D$17,IF(DO11&lt;=Condition!$F$18,Condition!$D$18,IF(DO11&gt;Condition!$E$19,Condition!$D$19,"")))))</f>
        <v>0</v>
      </c>
      <c r="DP54" s="85">
        <f>IF(DP11&lt;=Condition!$E$16,0,IF(DP11&lt;=Condition!$F$16,Condition!$D$16,IF(DP11&lt;=Condition!$F$17,Condition!$D$17,IF(DP11&lt;=Condition!$F$18,Condition!$D$18,IF(DP11&gt;Condition!$E$19,Condition!$D$19,"")))))</f>
        <v>0</v>
      </c>
      <c r="DQ54" s="85">
        <f>IF(DQ11&lt;=Condition!$E$16,0,IF(DQ11&lt;=Condition!$F$16,Condition!$D$16,IF(DQ11&lt;=Condition!$F$17,Condition!$D$17,IF(DQ11&lt;=Condition!$F$18,Condition!$D$18,IF(DQ11&gt;Condition!$E$19,Condition!$D$19,"")))))</f>
        <v>0</v>
      </c>
      <c r="DR54" s="85">
        <f>IF(DR11&lt;=Condition!$E$16,0,IF(DR11&lt;=Condition!$F$16,Condition!$D$16,IF(DR11&lt;=Condition!$F$17,Condition!$D$17,IF(DR11&lt;=Condition!$F$18,Condition!$D$18,IF(DR11&gt;Condition!$E$19,Condition!$D$19,"")))))</f>
        <v>0</v>
      </c>
      <c r="DS54" s="85">
        <f>IF(DS11&lt;=Condition!$E$16,0,IF(DS11&lt;=Condition!$F$16,Condition!$D$16,IF(DS11&lt;=Condition!$F$17,Condition!$D$17,IF(DS11&lt;=Condition!$F$18,Condition!$D$18,IF(DS11&gt;Condition!$E$19,Condition!$D$19,"")))))</f>
        <v>0</v>
      </c>
      <c r="DT54" s="85">
        <f>IF(DT11&lt;=Condition!$E$16,0,IF(DT11&lt;=Condition!$F$16,Condition!$D$16,IF(DT11&lt;=Condition!$F$17,Condition!$D$17,IF(DT11&lt;=Condition!$F$18,Condition!$D$18,IF(DT11&gt;Condition!$E$19,Condition!$D$19,"")))))</f>
        <v>0</v>
      </c>
      <c r="DU54" s="85">
        <f>IF(DU11&lt;=Condition!$E$16,0,IF(DU11&lt;=Condition!$F$16,Condition!$D$16,IF(DU11&lt;=Condition!$F$17,Condition!$D$17,IF(DU11&lt;=Condition!$F$18,Condition!$D$18,IF(DU11&gt;Condition!$E$19,Condition!$D$19,"")))))</f>
        <v>0</v>
      </c>
      <c r="DV54" s="85">
        <f>IF(DV11&lt;=Condition!$E$16,0,IF(DV11&lt;=Condition!$F$16,Condition!$D$16,IF(DV11&lt;=Condition!$F$17,Condition!$D$17,IF(DV11&lt;=Condition!$F$18,Condition!$D$18,IF(DV11&gt;Condition!$E$19,Condition!$D$19,"")))))</f>
        <v>0</v>
      </c>
      <c r="DW54" s="85">
        <f>IF(DW11&lt;=Condition!$E$16,0,IF(DW11&lt;=Condition!$F$16,Condition!$D$16,IF(DW11&lt;=Condition!$F$17,Condition!$D$17,IF(DW11&lt;=Condition!$F$18,Condition!$D$18,IF(DW11&gt;Condition!$E$19,Condition!$D$19,"")))))</f>
        <v>0</v>
      </c>
      <c r="DX54" s="85">
        <f>IF(DX11&lt;=Condition!$E$16,0,IF(DX11&lt;=Condition!$F$16,Condition!$D$16,IF(DX11&lt;=Condition!$F$17,Condition!$D$17,IF(DX11&lt;=Condition!$F$18,Condition!$D$18,IF(DX11&gt;Condition!$E$19,Condition!$D$19,"")))))</f>
        <v>0</v>
      </c>
      <c r="DY54" s="85">
        <f>IF(DY11&lt;=Condition!$E$16,0,IF(DY11&lt;=Condition!$F$16,Condition!$D$16,IF(DY11&lt;=Condition!$F$17,Condition!$D$17,IF(DY11&lt;=Condition!$F$18,Condition!$D$18,IF(DY11&gt;Condition!$E$19,Condition!$D$19,"")))))</f>
        <v>0</v>
      </c>
      <c r="DZ54" s="85">
        <f>IF(DZ11&lt;=Condition!$E$16,0,IF(DZ11&lt;=Condition!$F$16,Condition!$D$16,IF(DZ11&lt;=Condition!$F$17,Condition!$D$17,IF(DZ11&lt;=Condition!$F$18,Condition!$D$18,IF(DZ11&gt;Condition!$E$19,Condition!$D$19,"")))))</f>
        <v>0</v>
      </c>
      <c r="EA54" s="85">
        <f>IF(EA11&lt;=Condition!$E$16,0,IF(EA11&lt;=Condition!$F$16,Condition!$D$16,IF(EA11&lt;=Condition!$F$17,Condition!$D$17,IF(EA11&lt;=Condition!$F$18,Condition!$D$18,IF(EA11&gt;Condition!$E$19,Condition!$D$19,"")))))</f>
        <v>0</v>
      </c>
      <c r="EB54" s="85">
        <f>IF(EB11&lt;=Condition!$E$16,0,IF(EB11&lt;=Condition!$F$16,Condition!$D$16,IF(EB11&lt;=Condition!$F$17,Condition!$D$17,IF(EB11&lt;=Condition!$F$18,Condition!$D$18,IF(EB11&gt;Condition!$E$19,Condition!$D$19,"")))))</f>
        <v>0</v>
      </c>
      <c r="EC54" s="85">
        <f>IF(EC11&lt;=Condition!$E$16,0,IF(EC11&lt;=Condition!$F$16,Condition!$D$16,IF(EC11&lt;=Condition!$F$17,Condition!$D$17,IF(EC11&lt;=Condition!$F$18,Condition!$D$18,IF(EC11&gt;Condition!$E$19,Condition!$D$19,"")))))</f>
        <v>0</v>
      </c>
      <c r="ED54" s="85">
        <f>IF(ED11&lt;=Condition!$E$16,0,IF(ED11&lt;=Condition!$F$16,Condition!$D$16,IF(ED11&lt;=Condition!$F$17,Condition!$D$17,IF(ED11&lt;=Condition!$F$18,Condition!$D$18,IF(ED11&gt;Condition!$E$19,Condition!$D$19,"")))))</f>
        <v>0</v>
      </c>
      <c r="EE54" s="85">
        <f>IF(EE11&lt;=Condition!$E$16,0,IF(EE11&lt;=Condition!$F$16,Condition!$D$16,IF(EE11&lt;=Condition!$F$17,Condition!$D$17,IF(EE11&lt;=Condition!$F$18,Condition!$D$18,IF(EE11&gt;Condition!$E$19,Condition!$D$19,"")))))</f>
        <v>0</v>
      </c>
      <c r="EF54" s="85">
        <f>IF(EF11&lt;=Condition!$E$16,0,IF(EF11&lt;=Condition!$F$16,Condition!$D$16,IF(EF11&lt;=Condition!$F$17,Condition!$D$17,IF(EF11&lt;=Condition!$F$18,Condition!$D$18,IF(EF11&gt;Condition!$E$19,Condition!$D$19,"")))))</f>
        <v>0</v>
      </c>
      <c r="EG54" s="85">
        <f>IF(EG11&lt;=Condition!$E$16,0,IF(EG11&lt;=Condition!$F$16,Condition!$D$16,IF(EG11&lt;=Condition!$F$17,Condition!$D$17,IF(EG11&lt;=Condition!$F$18,Condition!$D$18,IF(EG11&gt;Condition!$E$19,Condition!$D$19,"")))))</f>
        <v>0</v>
      </c>
      <c r="EH54" s="85">
        <f>IF(EH11&lt;=Condition!$E$16,0,IF(EH11&lt;=Condition!$F$16,Condition!$D$16,IF(EH11&lt;=Condition!$F$17,Condition!$D$17,IF(EH11&lt;=Condition!$F$18,Condition!$D$18,IF(EH11&gt;Condition!$E$19,Condition!$D$19,"")))))</f>
        <v>0</v>
      </c>
      <c r="EI54" s="85">
        <f>IF(EI11&lt;=Condition!$E$16,0,IF(EI11&lt;=Condition!$F$16,Condition!$D$16,IF(EI11&lt;=Condition!$F$17,Condition!$D$17,IF(EI11&lt;=Condition!$F$18,Condition!$D$18,IF(EI11&gt;Condition!$E$19,Condition!$D$19,"")))))</f>
        <v>0</v>
      </c>
      <c r="EJ54" s="85">
        <f>IF(EJ11&lt;=Condition!$E$16,0,IF(EJ11&lt;=Condition!$F$16,Condition!$D$16,IF(EJ11&lt;=Condition!$F$17,Condition!$D$17,IF(EJ11&lt;=Condition!$F$18,Condition!$D$18,IF(EJ11&gt;Condition!$E$19,Condition!$D$19,"")))))</f>
        <v>0</v>
      </c>
      <c r="EK54" s="85">
        <f>IF(EK11&lt;=Condition!$E$16,0,IF(EK11&lt;=Condition!$F$16,Condition!$D$16,IF(EK11&lt;=Condition!$F$17,Condition!$D$17,IF(EK11&lt;=Condition!$F$18,Condition!$D$18,IF(EK11&gt;Condition!$E$19,Condition!$D$19,"")))))</f>
        <v>0</v>
      </c>
      <c r="EL54" s="85">
        <f>IF(EL11&lt;=Condition!$E$16,0,IF(EL11&lt;=Condition!$F$16,Condition!$D$16,IF(EL11&lt;=Condition!$F$17,Condition!$D$17,IF(EL11&lt;=Condition!$F$18,Condition!$D$18,IF(EL11&gt;Condition!$E$19,Condition!$D$19,"")))))</f>
        <v>0</v>
      </c>
      <c r="EM54" s="85">
        <f>IF(EM11&lt;=Condition!$E$16,0,IF(EM11&lt;=Condition!$F$16,Condition!$D$16,IF(EM11&lt;=Condition!$F$17,Condition!$D$17,IF(EM11&lt;=Condition!$F$18,Condition!$D$18,IF(EM11&gt;Condition!$E$19,Condition!$D$19,"")))))</f>
        <v>0</v>
      </c>
      <c r="EN54" s="85">
        <f>IF(EN11&lt;=Condition!$E$16,0,IF(EN11&lt;=Condition!$F$16,Condition!$D$16,IF(EN11&lt;=Condition!$F$17,Condition!$D$17,IF(EN11&lt;=Condition!$F$18,Condition!$D$18,IF(EN11&gt;Condition!$E$19,Condition!$D$19,"")))))</f>
        <v>0</v>
      </c>
      <c r="EO54" s="85">
        <f>IF(EO11&lt;=Condition!$E$16,0,IF(EO11&lt;=Condition!$F$16,Condition!$D$16,IF(EO11&lt;=Condition!$F$17,Condition!$D$17,IF(EO11&lt;=Condition!$F$18,Condition!$D$18,IF(EO11&gt;Condition!$E$19,Condition!$D$19,"")))))</f>
        <v>0</v>
      </c>
      <c r="EP54" s="85">
        <f>IF(EP11&lt;=Condition!$E$16,0,IF(EP11&lt;=Condition!$F$16,Condition!$D$16,IF(EP11&lt;=Condition!$F$17,Condition!$D$17,IF(EP11&lt;=Condition!$F$18,Condition!$D$18,IF(EP11&gt;Condition!$E$19,Condition!$D$19,"")))))</f>
        <v>0</v>
      </c>
      <c r="EQ54" s="85">
        <f>IF(EQ11&lt;=Condition!$E$16,0,IF(EQ11&lt;=Condition!$F$16,Condition!$D$16,IF(EQ11&lt;=Condition!$F$17,Condition!$D$17,IF(EQ11&lt;=Condition!$F$18,Condition!$D$18,IF(EQ11&gt;Condition!$E$19,Condition!$D$19,"")))))</f>
        <v>0</v>
      </c>
      <c r="ER54" s="85">
        <f>IF(ER11&lt;=Condition!$E$16,0,IF(ER11&lt;=Condition!$F$16,Condition!$D$16,IF(ER11&lt;=Condition!$F$17,Condition!$D$17,IF(ER11&lt;=Condition!$F$18,Condition!$D$18,IF(ER11&gt;Condition!$E$19,Condition!$D$19,"")))))</f>
        <v>0</v>
      </c>
      <c r="ES54" s="85">
        <f>IF(ES11&lt;=Condition!$E$16,0,IF(ES11&lt;=Condition!$F$16,Condition!$D$16,IF(ES11&lt;=Condition!$F$17,Condition!$D$17,IF(ES11&lt;=Condition!$F$18,Condition!$D$18,IF(ES11&gt;Condition!$E$19,Condition!$D$19,"")))))</f>
        <v>0</v>
      </c>
      <c r="ET54" s="85">
        <f>IF(ET11&lt;=Condition!$E$16,0,IF(ET11&lt;=Condition!$F$16,Condition!$D$16,IF(ET11&lt;=Condition!$F$17,Condition!$D$17,IF(ET11&lt;=Condition!$F$18,Condition!$D$18,IF(ET11&gt;Condition!$E$19,Condition!$D$19,"")))))</f>
        <v>0</v>
      </c>
      <c r="EU54" s="85">
        <f>IF(EU11&lt;=Condition!$E$16,0,IF(EU11&lt;=Condition!$F$16,Condition!$D$16,IF(EU11&lt;=Condition!$F$17,Condition!$D$17,IF(EU11&lt;=Condition!$F$18,Condition!$D$18,IF(EU11&gt;Condition!$E$19,Condition!$D$19,"")))))</f>
        <v>0</v>
      </c>
      <c r="EV54" s="85">
        <f>IF(EV11&lt;=Condition!$E$16,0,IF(EV11&lt;=Condition!$F$16,Condition!$D$16,IF(EV11&lt;=Condition!$F$17,Condition!$D$17,IF(EV11&lt;=Condition!$F$18,Condition!$D$18,IF(EV11&gt;Condition!$E$19,Condition!$D$19,"")))))</f>
        <v>0</v>
      </c>
      <c r="EW54" s="85">
        <f>IF(EW11&lt;=Condition!$E$16,0,IF(EW11&lt;=Condition!$F$16,Condition!$D$16,IF(EW11&lt;=Condition!$F$17,Condition!$D$17,IF(EW11&lt;=Condition!$F$18,Condition!$D$18,IF(EW11&gt;Condition!$E$19,Condition!$D$19,"")))))</f>
        <v>0</v>
      </c>
      <c r="EX54" s="85">
        <f>IF(EX11&lt;=Condition!$E$16,0,IF(EX11&lt;=Condition!$F$16,Condition!$D$16,IF(EX11&lt;=Condition!$F$17,Condition!$D$17,IF(EX11&lt;=Condition!$F$18,Condition!$D$18,IF(EX11&gt;Condition!$E$19,Condition!$D$19,"")))))</f>
        <v>0</v>
      </c>
      <c r="EY54" s="85">
        <f>IF(EY11&lt;=Condition!$E$16,0,IF(EY11&lt;=Condition!$F$16,Condition!$D$16,IF(EY11&lt;=Condition!$F$17,Condition!$D$17,IF(EY11&lt;=Condition!$F$18,Condition!$D$18,IF(EY11&gt;Condition!$E$19,Condition!$D$19,"")))))</f>
        <v>0</v>
      </c>
      <c r="EZ54" s="85">
        <f>IF(EZ11&lt;=Condition!$E$16,0,IF(EZ11&lt;=Condition!$F$16,Condition!$D$16,IF(EZ11&lt;=Condition!$F$17,Condition!$D$17,IF(EZ11&lt;=Condition!$F$18,Condition!$D$18,IF(EZ11&gt;Condition!$E$19,Condition!$D$19,"")))))</f>
        <v>0</v>
      </c>
      <c r="FA54" s="85">
        <f>IF(FA11&lt;=Condition!$E$16,0,IF(FA11&lt;=Condition!$F$16,Condition!$D$16,IF(FA11&lt;=Condition!$F$17,Condition!$D$17,IF(FA11&lt;=Condition!$F$18,Condition!$D$18,IF(FA11&gt;Condition!$E$19,Condition!$D$19,"")))))</f>
        <v>0</v>
      </c>
      <c r="FB54" s="85">
        <f>IF(FB11&lt;=Condition!$E$16,0,IF(FB11&lt;=Condition!$F$16,Condition!$D$16,IF(FB11&lt;=Condition!$F$17,Condition!$D$17,IF(FB11&lt;=Condition!$F$18,Condition!$D$18,IF(FB11&gt;Condition!$E$19,Condition!$D$19,"")))))</f>
        <v>0</v>
      </c>
      <c r="FC54" s="85">
        <f>IF(FC11&lt;=Condition!$E$16,0,IF(FC11&lt;=Condition!$F$16,Condition!$D$16,IF(FC11&lt;=Condition!$F$17,Condition!$D$17,IF(FC11&lt;=Condition!$F$18,Condition!$D$18,IF(FC11&gt;Condition!$E$19,Condition!$D$19,"")))))</f>
        <v>0</v>
      </c>
      <c r="FD54" s="85">
        <f>IF(FD11&lt;=Condition!$E$16,0,IF(FD11&lt;=Condition!$F$16,Condition!$D$16,IF(FD11&lt;=Condition!$F$17,Condition!$D$17,IF(FD11&lt;=Condition!$F$18,Condition!$D$18,IF(FD11&gt;Condition!$E$19,Condition!$D$19,"")))))</f>
        <v>0</v>
      </c>
      <c r="FE54" s="85">
        <f>IF(FE11&lt;=Condition!$E$16,0,IF(FE11&lt;=Condition!$F$16,Condition!$D$16,IF(FE11&lt;=Condition!$F$17,Condition!$D$17,IF(FE11&lt;=Condition!$F$18,Condition!$D$18,IF(FE11&gt;Condition!$E$19,Condition!$D$19,"")))))</f>
        <v>0</v>
      </c>
      <c r="FF54" s="85">
        <f>IF(FF11&lt;=Condition!$E$16,0,IF(FF11&lt;=Condition!$F$16,Condition!$D$16,IF(FF11&lt;=Condition!$F$17,Condition!$D$17,IF(FF11&lt;=Condition!$F$18,Condition!$D$18,IF(FF11&gt;Condition!$E$19,Condition!$D$19,"")))))</f>
        <v>0</v>
      </c>
      <c r="FG54" s="85">
        <f>IF(FG11&lt;=Condition!$E$16,0,IF(FG11&lt;=Condition!$F$16,Condition!$D$16,IF(FG11&lt;=Condition!$F$17,Condition!$D$17,IF(FG11&lt;=Condition!$F$18,Condition!$D$18,IF(FG11&gt;Condition!$E$19,Condition!$D$19,"")))))</f>
        <v>0</v>
      </c>
      <c r="FH54" s="85">
        <f>IF(FH11&lt;=Condition!$E$16,0,IF(FH11&lt;=Condition!$F$16,Condition!$D$16,IF(FH11&lt;=Condition!$F$17,Condition!$D$17,IF(FH11&lt;=Condition!$F$18,Condition!$D$18,IF(FH11&gt;Condition!$E$19,Condition!$D$19,"")))))</f>
        <v>0</v>
      </c>
      <c r="FI54" s="85">
        <f>IF(FI11&lt;=Condition!$E$16,0,IF(FI11&lt;=Condition!$F$16,Condition!$D$16,IF(FI11&lt;=Condition!$F$17,Condition!$D$17,IF(FI11&lt;=Condition!$F$18,Condition!$D$18,IF(FI11&gt;Condition!$E$19,Condition!$D$19,"")))))</f>
        <v>0</v>
      </c>
      <c r="FJ54" s="85">
        <f>IF(FJ11&lt;=Condition!$E$16,0,IF(FJ11&lt;=Condition!$F$16,Condition!$D$16,IF(FJ11&lt;=Condition!$F$17,Condition!$D$17,IF(FJ11&lt;=Condition!$F$18,Condition!$D$18,IF(FJ11&gt;Condition!$E$19,Condition!$D$19,"")))))</f>
        <v>0</v>
      </c>
      <c r="FK54" s="85">
        <f>IF(FK11&lt;=Condition!$E$16,0,IF(FK11&lt;=Condition!$F$16,Condition!$D$16,IF(FK11&lt;=Condition!$F$17,Condition!$D$17,IF(FK11&lt;=Condition!$F$18,Condition!$D$18,IF(FK11&gt;Condition!$E$19,Condition!$D$19,"")))))</f>
        <v>0</v>
      </c>
      <c r="FL54" s="85">
        <f>IF(FL11&lt;=Condition!$E$16,0,IF(FL11&lt;=Condition!$F$16,Condition!$D$16,IF(FL11&lt;=Condition!$F$17,Condition!$D$17,IF(FL11&lt;=Condition!$F$18,Condition!$D$18,IF(FL11&gt;Condition!$E$19,Condition!$D$19,"")))))</f>
        <v>0</v>
      </c>
      <c r="FM54" s="85">
        <f>IF(FM11&lt;=Condition!$E$16,0,IF(FM11&lt;=Condition!$F$16,Condition!$D$16,IF(FM11&lt;=Condition!$F$17,Condition!$D$17,IF(FM11&lt;=Condition!$F$18,Condition!$D$18,IF(FM11&gt;Condition!$E$19,Condition!$D$19,"")))))</f>
        <v>0</v>
      </c>
      <c r="FN54" s="85">
        <f>IF(FN11&lt;=Condition!$E$16,0,IF(FN11&lt;=Condition!$F$16,Condition!$D$16,IF(FN11&lt;=Condition!$F$17,Condition!$D$17,IF(FN11&lt;=Condition!$F$18,Condition!$D$18,IF(FN11&gt;Condition!$E$19,Condition!$D$19,"")))))</f>
        <v>0</v>
      </c>
      <c r="FO54" s="85">
        <f>IF(FO11&lt;=Condition!$E$16,0,IF(FO11&lt;=Condition!$F$16,Condition!$D$16,IF(FO11&lt;=Condition!$F$17,Condition!$D$17,IF(FO11&lt;=Condition!$F$18,Condition!$D$18,IF(FO11&gt;Condition!$E$19,Condition!$D$19,"")))))</f>
        <v>0</v>
      </c>
      <c r="FP54" s="85">
        <f>IF(FP11&lt;=Condition!$E$16,0,IF(FP11&lt;=Condition!$F$16,Condition!$D$16,IF(FP11&lt;=Condition!$F$17,Condition!$D$17,IF(FP11&lt;=Condition!$F$18,Condition!$D$18,IF(FP11&gt;Condition!$E$19,Condition!$D$19,"")))))</f>
        <v>0</v>
      </c>
      <c r="FQ54" s="85">
        <f>IF(FQ11&lt;=Condition!$E$16,0,IF(FQ11&lt;=Condition!$F$16,Condition!$D$16,IF(FQ11&lt;=Condition!$F$17,Condition!$D$17,IF(FQ11&lt;=Condition!$F$18,Condition!$D$18,IF(FQ11&gt;Condition!$E$19,Condition!$D$19,"")))))</f>
        <v>0</v>
      </c>
      <c r="FR54" s="85">
        <f>IF(FR11&lt;=Condition!$E$16,0,IF(FR11&lt;=Condition!$F$16,Condition!$D$16,IF(FR11&lt;=Condition!$F$17,Condition!$D$17,IF(FR11&lt;=Condition!$F$18,Condition!$D$18,IF(FR11&gt;Condition!$E$19,Condition!$D$19,"")))))</f>
        <v>0</v>
      </c>
      <c r="FS54" s="85">
        <f>IF(FS11&lt;=Condition!$E$16,0,IF(FS11&lt;=Condition!$F$16,Condition!$D$16,IF(FS11&lt;=Condition!$F$17,Condition!$D$17,IF(FS11&lt;=Condition!$F$18,Condition!$D$18,IF(FS11&gt;Condition!$E$19,Condition!$D$19,"")))))</f>
        <v>0</v>
      </c>
      <c r="FT54" s="85">
        <f>IF(FT11&lt;=Condition!$E$16,0,IF(FT11&lt;=Condition!$F$16,Condition!$D$16,IF(FT11&lt;=Condition!$F$17,Condition!$D$17,IF(FT11&lt;=Condition!$F$18,Condition!$D$18,IF(FT11&gt;Condition!$E$19,Condition!$D$19,"")))))</f>
        <v>0</v>
      </c>
      <c r="FU54" s="85">
        <f>IF(FU11&lt;=Condition!$E$16,0,IF(FU11&lt;=Condition!$F$16,Condition!$D$16,IF(FU11&lt;=Condition!$F$17,Condition!$D$17,IF(FU11&lt;=Condition!$F$18,Condition!$D$18,IF(FU11&gt;Condition!$E$19,Condition!$D$19,"")))))</f>
        <v>0</v>
      </c>
      <c r="FV54" s="85">
        <f>IF(FV11&lt;=Condition!$E$16,0,IF(FV11&lt;=Condition!$F$16,Condition!$D$16,IF(FV11&lt;=Condition!$F$17,Condition!$D$17,IF(FV11&lt;=Condition!$F$18,Condition!$D$18,IF(FV11&gt;Condition!$E$19,Condition!$D$19,"")))))</f>
        <v>0</v>
      </c>
      <c r="FW54" s="85">
        <f>IF(FW11&lt;=Condition!$E$16,0,IF(FW11&lt;=Condition!$F$16,Condition!$D$16,IF(FW11&lt;=Condition!$F$17,Condition!$D$17,IF(FW11&lt;=Condition!$F$18,Condition!$D$18,IF(FW11&gt;Condition!$E$19,Condition!$D$19,"")))))</f>
        <v>0</v>
      </c>
      <c r="FX54" s="85">
        <f>IF(FX11&lt;=Condition!$E$16,0,IF(FX11&lt;=Condition!$F$16,Condition!$D$16,IF(FX11&lt;=Condition!$F$17,Condition!$D$17,IF(FX11&lt;=Condition!$F$18,Condition!$D$18,IF(FX11&gt;Condition!$E$19,Condition!$D$19,"")))))</f>
        <v>0</v>
      </c>
      <c r="FY54" s="85">
        <f>IF(FY11&lt;=Condition!$E$16,0,IF(FY11&lt;=Condition!$F$16,Condition!$D$16,IF(FY11&lt;=Condition!$F$17,Condition!$D$17,IF(FY11&lt;=Condition!$F$18,Condition!$D$18,IF(FY11&gt;Condition!$E$19,Condition!$D$19,"")))))</f>
        <v>0</v>
      </c>
      <c r="FZ54" s="85">
        <f>IF(FZ11&lt;=Condition!$E$16,0,IF(FZ11&lt;=Condition!$F$16,Condition!$D$16,IF(FZ11&lt;=Condition!$F$17,Condition!$D$17,IF(FZ11&lt;=Condition!$F$18,Condition!$D$18,IF(FZ11&gt;Condition!$E$19,Condition!$D$19,"")))))</f>
        <v>0</v>
      </c>
      <c r="GA54" s="85">
        <f>IF(GA11&lt;=Condition!$E$16,0,IF(GA11&lt;=Condition!$F$16,Condition!$D$16,IF(GA11&lt;=Condition!$F$17,Condition!$D$17,IF(GA11&lt;=Condition!$F$18,Condition!$D$18,IF(GA11&gt;Condition!$E$19,Condition!$D$19,"")))))</f>
        <v>0</v>
      </c>
      <c r="GB54" s="85">
        <f>IF(GB11&lt;=Condition!$E$16,0,IF(GB11&lt;=Condition!$F$16,Condition!$D$16,IF(GB11&lt;=Condition!$F$17,Condition!$D$17,IF(GB11&lt;=Condition!$F$18,Condition!$D$18,IF(GB11&gt;Condition!$E$19,Condition!$D$19,"")))))</f>
        <v>0</v>
      </c>
      <c r="GC54" s="85">
        <f>IF(GC11&lt;=Condition!$E$16,0,IF(GC11&lt;=Condition!$F$16,Condition!$D$16,IF(GC11&lt;=Condition!$F$17,Condition!$D$17,IF(GC11&lt;=Condition!$F$18,Condition!$D$18,IF(GC11&gt;Condition!$E$19,Condition!$D$19,"")))))</f>
        <v>0</v>
      </c>
      <c r="GD54" s="85">
        <f>IF(GD11&lt;=Condition!$E$16,0,IF(GD11&lt;=Condition!$F$16,Condition!$D$16,IF(GD11&lt;=Condition!$F$17,Condition!$D$17,IF(GD11&lt;=Condition!$F$18,Condition!$D$18,IF(GD11&gt;Condition!$E$19,Condition!$D$19,"")))))</f>
        <v>0</v>
      </c>
      <c r="GE54" s="85">
        <f>IF(GE11&lt;=Condition!$E$16,0,IF(GE11&lt;=Condition!$F$16,Condition!$D$16,IF(GE11&lt;=Condition!$F$17,Condition!$D$17,IF(GE11&lt;=Condition!$F$18,Condition!$D$18,IF(GE11&gt;Condition!$E$19,Condition!$D$19,"")))))</f>
        <v>0</v>
      </c>
      <c r="GF54" s="85">
        <f>IF(GF11&lt;=Condition!$E$16,0,IF(GF11&lt;=Condition!$F$16,Condition!$D$16,IF(GF11&lt;=Condition!$F$17,Condition!$D$17,IF(GF11&lt;=Condition!$F$18,Condition!$D$18,IF(GF11&gt;Condition!$E$19,Condition!$D$19,"")))))</f>
        <v>0</v>
      </c>
      <c r="GG54" s="85">
        <f>IF(GG11&lt;=Condition!$E$16,0,IF(GG11&lt;=Condition!$F$16,Condition!$D$16,IF(GG11&lt;=Condition!$F$17,Condition!$D$17,IF(GG11&lt;=Condition!$F$18,Condition!$D$18,IF(GG11&gt;Condition!$E$19,Condition!$D$19,"")))))</f>
        <v>0</v>
      </c>
      <c r="GH54" s="85">
        <f>IF(GH11&lt;=Condition!$E$16,0,IF(GH11&lt;=Condition!$F$16,Condition!$D$16,IF(GH11&lt;=Condition!$F$17,Condition!$D$17,IF(GH11&lt;=Condition!$F$18,Condition!$D$18,IF(GH11&gt;Condition!$E$19,Condition!$D$19,"")))))</f>
        <v>0</v>
      </c>
      <c r="GI54" s="85">
        <f>IF(GI11&lt;=Condition!$E$16,0,IF(GI11&lt;=Condition!$F$16,Condition!$D$16,IF(GI11&lt;=Condition!$F$17,Condition!$D$17,IF(GI11&lt;=Condition!$F$18,Condition!$D$18,IF(GI11&gt;Condition!$E$19,Condition!$D$19,"")))))</f>
        <v>0</v>
      </c>
      <c r="GJ54" s="85">
        <f>IF(GJ11&lt;=Condition!$E$16,0,IF(GJ11&lt;=Condition!$F$16,Condition!$D$16,IF(GJ11&lt;=Condition!$F$17,Condition!$D$17,IF(GJ11&lt;=Condition!$F$18,Condition!$D$18,IF(GJ11&gt;Condition!$E$19,Condition!$D$19,"")))))</f>
        <v>0</v>
      </c>
      <c r="GK54" s="85">
        <f>IF(GK11&lt;=Condition!$E$16,0,IF(GK11&lt;=Condition!$F$16,Condition!$D$16,IF(GK11&lt;=Condition!$F$17,Condition!$D$17,IF(GK11&lt;=Condition!$F$18,Condition!$D$18,IF(GK11&gt;Condition!$E$19,Condition!$D$19,"")))))</f>
        <v>0</v>
      </c>
      <c r="GL54" s="85">
        <f>IF(GL11&lt;=Condition!$E$16,0,IF(GL11&lt;=Condition!$F$16,Condition!$D$16,IF(GL11&lt;=Condition!$F$17,Condition!$D$17,IF(GL11&lt;=Condition!$F$18,Condition!$D$18,IF(GL11&gt;Condition!$E$19,Condition!$D$19,"")))))</f>
        <v>0</v>
      </c>
      <c r="GM54" s="85">
        <f>IF(GM11&lt;=Condition!$E$16,0,IF(GM11&lt;=Condition!$F$16,Condition!$D$16,IF(GM11&lt;=Condition!$F$17,Condition!$D$17,IF(GM11&lt;=Condition!$F$18,Condition!$D$18,IF(GM11&gt;Condition!$E$19,Condition!$D$19,"")))))</f>
        <v>0</v>
      </c>
      <c r="GN54" s="85">
        <f>IF(GN11&lt;=Condition!$E$16,0,IF(GN11&lt;=Condition!$F$16,Condition!$D$16,IF(GN11&lt;=Condition!$F$17,Condition!$D$17,IF(GN11&lt;=Condition!$F$18,Condition!$D$18,IF(GN11&gt;Condition!$E$19,Condition!$D$19,"")))))</f>
        <v>0</v>
      </c>
      <c r="GO54" s="85">
        <f>IF(GO11&lt;=Condition!$E$16,0,IF(GO11&lt;=Condition!$F$16,Condition!$D$16,IF(GO11&lt;=Condition!$F$17,Condition!$D$17,IF(GO11&lt;=Condition!$F$18,Condition!$D$18,IF(GO11&gt;Condition!$E$19,Condition!$D$19,"")))))</f>
        <v>0</v>
      </c>
      <c r="GP54" s="85">
        <f>IF(GP11&lt;=Condition!$E$16,0,IF(GP11&lt;=Condition!$F$16,Condition!$D$16,IF(GP11&lt;=Condition!$F$17,Condition!$D$17,IF(GP11&lt;=Condition!$F$18,Condition!$D$18,IF(GP11&gt;Condition!$E$19,Condition!$D$19,"")))))</f>
        <v>0</v>
      </c>
      <c r="GQ54" s="85">
        <f>IF(GQ11&lt;=Condition!$E$16,0,IF(GQ11&lt;=Condition!$F$16,Condition!$D$16,IF(GQ11&lt;=Condition!$F$17,Condition!$D$17,IF(GQ11&lt;=Condition!$F$18,Condition!$D$18,IF(GQ11&gt;Condition!$E$19,Condition!$D$19,"")))))</f>
        <v>0</v>
      </c>
      <c r="GR54" s="85">
        <f>IF(GR11&lt;=Condition!$E$16,0,IF(GR11&lt;=Condition!$F$16,Condition!$D$16,IF(GR11&lt;=Condition!$F$17,Condition!$D$17,IF(GR11&lt;=Condition!$F$18,Condition!$D$18,IF(GR11&gt;Condition!$E$19,Condition!$D$19,"")))))</f>
        <v>0</v>
      </c>
      <c r="GS54" s="85">
        <f>IF(GS11&lt;=Condition!$E$16,0,IF(GS11&lt;=Condition!$F$16,Condition!$D$16,IF(GS11&lt;=Condition!$F$17,Condition!$D$17,IF(GS11&lt;=Condition!$F$18,Condition!$D$18,IF(GS11&gt;Condition!$E$19,Condition!$D$19,"")))))</f>
        <v>0</v>
      </c>
      <c r="GT54" s="85">
        <f>IF(GT11&lt;=Condition!$E$16,0,IF(GT11&lt;=Condition!$F$16,Condition!$D$16,IF(GT11&lt;=Condition!$F$17,Condition!$D$17,IF(GT11&lt;=Condition!$F$18,Condition!$D$18,IF(GT11&gt;Condition!$E$19,Condition!$D$19,"")))))</f>
        <v>0</v>
      </c>
      <c r="GU54" s="85">
        <f>IF(GU11&lt;=Condition!$E$16,0,IF(GU11&lt;=Condition!$F$16,Condition!$D$16,IF(GU11&lt;=Condition!$F$17,Condition!$D$17,IF(GU11&lt;=Condition!$F$18,Condition!$D$18,IF(GU11&gt;Condition!$E$19,Condition!$D$19,"")))))</f>
        <v>0</v>
      </c>
      <c r="GV54" s="85">
        <f>IF(GV11&lt;=Condition!$E$16,0,IF(GV11&lt;=Condition!$F$16,Condition!$D$16,IF(GV11&lt;=Condition!$F$17,Condition!$D$17,IF(GV11&lt;=Condition!$F$18,Condition!$D$18,IF(GV11&gt;Condition!$E$19,Condition!$D$19,"")))))</f>
        <v>0</v>
      </c>
      <c r="GW54" s="85">
        <f>IF(GW11&lt;=Condition!$E$16,0,IF(GW11&lt;=Condition!$F$16,Condition!$D$16,IF(GW11&lt;=Condition!$F$17,Condition!$D$17,IF(GW11&lt;=Condition!$F$18,Condition!$D$18,IF(GW11&gt;Condition!$E$19,Condition!$D$19,"")))))</f>
        <v>0</v>
      </c>
      <c r="GX54" s="85">
        <f>IF(GX11&lt;=Condition!$E$16,0,IF(GX11&lt;=Condition!$F$16,Condition!$D$16,IF(GX11&lt;=Condition!$F$17,Condition!$D$17,IF(GX11&lt;=Condition!$F$18,Condition!$D$18,IF(GX11&gt;Condition!$E$19,Condition!$D$19,"")))))</f>
        <v>0</v>
      </c>
      <c r="GY54" s="85">
        <f>IF(GY11&lt;=Condition!$E$16,0,IF(GY11&lt;=Condition!$F$16,Condition!$D$16,IF(GY11&lt;=Condition!$F$17,Condition!$D$17,IF(GY11&lt;=Condition!$F$18,Condition!$D$18,IF(GY11&gt;Condition!$E$19,Condition!$D$19,"")))))</f>
        <v>0</v>
      </c>
      <c r="GZ54" s="85">
        <f>IF(GZ11&lt;=Condition!$E$16,0,IF(GZ11&lt;=Condition!$F$16,Condition!$D$16,IF(GZ11&lt;=Condition!$F$17,Condition!$D$17,IF(GZ11&lt;=Condition!$F$18,Condition!$D$18,IF(GZ11&gt;Condition!$E$19,Condition!$D$19,"")))))</f>
        <v>0</v>
      </c>
      <c r="HA54" s="85">
        <f>IF(HA11&lt;=Condition!$E$16,0,IF(HA11&lt;=Condition!$F$16,Condition!$D$16,IF(HA11&lt;=Condition!$F$17,Condition!$D$17,IF(HA11&lt;=Condition!$F$18,Condition!$D$18,IF(HA11&gt;Condition!$E$19,Condition!$D$19,"")))))</f>
        <v>0</v>
      </c>
      <c r="HB54" s="85">
        <f>IF(HB11&lt;=Condition!$E$16,0,IF(HB11&lt;=Condition!$F$16,Condition!$D$16,IF(HB11&lt;=Condition!$F$17,Condition!$D$17,IF(HB11&lt;=Condition!$F$18,Condition!$D$18,IF(HB11&gt;Condition!$E$19,Condition!$D$19,"")))))</f>
        <v>0</v>
      </c>
      <c r="HC54" s="85">
        <f>IF(HC11&lt;=Condition!$E$16,0,IF(HC11&lt;=Condition!$F$16,Condition!$D$16,IF(HC11&lt;=Condition!$F$17,Condition!$D$17,IF(HC11&lt;=Condition!$F$18,Condition!$D$18,IF(HC11&gt;Condition!$E$19,Condition!$D$19,"")))))</f>
        <v>0</v>
      </c>
      <c r="HD54" s="85">
        <f>IF(HD11&lt;=Condition!$E$16,0,IF(HD11&lt;=Condition!$F$16,Condition!$D$16,IF(HD11&lt;=Condition!$F$17,Condition!$D$17,IF(HD11&lt;=Condition!$F$18,Condition!$D$18,IF(HD11&gt;Condition!$E$19,Condition!$D$19,"")))))</f>
        <v>0</v>
      </c>
      <c r="HE54" s="85">
        <f>IF(HE11&lt;=Condition!$E$16,0,IF(HE11&lt;=Condition!$F$16,Condition!$D$16,IF(HE11&lt;=Condition!$F$17,Condition!$D$17,IF(HE11&lt;=Condition!$F$18,Condition!$D$18,IF(HE11&gt;Condition!$E$19,Condition!$D$19,"")))))</f>
        <v>0</v>
      </c>
      <c r="HF54" s="85">
        <f>IF(HF11&lt;=Condition!$E$16,0,IF(HF11&lt;=Condition!$F$16,Condition!$D$16,IF(HF11&lt;=Condition!$F$17,Condition!$D$17,IF(HF11&lt;=Condition!$F$18,Condition!$D$18,IF(HF11&gt;Condition!$E$19,Condition!$D$19,"")))))</f>
        <v>0</v>
      </c>
      <c r="HG54" s="85">
        <f>IF(HG11&lt;=Condition!$E$16,0,IF(HG11&lt;=Condition!$F$16,Condition!$D$16,IF(HG11&lt;=Condition!$F$17,Condition!$D$17,IF(HG11&lt;=Condition!$F$18,Condition!$D$18,IF(HG11&gt;Condition!$E$19,Condition!$D$19,"")))))</f>
        <v>0</v>
      </c>
      <c r="HH54" s="85">
        <f>IF(HH11&lt;=Condition!$E$16,0,IF(HH11&lt;=Condition!$F$16,Condition!$D$16,IF(HH11&lt;=Condition!$F$17,Condition!$D$17,IF(HH11&lt;=Condition!$F$18,Condition!$D$18,IF(HH11&gt;Condition!$E$19,Condition!$D$19,"")))))</f>
        <v>0</v>
      </c>
      <c r="HI54" s="85">
        <f>IF(HI11&lt;=Condition!$E$16,0,IF(HI11&lt;=Condition!$F$16,Condition!$D$16,IF(HI11&lt;=Condition!$F$17,Condition!$D$17,IF(HI11&lt;=Condition!$F$18,Condition!$D$18,IF(HI11&gt;Condition!$E$19,Condition!$D$19,"")))))</f>
        <v>0</v>
      </c>
      <c r="HJ54" s="85">
        <f>IF(HJ11&lt;=Condition!$E$16,0,IF(HJ11&lt;=Condition!$F$16,Condition!$D$16,IF(HJ11&lt;=Condition!$F$17,Condition!$D$17,IF(HJ11&lt;=Condition!$F$18,Condition!$D$18,IF(HJ11&gt;Condition!$E$19,Condition!$D$19,"")))))</f>
        <v>0</v>
      </c>
      <c r="HK54" s="85">
        <f>IF(HK11&lt;=Condition!$E$16,0,IF(HK11&lt;=Condition!$F$16,Condition!$D$16,IF(HK11&lt;=Condition!$F$17,Condition!$D$17,IF(HK11&lt;=Condition!$F$18,Condition!$D$18,IF(HK11&gt;Condition!$E$19,Condition!$D$19,"")))))</f>
        <v>0</v>
      </c>
      <c r="HL54" s="85">
        <f>IF(HL11&lt;=Condition!$E$16,0,IF(HL11&lt;=Condition!$F$16,Condition!$D$16,IF(HL11&lt;=Condition!$F$17,Condition!$D$17,IF(HL11&lt;=Condition!$F$18,Condition!$D$18,IF(HL11&gt;Condition!$E$19,Condition!$D$19,"")))))</f>
        <v>0</v>
      </c>
      <c r="HM54" s="85">
        <f>IF(HM11&lt;=Condition!$E$16,0,IF(HM11&lt;=Condition!$F$16,Condition!$D$16,IF(HM11&lt;=Condition!$F$17,Condition!$D$17,IF(HM11&lt;=Condition!$F$18,Condition!$D$18,IF(HM11&gt;Condition!$E$19,Condition!$D$19,"")))))</f>
        <v>0</v>
      </c>
      <c r="HN54" s="85">
        <f>IF(HN11&lt;=Condition!$E$16,0,IF(HN11&lt;=Condition!$F$16,Condition!$D$16,IF(HN11&lt;=Condition!$F$17,Condition!$D$17,IF(HN11&lt;=Condition!$F$18,Condition!$D$18,IF(HN11&gt;Condition!$E$19,Condition!$D$19,"")))))</f>
        <v>0</v>
      </c>
      <c r="HO54" s="85">
        <f>IF(HO11&lt;=Condition!$E$16,0,IF(HO11&lt;=Condition!$F$16,Condition!$D$16,IF(HO11&lt;=Condition!$F$17,Condition!$D$17,IF(HO11&lt;=Condition!$F$18,Condition!$D$18,IF(HO11&gt;Condition!$E$19,Condition!$D$19,"")))))</f>
        <v>0</v>
      </c>
      <c r="HP54" s="85">
        <f>IF(HP11&lt;=Condition!$E$16,0,IF(HP11&lt;=Condition!$F$16,Condition!$D$16,IF(HP11&lt;=Condition!$F$17,Condition!$D$17,IF(HP11&lt;=Condition!$F$18,Condition!$D$18,IF(HP11&gt;Condition!$E$19,Condition!$D$19,"")))))</f>
        <v>0</v>
      </c>
      <c r="HQ54" s="85">
        <f>IF(HQ11&lt;=Condition!$E$16,0,IF(HQ11&lt;=Condition!$F$16,Condition!$D$16,IF(HQ11&lt;=Condition!$F$17,Condition!$D$17,IF(HQ11&lt;=Condition!$F$18,Condition!$D$18,IF(HQ11&gt;Condition!$E$19,Condition!$D$19,"")))))</f>
        <v>0</v>
      </c>
      <c r="HR54" s="85">
        <f>IF(HR11&lt;=Condition!$E$16,0,IF(HR11&lt;=Condition!$F$16,Condition!$D$16,IF(HR11&lt;=Condition!$F$17,Condition!$D$17,IF(HR11&lt;=Condition!$F$18,Condition!$D$18,IF(HR11&gt;Condition!$E$19,Condition!$D$19,"")))))</f>
        <v>0</v>
      </c>
      <c r="HS54" s="85">
        <f>IF(HS11&lt;=Condition!$E$16,0,IF(HS11&lt;=Condition!$F$16,Condition!$D$16,IF(HS11&lt;=Condition!$F$17,Condition!$D$17,IF(HS11&lt;=Condition!$F$18,Condition!$D$18,IF(HS11&gt;Condition!$E$19,Condition!$D$19,"")))))</f>
        <v>0</v>
      </c>
      <c r="HT54" s="85">
        <f>IF(HT11&lt;=Condition!$E$16,0,IF(HT11&lt;=Condition!$F$16,Condition!$D$16,IF(HT11&lt;=Condition!$F$17,Condition!$D$17,IF(HT11&lt;=Condition!$F$18,Condition!$D$18,IF(HT11&gt;Condition!$E$19,Condition!$D$19,"")))))</f>
        <v>0</v>
      </c>
      <c r="HU54" s="85">
        <f>IF(HU11&lt;=Condition!$E$16,0,IF(HU11&lt;=Condition!$F$16,Condition!$D$16,IF(HU11&lt;=Condition!$F$17,Condition!$D$17,IF(HU11&lt;=Condition!$F$18,Condition!$D$18,IF(HU11&gt;Condition!$E$19,Condition!$D$19,"")))))</f>
        <v>0</v>
      </c>
      <c r="HV54" s="85">
        <f>IF(HV11&lt;=Condition!$E$16,0,IF(HV11&lt;=Condition!$F$16,Condition!$D$16,IF(HV11&lt;=Condition!$F$17,Condition!$D$17,IF(HV11&lt;=Condition!$F$18,Condition!$D$18,IF(HV11&gt;Condition!$E$19,Condition!$D$19,"")))))</f>
        <v>0</v>
      </c>
      <c r="HW54" s="85">
        <f>IF(HW11&lt;=Condition!$E$16,0,IF(HW11&lt;=Condition!$F$16,Condition!$D$16,IF(HW11&lt;=Condition!$F$17,Condition!$D$17,IF(HW11&lt;=Condition!$F$18,Condition!$D$18,IF(HW11&gt;Condition!$E$19,Condition!$D$19,"")))))</f>
        <v>0</v>
      </c>
      <c r="HX54" s="85">
        <f>IF(HX11&lt;=Condition!$E$16,0,IF(HX11&lt;=Condition!$F$16,Condition!$D$16,IF(HX11&lt;=Condition!$F$17,Condition!$D$17,IF(HX11&lt;=Condition!$F$18,Condition!$D$18,IF(HX11&gt;Condition!$E$19,Condition!$D$19,"")))))</f>
        <v>0</v>
      </c>
      <c r="HY54" s="85">
        <f>IF(HY11&lt;=Condition!$E$16,0,IF(HY11&lt;=Condition!$F$16,Condition!$D$16,IF(HY11&lt;=Condition!$F$17,Condition!$D$17,IF(HY11&lt;=Condition!$F$18,Condition!$D$18,IF(HY11&gt;Condition!$E$19,Condition!$D$19,"")))))</f>
        <v>0</v>
      </c>
      <c r="HZ54" s="85">
        <f>IF(HZ11&lt;=Condition!$E$16,0,IF(HZ11&lt;=Condition!$F$16,Condition!$D$16,IF(HZ11&lt;=Condition!$F$17,Condition!$D$17,IF(HZ11&lt;=Condition!$F$18,Condition!$D$18,IF(HZ11&gt;Condition!$E$19,Condition!$D$19,"")))))</f>
        <v>0</v>
      </c>
      <c r="IA54" s="85">
        <f>IF(IA11&lt;=Condition!$E$16,0,IF(IA11&lt;=Condition!$F$16,Condition!$D$16,IF(IA11&lt;=Condition!$F$17,Condition!$D$17,IF(IA11&lt;=Condition!$F$18,Condition!$D$18,IF(IA11&gt;Condition!$E$19,Condition!$D$19,"")))))</f>
        <v>0</v>
      </c>
      <c r="IB54" s="85">
        <f>IF(IB11&lt;=Condition!$E$16,0,IF(IB11&lt;=Condition!$F$16,Condition!$D$16,IF(IB11&lt;=Condition!$F$17,Condition!$D$17,IF(IB11&lt;=Condition!$F$18,Condition!$D$18,IF(IB11&gt;Condition!$E$19,Condition!$D$19,"")))))</f>
        <v>0</v>
      </c>
      <c r="IC54" s="85">
        <f>IF(IC11&lt;=Condition!$E$16,0,IF(IC11&lt;=Condition!$F$16,Condition!$D$16,IF(IC11&lt;=Condition!$F$17,Condition!$D$17,IF(IC11&lt;=Condition!$F$18,Condition!$D$18,IF(IC11&gt;Condition!$E$19,Condition!$D$19,"")))))</f>
        <v>0</v>
      </c>
      <c r="ID54" s="85">
        <f>IF(ID11&lt;=Condition!$E$16,0,IF(ID11&lt;=Condition!$F$16,Condition!$D$16,IF(ID11&lt;=Condition!$F$17,Condition!$D$17,IF(ID11&lt;=Condition!$F$18,Condition!$D$18,IF(ID11&gt;Condition!$E$19,Condition!$D$19,"")))))</f>
        <v>0</v>
      </c>
      <c r="IE54" s="85">
        <f>IF(IE11&lt;=Condition!$E$16,0,IF(IE11&lt;=Condition!$F$16,Condition!$D$16,IF(IE11&lt;=Condition!$F$17,Condition!$D$17,IF(IE11&lt;=Condition!$F$18,Condition!$D$18,IF(IE11&gt;Condition!$E$19,Condition!$D$19,"")))))</f>
        <v>0</v>
      </c>
      <c r="IF54" s="85">
        <f>IF(IF11&lt;=Condition!$E$16,0,IF(IF11&lt;=Condition!$F$16,Condition!$D$16,IF(IF11&lt;=Condition!$F$17,Condition!$D$17,IF(IF11&lt;=Condition!$F$18,Condition!$D$18,IF(IF11&gt;Condition!$E$19,Condition!$D$19,"")))))</f>
        <v>0</v>
      </c>
      <c r="IG54" s="85">
        <f>IF(IG11&lt;=Condition!$E$16,0,IF(IG11&lt;=Condition!$F$16,Condition!$D$16,IF(IG11&lt;=Condition!$F$17,Condition!$D$17,IF(IG11&lt;=Condition!$F$18,Condition!$D$18,IF(IG11&gt;Condition!$E$19,Condition!$D$19,"")))))</f>
        <v>0</v>
      </c>
      <c r="IH54" s="85">
        <f>IF(IH11&lt;=Condition!$E$16,0,IF(IH11&lt;=Condition!$F$16,Condition!$D$16,IF(IH11&lt;=Condition!$F$17,Condition!$D$17,IF(IH11&lt;=Condition!$F$18,Condition!$D$18,IF(IH11&gt;Condition!$E$19,Condition!$D$19,"")))))</f>
        <v>0</v>
      </c>
      <c r="II54" s="85">
        <f>IF(II11&lt;=Condition!$E$16,0,IF(II11&lt;=Condition!$F$16,Condition!$D$16,IF(II11&lt;=Condition!$F$17,Condition!$D$17,IF(II11&lt;=Condition!$F$18,Condition!$D$18,IF(II11&gt;Condition!$E$19,Condition!$D$19,"")))))</f>
        <v>0</v>
      </c>
      <c r="IJ54" s="85">
        <f>IF(IJ11&lt;=Condition!$E$16,0,IF(IJ11&lt;=Condition!$F$16,Condition!$D$16,IF(IJ11&lt;=Condition!$F$17,Condition!$D$17,IF(IJ11&lt;=Condition!$F$18,Condition!$D$18,IF(IJ11&gt;Condition!$E$19,Condition!$D$19,"")))))</f>
        <v>0</v>
      </c>
      <c r="IK54" s="85">
        <f>IF(IK11&lt;=Condition!$E$16,0,IF(IK11&lt;=Condition!$F$16,Condition!$D$16,IF(IK11&lt;=Condition!$F$17,Condition!$D$17,IF(IK11&lt;=Condition!$F$18,Condition!$D$18,IF(IK11&gt;Condition!$E$19,Condition!$D$19,"")))))</f>
        <v>0</v>
      </c>
      <c r="IL54" s="85">
        <f>IF(IL11&lt;=Condition!$E$16,0,IF(IL11&lt;=Condition!$F$16,Condition!$D$16,IF(IL11&lt;=Condition!$F$17,Condition!$D$17,IF(IL11&lt;=Condition!$F$18,Condition!$D$18,IF(IL11&gt;Condition!$E$19,Condition!$D$19,"")))))</f>
        <v>0</v>
      </c>
      <c r="IM54" s="85">
        <f>IF(IM11&lt;=Condition!$E$16,0,IF(IM11&lt;=Condition!$F$16,Condition!$D$16,IF(IM11&lt;=Condition!$F$17,Condition!$D$17,IF(IM11&lt;=Condition!$F$18,Condition!$D$18,IF(IM11&gt;Condition!$E$19,Condition!$D$19,"")))))</f>
        <v>0</v>
      </c>
      <c r="IN54" s="85">
        <f>IF(IN11&lt;=Condition!$E$16,0,IF(IN11&lt;=Condition!$F$16,Condition!$D$16,IF(IN11&lt;=Condition!$F$17,Condition!$D$17,IF(IN11&lt;=Condition!$F$18,Condition!$D$18,IF(IN11&gt;Condition!$E$19,Condition!$D$19,"")))))</f>
        <v>0</v>
      </c>
      <c r="IO54" s="85">
        <f>IF(IO11&lt;=Condition!$E$16,0,IF(IO11&lt;=Condition!$F$16,Condition!$D$16,IF(IO11&lt;=Condition!$F$17,Condition!$D$17,IF(IO11&lt;=Condition!$F$18,Condition!$D$18,IF(IO11&gt;Condition!$E$19,Condition!$D$19,"")))))</f>
        <v>0</v>
      </c>
      <c r="IP54" s="85">
        <f>IF(IP11&lt;=Condition!$E$16,0,IF(IP11&lt;=Condition!$F$16,Condition!$D$16,IF(IP11&lt;=Condition!$F$17,Condition!$D$17,IF(IP11&lt;=Condition!$F$18,Condition!$D$18,IF(IP11&gt;Condition!$E$19,Condition!$D$19,"")))))</f>
        <v>0</v>
      </c>
      <c r="IQ54" s="85">
        <f>IF(IQ11&lt;=Condition!$E$16,0,IF(IQ11&lt;=Condition!$F$16,Condition!$D$16,IF(IQ11&lt;=Condition!$F$17,Condition!$D$17,IF(IQ11&lt;=Condition!$F$18,Condition!$D$18,IF(IQ11&gt;Condition!$E$19,Condition!$D$19,"")))))</f>
        <v>0</v>
      </c>
      <c r="IR54" s="85">
        <f>IF(IR11&lt;=Condition!$E$16,0,IF(IR11&lt;=Condition!$F$16,Condition!$D$16,IF(IR11&lt;=Condition!$F$17,Condition!$D$17,IF(IR11&lt;=Condition!$F$18,Condition!$D$18,IF(IR11&gt;Condition!$E$19,Condition!$D$19,"")))))</f>
        <v>0</v>
      </c>
      <c r="IS54" s="85">
        <f>IF(IS11&lt;=Condition!$E$16,0,IF(IS11&lt;=Condition!$F$16,Condition!$D$16,IF(IS11&lt;=Condition!$F$17,Condition!$D$17,IF(IS11&lt;=Condition!$F$18,Condition!$D$18,IF(IS11&gt;Condition!$E$19,Condition!$D$19,"")))))</f>
        <v>0</v>
      </c>
      <c r="IT54" s="85">
        <f>IF(IT11&lt;=Condition!$E$16,0,IF(IT11&lt;=Condition!$F$16,Condition!$D$16,IF(IT11&lt;=Condition!$F$17,Condition!$D$17,IF(IT11&lt;=Condition!$F$18,Condition!$D$18,IF(IT11&gt;Condition!$E$19,Condition!$D$19,"")))))</f>
        <v>0</v>
      </c>
      <c r="IU54" s="85">
        <f>IF(IU11&lt;=Condition!$E$16,0,IF(IU11&lt;=Condition!$F$16,Condition!$D$16,IF(IU11&lt;=Condition!$F$17,Condition!$D$17,IF(IU11&lt;=Condition!$F$18,Condition!$D$18,IF(IU11&gt;Condition!$E$19,Condition!$D$19,"")))))</f>
        <v>0</v>
      </c>
      <c r="IV54" s="85">
        <f>IF(IV11&lt;=Condition!$E$16,0,IF(IV11&lt;=Condition!$F$16,Condition!$D$16,IF(IV11&lt;=Condition!$F$17,Condition!$D$17,IF(IV11&lt;=Condition!$F$18,Condition!$D$18,IF(IV11&gt;Condition!$E$19,Condition!$D$19,"")))))</f>
        <v>0</v>
      </c>
      <c r="IW54" s="85">
        <f>IF(IW11&lt;=Condition!$E$16,0,IF(IW11&lt;=Condition!$F$16,Condition!$D$16,IF(IW11&lt;=Condition!$F$17,Condition!$D$17,IF(IW11&lt;=Condition!$F$18,Condition!$D$18,IF(IW11&gt;Condition!$E$19,Condition!$D$19,"")))))</f>
        <v>0</v>
      </c>
      <c r="IX54" s="85">
        <f>IF(IX11&lt;=Condition!$E$16,0,IF(IX11&lt;=Condition!$F$16,Condition!$D$16,IF(IX11&lt;=Condition!$F$17,Condition!$D$17,IF(IX11&lt;=Condition!$F$18,Condition!$D$18,IF(IX11&gt;Condition!$E$19,Condition!$D$19,"")))))</f>
        <v>0</v>
      </c>
      <c r="IY54" s="85">
        <f>IF(IY11&lt;=Condition!$E$16,0,IF(IY11&lt;=Condition!$F$16,Condition!$D$16,IF(IY11&lt;=Condition!$F$17,Condition!$D$17,IF(IY11&lt;=Condition!$F$18,Condition!$D$18,IF(IY11&gt;Condition!$E$19,Condition!$D$19,"")))))</f>
        <v>0</v>
      </c>
      <c r="IZ54" s="85">
        <f>IF(IZ11&lt;=Condition!$E$16,0,IF(IZ11&lt;=Condition!$F$16,Condition!$D$16,IF(IZ11&lt;=Condition!$F$17,Condition!$D$17,IF(IZ11&lt;=Condition!$F$18,Condition!$D$18,IF(IZ11&gt;Condition!$E$19,Condition!$D$19,"")))))</f>
        <v>0</v>
      </c>
      <c r="JA54" s="85">
        <f>IF(JA11&lt;=Condition!$E$16,0,IF(JA11&lt;=Condition!$F$16,Condition!$D$16,IF(JA11&lt;=Condition!$F$17,Condition!$D$17,IF(JA11&lt;=Condition!$F$18,Condition!$D$18,IF(JA11&gt;Condition!$E$19,Condition!$D$19,"")))))</f>
        <v>0</v>
      </c>
      <c r="JB54" s="85">
        <f>IF(JB11&lt;=Condition!$E$16,0,IF(JB11&lt;=Condition!$F$16,Condition!$D$16,IF(JB11&lt;=Condition!$F$17,Condition!$D$17,IF(JB11&lt;=Condition!$F$18,Condition!$D$18,IF(JB11&gt;Condition!$E$19,Condition!$D$19,"")))))</f>
        <v>0</v>
      </c>
      <c r="JC54" s="85">
        <f>IF(JC11&lt;=Condition!$E$16,0,IF(JC11&lt;=Condition!$F$16,Condition!$D$16,IF(JC11&lt;=Condition!$F$17,Condition!$D$17,IF(JC11&lt;=Condition!$F$18,Condition!$D$18,IF(JC11&gt;Condition!$E$19,Condition!$D$19,"")))))</f>
        <v>0</v>
      </c>
      <c r="JD54" s="85">
        <f>IF(JD11&lt;=Condition!$E$16,0,IF(JD11&lt;=Condition!$F$16,Condition!$D$16,IF(JD11&lt;=Condition!$F$17,Condition!$D$17,IF(JD11&lt;=Condition!$F$18,Condition!$D$18,IF(JD11&gt;Condition!$E$19,Condition!$D$19,"")))))</f>
        <v>0</v>
      </c>
      <c r="JE54" s="85">
        <f>IF(JE11&lt;=Condition!$E$16,0,IF(JE11&lt;=Condition!$F$16,Condition!$D$16,IF(JE11&lt;=Condition!$F$17,Condition!$D$17,IF(JE11&lt;=Condition!$F$18,Condition!$D$18,IF(JE11&gt;Condition!$E$19,Condition!$D$19,"")))))</f>
        <v>0</v>
      </c>
      <c r="JF54" s="85">
        <f>IF(JF11&lt;=Condition!$E$16,0,IF(JF11&lt;=Condition!$F$16,Condition!$D$16,IF(JF11&lt;=Condition!$F$17,Condition!$D$17,IF(JF11&lt;=Condition!$F$18,Condition!$D$18,IF(JF11&gt;Condition!$E$19,Condition!$D$19,"")))))</f>
        <v>0</v>
      </c>
      <c r="JG54" s="85">
        <f>IF(JG11&lt;=Condition!$E$16,0,IF(JG11&lt;=Condition!$F$16,Condition!$D$16,IF(JG11&lt;=Condition!$F$17,Condition!$D$17,IF(JG11&lt;=Condition!$F$18,Condition!$D$18,IF(JG11&gt;Condition!$E$19,Condition!$D$19,"")))))</f>
        <v>0</v>
      </c>
      <c r="JH54" s="85">
        <f>IF(JH11&lt;=Condition!$E$16,0,IF(JH11&lt;=Condition!$F$16,Condition!$D$16,IF(JH11&lt;=Condition!$F$17,Condition!$D$17,IF(JH11&lt;=Condition!$F$18,Condition!$D$18,IF(JH11&gt;Condition!$E$19,Condition!$D$19,"")))))</f>
        <v>0</v>
      </c>
      <c r="JI54" s="85">
        <f>IF(JI11&lt;=Condition!$E$16,0,IF(JI11&lt;=Condition!$F$16,Condition!$D$16,IF(JI11&lt;=Condition!$F$17,Condition!$D$17,IF(JI11&lt;=Condition!$F$18,Condition!$D$18,IF(JI11&gt;Condition!$E$19,Condition!$D$19,"")))))</f>
        <v>0</v>
      </c>
      <c r="JJ54" s="85">
        <f>IF(JJ11&lt;=Condition!$E$16,0,IF(JJ11&lt;=Condition!$F$16,Condition!$D$16,IF(JJ11&lt;=Condition!$F$17,Condition!$D$17,IF(JJ11&lt;=Condition!$F$18,Condition!$D$18,IF(JJ11&gt;Condition!$E$19,Condition!$D$19,"")))))</f>
        <v>0</v>
      </c>
      <c r="JK54" s="85">
        <f>IF(JK11&lt;=Condition!$E$16,0,IF(JK11&lt;=Condition!$F$16,Condition!$D$16,IF(JK11&lt;=Condition!$F$17,Condition!$D$17,IF(JK11&lt;=Condition!$F$18,Condition!$D$18,IF(JK11&gt;Condition!$E$19,Condition!$D$19,"")))))</f>
        <v>0</v>
      </c>
      <c r="JL54" s="85">
        <f>IF(JL11&lt;=Condition!$E$16,0,IF(JL11&lt;=Condition!$F$16,Condition!$D$16,IF(JL11&lt;=Condition!$F$17,Condition!$D$17,IF(JL11&lt;=Condition!$F$18,Condition!$D$18,IF(JL11&gt;Condition!$E$19,Condition!$D$19,"")))))</f>
        <v>0</v>
      </c>
      <c r="JM54" s="85">
        <f>IF(JM11&lt;=Condition!$E$16,0,IF(JM11&lt;=Condition!$F$16,Condition!$D$16,IF(JM11&lt;=Condition!$F$17,Condition!$D$17,IF(JM11&lt;=Condition!$F$18,Condition!$D$18,IF(JM11&gt;Condition!$E$19,Condition!$D$19,"")))))</f>
        <v>0</v>
      </c>
      <c r="JN54" s="85">
        <f>IF(JN11&lt;=Condition!$E$16,0,IF(JN11&lt;=Condition!$F$16,Condition!$D$16,IF(JN11&lt;=Condition!$F$17,Condition!$D$17,IF(JN11&lt;=Condition!$F$18,Condition!$D$18,IF(JN11&gt;Condition!$E$19,Condition!$D$19,"")))))</f>
        <v>0</v>
      </c>
      <c r="JO54" s="85">
        <f>IF(JO11&lt;=Condition!$E$16,0,IF(JO11&lt;=Condition!$F$16,Condition!$D$16,IF(JO11&lt;=Condition!$F$17,Condition!$D$17,IF(JO11&lt;=Condition!$F$18,Condition!$D$18,IF(JO11&gt;Condition!$E$19,Condition!$D$19,"")))))</f>
        <v>0</v>
      </c>
      <c r="JP54" s="85">
        <f>IF(JP11&lt;=Condition!$E$16,0,IF(JP11&lt;=Condition!$F$16,Condition!$D$16,IF(JP11&lt;=Condition!$F$17,Condition!$D$17,IF(JP11&lt;=Condition!$F$18,Condition!$D$18,IF(JP11&gt;Condition!$E$19,Condition!$D$19,"")))))</f>
        <v>0</v>
      </c>
      <c r="JQ54" s="85">
        <f>IF(JQ11&lt;=Condition!$E$16,0,IF(JQ11&lt;=Condition!$F$16,Condition!$D$16,IF(JQ11&lt;=Condition!$F$17,Condition!$D$17,IF(JQ11&lt;=Condition!$F$18,Condition!$D$18,IF(JQ11&gt;Condition!$E$19,Condition!$D$19,"")))))</f>
        <v>0</v>
      </c>
      <c r="JR54" s="85">
        <f>IF(JR11&lt;=Condition!$E$16,0,IF(JR11&lt;=Condition!$F$16,Condition!$D$16,IF(JR11&lt;=Condition!$F$17,Condition!$D$17,IF(JR11&lt;=Condition!$F$18,Condition!$D$18,IF(JR11&gt;Condition!$E$19,Condition!$D$19,"")))))</f>
        <v>0</v>
      </c>
      <c r="JS54" s="85">
        <f>IF(JS11&lt;=Condition!$E$16,0,IF(JS11&lt;=Condition!$F$16,Condition!$D$16,IF(JS11&lt;=Condition!$F$17,Condition!$D$17,IF(JS11&lt;=Condition!$F$18,Condition!$D$18,IF(JS11&gt;Condition!$E$19,Condition!$D$19,"")))))</f>
        <v>0</v>
      </c>
      <c r="JT54" s="85">
        <f>IF(JT11&lt;=Condition!$E$16,0,IF(JT11&lt;=Condition!$F$16,Condition!$D$16,IF(JT11&lt;=Condition!$F$17,Condition!$D$17,IF(JT11&lt;=Condition!$F$18,Condition!$D$18,IF(JT11&gt;Condition!$E$19,Condition!$D$19,"")))))</f>
        <v>0</v>
      </c>
      <c r="JU54" s="85">
        <f>IF(JU11&lt;=Condition!$E$16,0,IF(JU11&lt;=Condition!$F$16,Condition!$D$16,IF(JU11&lt;=Condition!$F$17,Condition!$D$17,IF(JU11&lt;=Condition!$F$18,Condition!$D$18,IF(JU11&gt;Condition!$E$19,Condition!$D$19,"")))))</f>
        <v>0</v>
      </c>
      <c r="JV54" s="85">
        <f>IF(JV11&lt;=Condition!$E$16,0,IF(JV11&lt;=Condition!$F$16,Condition!$D$16,IF(JV11&lt;=Condition!$F$17,Condition!$D$17,IF(JV11&lt;=Condition!$F$18,Condition!$D$18,IF(JV11&gt;Condition!$E$19,Condition!$D$19,"")))))</f>
        <v>0</v>
      </c>
      <c r="JW54" s="85">
        <f>IF(JW11&lt;=Condition!$E$16,0,IF(JW11&lt;=Condition!$F$16,Condition!$D$16,IF(JW11&lt;=Condition!$F$17,Condition!$D$17,IF(JW11&lt;=Condition!$F$18,Condition!$D$18,IF(JW11&gt;Condition!$E$19,Condition!$D$19,"")))))</f>
        <v>0</v>
      </c>
      <c r="JX54" s="85">
        <f>IF(JX11&lt;=Condition!$E$16,0,IF(JX11&lt;=Condition!$F$16,Condition!$D$16,IF(JX11&lt;=Condition!$F$17,Condition!$D$17,IF(JX11&lt;=Condition!$F$18,Condition!$D$18,IF(JX11&gt;Condition!$E$19,Condition!$D$19,"")))))</f>
        <v>0</v>
      </c>
      <c r="JY54" s="85">
        <f>IF(JY11&lt;=Condition!$E$16,0,IF(JY11&lt;=Condition!$F$16,Condition!$D$16,IF(JY11&lt;=Condition!$F$17,Condition!$D$17,IF(JY11&lt;=Condition!$F$18,Condition!$D$18,IF(JY11&gt;Condition!$E$19,Condition!$D$19,"")))))</f>
        <v>0</v>
      </c>
      <c r="JZ54" s="85">
        <f>IF(JZ11&lt;=Condition!$E$16,0,IF(JZ11&lt;=Condition!$F$16,Condition!$D$16,IF(JZ11&lt;=Condition!$F$17,Condition!$D$17,IF(JZ11&lt;=Condition!$F$18,Condition!$D$18,IF(JZ11&gt;Condition!$E$19,Condition!$D$19,"")))))</f>
        <v>0</v>
      </c>
      <c r="KA54" s="85">
        <f>IF(KA11&lt;=Condition!$E$16,0,IF(KA11&lt;=Condition!$F$16,Condition!$D$16,IF(KA11&lt;=Condition!$F$17,Condition!$D$17,IF(KA11&lt;=Condition!$F$18,Condition!$D$18,IF(KA11&gt;Condition!$E$19,Condition!$D$19,"")))))</f>
        <v>0</v>
      </c>
      <c r="KB54" s="85">
        <f>IF(KB11&lt;=Condition!$E$16,0,IF(KB11&lt;=Condition!$F$16,Condition!$D$16,IF(KB11&lt;=Condition!$F$17,Condition!$D$17,IF(KB11&lt;=Condition!$F$18,Condition!$D$18,IF(KB11&gt;Condition!$E$19,Condition!$D$19,"")))))</f>
        <v>0</v>
      </c>
      <c r="KC54" s="85">
        <f>IF(KC11&lt;=Condition!$E$16,0,IF(KC11&lt;=Condition!$F$16,Condition!$D$16,IF(KC11&lt;=Condition!$F$17,Condition!$D$17,IF(KC11&lt;=Condition!$F$18,Condition!$D$18,IF(KC11&gt;Condition!$E$19,Condition!$D$19,"")))))</f>
        <v>0</v>
      </c>
      <c r="KD54" s="85">
        <f>IF(KD11&lt;=Condition!$E$16,0,IF(KD11&lt;=Condition!$F$16,Condition!$D$16,IF(KD11&lt;=Condition!$F$17,Condition!$D$17,IF(KD11&lt;=Condition!$F$18,Condition!$D$18,IF(KD11&gt;Condition!$E$19,Condition!$D$19,"")))))</f>
        <v>0</v>
      </c>
      <c r="KE54" s="85">
        <f>IF(KE11&lt;=Condition!$E$16,0,IF(KE11&lt;=Condition!$F$16,Condition!$D$16,IF(KE11&lt;=Condition!$F$17,Condition!$D$17,IF(KE11&lt;=Condition!$F$18,Condition!$D$18,IF(KE11&gt;Condition!$E$19,Condition!$D$19,"")))))</f>
        <v>0</v>
      </c>
      <c r="KF54" s="85">
        <f>IF(KF11&lt;=Condition!$E$16,0,IF(KF11&lt;=Condition!$F$16,Condition!$D$16,IF(KF11&lt;=Condition!$F$17,Condition!$D$17,IF(KF11&lt;=Condition!$F$18,Condition!$D$18,IF(KF11&gt;Condition!$E$19,Condition!$D$19,"")))))</f>
        <v>0</v>
      </c>
      <c r="KG54" s="85">
        <f>IF(KG11&lt;=Condition!$E$16,0,IF(KG11&lt;=Condition!$F$16,Condition!$D$16,IF(KG11&lt;=Condition!$F$17,Condition!$D$17,IF(KG11&lt;=Condition!$F$18,Condition!$D$18,IF(KG11&gt;Condition!$E$19,Condition!$D$19,"")))))</f>
        <v>0</v>
      </c>
      <c r="KH54" s="85">
        <f>IF(KH11&lt;=Condition!$E$16,0,IF(KH11&lt;=Condition!$F$16,Condition!$D$16,IF(KH11&lt;=Condition!$F$17,Condition!$D$17,IF(KH11&lt;=Condition!$F$18,Condition!$D$18,IF(KH11&gt;Condition!$E$19,Condition!$D$19,"")))))</f>
        <v>0</v>
      </c>
      <c r="KI54" s="85">
        <f>IF(KI11&lt;=Condition!$E$16,0,IF(KI11&lt;=Condition!$F$16,Condition!$D$16,IF(KI11&lt;=Condition!$F$17,Condition!$D$17,IF(KI11&lt;=Condition!$F$18,Condition!$D$18,IF(KI11&gt;Condition!$E$19,Condition!$D$19,"")))))</f>
        <v>0</v>
      </c>
    </row>
    <row r="55" spans="2:295" x14ac:dyDescent="0.25">
      <c r="B55" s="15">
        <f t="shared" ref="B55:E55" si="10">B12</f>
        <v>7</v>
      </c>
      <c r="C55" s="25" t="str">
        <f t="shared" si="10"/>
        <v>DSL-DHK</v>
      </c>
      <c r="D55" s="25" t="str">
        <f t="shared" si="10"/>
        <v>Md Ariful Islam</v>
      </c>
      <c r="E55" s="26">
        <f t="shared" si="10"/>
        <v>2699</v>
      </c>
      <c r="F55" s="112">
        <f t="shared" si="4"/>
        <v>0</v>
      </c>
      <c r="G55" s="112">
        <f t="shared" si="5"/>
        <v>0</v>
      </c>
      <c r="H55" s="85">
        <f>IF(H12&lt;=Condition!$E$16,0,IF(H12&lt;=Condition!$F$16,Condition!$D$16,IF(H12&lt;=Condition!$F$17,Condition!$D$17,IF(H12&lt;=Condition!$F$18,Condition!$D$18,IF(H12&gt;Condition!$E$19,Condition!$D$19,"")))))</f>
        <v>0</v>
      </c>
      <c r="I55" s="85">
        <f>IF(I12&lt;=Condition!$E$16,0,IF(I12&lt;=Condition!$F$16,Condition!$D$16,IF(I12&lt;=Condition!$F$17,Condition!$D$17,IF(I12&lt;=Condition!$F$18,Condition!$D$18,IF(I12&gt;Condition!$E$19,Condition!$D$19,"")))))</f>
        <v>0</v>
      </c>
      <c r="J55" s="85">
        <f>IF(J12&lt;=Condition!$E$16,0,IF(J12&lt;=Condition!$F$16,Condition!$D$16,IF(J12&lt;=Condition!$F$17,Condition!$D$17,IF(J12&lt;=Condition!$F$18,Condition!$D$18,IF(J12&gt;Condition!$E$19,Condition!$D$19,"")))))</f>
        <v>0</v>
      </c>
      <c r="K55" s="85">
        <f>IF(K12&lt;=Condition!$E$16,0,IF(K12&lt;=Condition!$F$16,Condition!$D$16,IF(K12&lt;=Condition!$F$17,Condition!$D$17,IF(K12&lt;=Condition!$F$18,Condition!$D$18,IF(K12&gt;Condition!$E$19,Condition!$D$19,"")))))</f>
        <v>0</v>
      </c>
      <c r="L55" s="85">
        <f>IF(L12&lt;=Condition!$E$16,0,IF(L12&lt;=Condition!$F$16,Condition!$D$16,IF(L12&lt;=Condition!$F$17,Condition!$D$17,IF(L12&lt;=Condition!$F$18,Condition!$D$18,IF(L12&gt;Condition!$E$19,Condition!$D$19,"")))))</f>
        <v>0</v>
      </c>
      <c r="M55" s="85">
        <f>IF(M12&lt;=Condition!$E$16,0,IF(M12&lt;=Condition!$F$16,Condition!$D$16,IF(M12&lt;=Condition!$F$17,Condition!$D$17,IF(M12&lt;=Condition!$F$18,Condition!$D$18,IF(M12&gt;Condition!$E$19,Condition!$D$19,"")))))</f>
        <v>0</v>
      </c>
      <c r="N55" s="85">
        <f>IF(N12&lt;=Condition!$E$16,0,IF(N12&lt;=Condition!$F$16,Condition!$D$16,IF(N12&lt;=Condition!$F$17,Condition!$D$17,IF(N12&lt;=Condition!$F$18,Condition!$D$18,IF(N12&gt;Condition!$E$19,Condition!$D$19,"")))))</f>
        <v>0</v>
      </c>
      <c r="O55" s="85">
        <f>IF(O12&lt;=Condition!$E$16,0,IF(O12&lt;=Condition!$F$16,Condition!$D$16,IF(O12&lt;=Condition!$F$17,Condition!$D$17,IF(O12&lt;=Condition!$F$18,Condition!$D$18,IF(O12&gt;Condition!$E$19,Condition!$D$19,"")))))</f>
        <v>0</v>
      </c>
      <c r="P55" s="85">
        <f>IF(P12&lt;=Condition!$E$16,0,IF(P12&lt;=Condition!$F$16,Condition!$D$16,IF(P12&lt;=Condition!$F$17,Condition!$D$17,IF(P12&lt;=Condition!$F$18,Condition!$D$18,IF(P12&gt;Condition!$E$19,Condition!$D$19,"")))))</f>
        <v>0</v>
      </c>
      <c r="Q55" s="85">
        <f>IF(Q12&lt;=Condition!$E$16,0,IF(Q12&lt;=Condition!$F$16,Condition!$D$16,IF(Q12&lt;=Condition!$F$17,Condition!$D$17,IF(Q12&lt;=Condition!$F$18,Condition!$D$18,IF(Q12&gt;Condition!$E$19,Condition!$D$19,"")))))</f>
        <v>0</v>
      </c>
      <c r="R55" s="85">
        <f>IF(R12&lt;=Condition!$E$16,0,IF(R12&lt;=Condition!$F$16,Condition!$D$16,IF(R12&lt;=Condition!$F$17,Condition!$D$17,IF(R12&lt;=Condition!$F$18,Condition!$D$18,IF(R12&gt;Condition!$E$19,Condition!$D$19,"")))))</f>
        <v>0</v>
      </c>
      <c r="S55" s="85">
        <f>IF(S12&lt;=Condition!$E$16,0,IF(S12&lt;=Condition!$F$16,Condition!$D$16,IF(S12&lt;=Condition!$F$17,Condition!$D$17,IF(S12&lt;=Condition!$F$18,Condition!$D$18,IF(S12&gt;Condition!$E$19,Condition!$D$19,"")))))</f>
        <v>0</v>
      </c>
      <c r="T55" s="85">
        <f>IF(T12&lt;=Condition!$E$16,0,IF(T12&lt;=Condition!$F$16,Condition!$D$16,IF(T12&lt;=Condition!$F$17,Condition!$D$17,IF(T12&lt;=Condition!$F$18,Condition!$D$18,IF(T12&gt;Condition!$E$19,Condition!$D$19,"")))))</f>
        <v>0</v>
      </c>
      <c r="U55" s="85">
        <f>IF(U12&lt;=Condition!$E$16,0,IF(U12&lt;=Condition!$F$16,Condition!$D$16,IF(U12&lt;=Condition!$F$17,Condition!$D$17,IF(U12&lt;=Condition!$F$18,Condition!$D$18,IF(U12&gt;Condition!$E$19,Condition!$D$19,"")))))</f>
        <v>0</v>
      </c>
      <c r="V55" s="85">
        <f>IF(V12&lt;=Condition!$E$16,0,IF(V12&lt;=Condition!$F$16,Condition!$D$16,IF(V12&lt;=Condition!$F$17,Condition!$D$17,IF(V12&lt;=Condition!$F$18,Condition!$D$18,IF(V12&gt;Condition!$E$19,Condition!$D$19,"")))))</f>
        <v>0</v>
      </c>
      <c r="W55" s="85">
        <f>IF(W12&lt;=Condition!$E$16,0,IF(W12&lt;=Condition!$F$16,Condition!$D$16,IF(W12&lt;=Condition!$F$17,Condition!$D$17,IF(W12&lt;=Condition!$F$18,Condition!$D$18,IF(W12&gt;Condition!$E$19,Condition!$D$19,"")))))</f>
        <v>0</v>
      </c>
      <c r="X55" s="85">
        <f>IF(X12&lt;=Condition!$E$16,0,IF(X12&lt;=Condition!$F$16,Condition!$D$16,IF(X12&lt;=Condition!$F$17,Condition!$D$17,IF(X12&lt;=Condition!$F$18,Condition!$D$18,IF(X12&gt;Condition!$E$19,Condition!$D$19,"")))))</f>
        <v>0</v>
      </c>
      <c r="Y55" s="85">
        <f>IF(Y12&lt;=Condition!$E$16,0,IF(Y12&lt;=Condition!$F$16,Condition!$D$16,IF(Y12&lt;=Condition!$F$17,Condition!$D$17,IF(Y12&lt;=Condition!$F$18,Condition!$D$18,IF(Y12&gt;Condition!$E$19,Condition!$D$19,"")))))</f>
        <v>0</v>
      </c>
      <c r="Z55" s="85">
        <f>IF(Z12&lt;=Condition!$E$16,0,IF(Z12&lt;=Condition!$F$16,Condition!$D$16,IF(Z12&lt;=Condition!$F$17,Condition!$D$17,IF(Z12&lt;=Condition!$F$18,Condition!$D$18,IF(Z12&gt;Condition!$E$19,Condition!$D$19,"")))))</f>
        <v>0</v>
      </c>
      <c r="AA55" s="85">
        <f>IF(AA12&lt;=Condition!$E$16,0,IF(AA12&lt;=Condition!$F$16,Condition!$D$16,IF(AA12&lt;=Condition!$F$17,Condition!$D$17,IF(AA12&lt;=Condition!$F$18,Condition!$D$18,IF(AA12&gt;Condition!$E$19,Condition!$D$19,"")))))</f>
        <v>0</v>
      </c>
      <c r="AB55" s="85">
        <f>IF(AB12&lt;=Condition!$E$16,0,IF(AB12&lt;=Condition!$F$16,Condition!$D$16,IF(AB12&lt;=Condition!$F$17,Condition!$D$17,IF(AB12&lt;=Condition!$F$18,Condition!$D$18,IF(AB12&gt;Condition!$E$19,Condition!$D$19,"")))))</f>
        <v>0</v>
      </c>
      <c r="AC55" s="85">
        <f>IF(AC12&lt;=Condition!$E$16,0,IF(AC12&lt;=Condition!$F$16,Condition!$D$16,IF(AC12&lt;=Condition!$F$17,Condition!$D$17,IF(AC12&lt;=Condition!$F$18,Condition!$D$18,IF(AC12&gt;Condition!$E$19,Condition!$D$19,"")))))</f>
        <v>0</v>
      </c>
      <c r="AD55" s="85">
        <f>IF(AD12&lt;=Condition!$E$16,0,IF(AD12&lt;=Condition!$F$16,Condition!$D$16,IF(AD12&lt;=Condition!$F$17,Condition!$D$17,IF(AD12&lt;=Condition!$F$18,Condition!$D$18,IF(AD12&gt;Condition!$E$19,Condition!$D$19,"")))))</f>
        <v>0</v>
      </c>
      <c r="AE55" s="85">
        <f>IF(AE12&lt;=Condition!$E$16,0,IF(AE12&lt;=Condition!$F$16,Condition!$D$16,IF(AE12&lt;=Condition!$F$17,Condition!$D$17,IF(AE12&lt;=Condition!$F$18,Condition!$D$18,IF(AE12&gt;Condition!$E$19,Condition!$D$19,"")))))</f>
        <v>0</v>
      </c>
      <c r="AF55" s="85">
        <f>IF(AF12&lt;=Condition!$E$16,0,IF(AF12&lt;=Condition!$F$16,Condition!$D$16,IF(AF12&lt;=Condition!$F$17,Condition!$D$17,IF(AF12&lt;=Condition!$F$18,Condition!$D$18,IF(AF12&gt;Condition!$E$19,Condition!$D$19,"")))))</f>
        <v>0</v>
      </c>
      <c r="AG55" s="85">
        <f>IF(AG12&lt;=Condition!$E$16,0,IF(AG12&lt;=Condition!$F$16,Condition!$D$16,IF(AG12&lt;=Condition!$F$17,Condition!$D$17,IF(AG12&lt;=Condition!$F$18,Condition!$D$18,IF(AG12&gt;Condition!$E$19,Condition!$D$19,"")))))</f>
        <v>0</v>
      </c>
      <c r="AH55" s="85">
        <f>IF(AH12&lt;=Condition!$E$16,0,IF(AH12&lt;=Condition!$F$16,Condition!$D$16,IF(AH12&lt;=Condition!$F$17,Condition!$D$17,IF(AH12&lt;=Condition!$F$18,Condition!$D$18,IF(AH12&gt;Condition!$E$19,Condition!$D$19,"")))))</f>
        <v>0</v>
      </c>
      <c r="AI55" s="85">
        <f>IF(AI12&lt;=Condition!$E$16,0,IF(AI12&lt;=Condition!$F$16,Condition!$D$16,IF(AI12&lt;=Condition!$F$17,Condition!$D$17,IF(AI12&lt;=Condition!$F$18,Condition!$D$18,IF(AI12&gt;Condition!$E$19,Condition!$D$19,"")))))</f>
        <v>0</v>
      </c>
      <c r="AJ55" s="85">
        <f>IF(AJ12&lt;=Condition!$E$16,0,IF(AJ12&lt;=Condition!$F$16,Condition!$D$16,IF(AJ12&lt;=Condition!$F$17,Condition!$D$17,IF(AJ12&lt;=Condition!$F$18,Condition!$D$18,IF(AJ12&gt;Condition!$E$19,Condition!$D$19,"")))))</f>
        <v>0</v>
      </c>
      <c r="AK55" s="85">
        <f>IF(AK12&lt;=Condition!$E$16,0,IF(AK12&lt;=Condition!$F$16,Condition!$D$16,IF(AK12&lt;=Condition!$F$17,Condition!$D$17,IF(AK12&lt;=Condition!$F$18,Condition!$D$18,IF(AK12&gt;Condition!$E$19,Condition!$D$19,"")))))</f>
        <v>0</v>
      </c>
      <c r="AL55" s="85">
        <f>IF(AL12&lt;=Condition!$E$16,0,IF(AL12&lt;=Condition!$F$16,Condition!$D$16,IF(AL12&lt;=Condition!$F$17,Condition!$D$17,IF(AL12&lt;=Condition!$F$18,Condition!$D$18,IF(AL12&gt;Condition!$E$19,Condition!$D$19,"")))))</f>
        <v>0</v>
      </c>
      <c r="AM55" s="85">
        <f>IF(AM12&lt;=Condition!$E$16,0,IF(AM12&lt;=Condition!$F$16,Condition!$D$16,IF(AM12&lt;=Condition!$F$17,Condition!$D$17,IF(AM12&lt;=Condition!$F$18,Condition!$D$18,IF(AM12&gt;Condition!$E$19,Condition!$D$19,"")))))</f>
        <v>0</v>
      </c>
      <c r="AN55" s="85">
        <f>IF(AN12&lt;=Condition!$E$16,0,IF(AN12&lt;=Condition!$F$16,Condition!$D$16,IF(AN12&lt;=Condition!$F$17,Condition!$D$17,IF(AN12&lt;=Condition!$F$18,Condition!$D$18,IF(AN12&gt;Condition!$E$19,Condition!$D$19,"")))))</f>
        <v>0</v>
      </c>
      <c r="AO55" s="85">
        <f>IF(AO12&lt;=Condition!$E$16,0,IF(AO12&lt;=Condition!$F$16,Condition!$D$16,IF(AO12&lt;=Condition!$F$17,Condition!$D$17,IF(AO12&lt;=Condition!$F$18,Condition!$D$18,IF(AO12&gt;Condition!$E$19,Condition!$D$19,"")))))</f>
        <v>0</v>
      </c>
      <c r="AP55" s="85">
        <f>IF(AP12&lt;=Condition!$E$16,0,IF(AP12&lt;=Condition!$F$16,Condition!$D$16,IF(AP12&lt;=Condition!$F$17,Condition!$D$17,IF(AP12&lt;=Condition!$F$18,Condition!$D$18,IF(AP12&gt;Condition!$E$19,Condition!$D$19,"")))))</f>
        <v>0</v>
      </c>
      <c r="AQ55" s="85">
        <f>IF(AQ12&lt;=Condition!$E$16,0,IF(AQ12&lt;=Condition!$F$16,Condition!$D$16,IF(AQ12&lt;=Condition!$F$17,Condition!$D$17,IF(AQ12&lt;=Condition!$F$18,Condition!$D$18,IF(AQ12&gt;Condition!$E$19,Condition!$D$19,"")))))</f>
        <v>0</v>
      </c>
      <c r="AR55" s="85">
        <f>IF(AR12&lt;=Condition!$E$16,0,IF(AR12&lt;=Condition!$F$16,Condition!$D$16,IF(AR12&lt;=Condition!$F$17,Condition!$D$17,IF(AR12&lt;=Condition!$F$18,Condition!$D$18,IF(AR12&gt;Condition!$E$19,Condition!$D$19,"")))))</f>
        <v>0</v>
      </c>
      <c r="AS55" s="85">
        <f>IF(AS12&lt;=Condition!$E$16,0,IF(AS12&lt;=Condition!$F$16,Condition!$D$16,IF(AS12&lt;=Condition!$F$17,Condition!$D$17,IF(AS12&lt;=Condition!$F$18,Condition!$D$18,IF(AS12&gt;Condition!$E$19,Condition!$D$19,"")))))</f>
        <v>0</v>
      </c>
      <c r="AT55" s="85">
        <f>IF(AT12&lt;=Condition!$E$16,0,IF(AT12&lt;=Condition!$F$16,Condition!$D$16,IF(AT12&lt;=Condition!$F$17,Condition!$D$17,IF(AT12&lt;=Condition!$F$18,Condition!$D$18,IF(AT12&gt;Condition!$E$19,Condition!$D$19,"")))))</f>
        <v>0</v>
      </c>
      <c r="AU55" s="85">
        <f>IF(AU12&lt;=Condition!$E$16,0,IF(AU12&lt;=Condition!$F$16,Condition!$D$16,IF(AU12&lt;=Condition!$F$17,Condition!$D$17,IF(AU12&lt;=Condition!$F$18,Condition!$D$18,IF(AU12&gt;Condition!$E$19,Condition!$D$19,"")))))</f>
        <v>0</v>
      </c>
      <c r="AV55" s="85">
        <f>IF(AV12&lt;=Condition!$E$16,0,IF(AV12&lt;=Condition!$F$16,Condition!$D$16,IF(AV12&lt;=Condition!$F$17,Condition!$D$17,IF(AV12&lt;=Condition!$F$18,Condition!$D$18,IF(AV12&gt;Condition!$E$19,Condition!$D$19,"")))))</f>
        <v>0</v>
      </c>
      <c r="AW55" s="85">
        <f>IF(AW12&lt;=Condition!$E$16,0,IF(AW12&lt;=Condition!$F$16,Condition!$D$16,IF(AW12&lt;=Condition!$F$17,Condition!$D$17,IF(AW12&lt;=Condition!$F$18,Condition!$D$18,IF(AW12&gt;Condition!$E$19,Condition!$D$19,"")))))</f>
        <v>0</v>
      </c>
      <c r="AX55" s="85">
        <f>IF(AX12&lt;=Condition!$E$16,0,IF(AX12&lt;=Condition!$F$16,Condition!$D$16,IF(AX12&lt;=Condition!$F$17,Condition!$D$17,IF(AX12&lt;=Condition!$F$18,Condition!$D$18,IF(AX12&gt;Condition!$E$19,Condition!$D$19,"")))))</f>
        <v>0</v>
      </c>
      <c r="AY55" s="85">
        <f>IF(AY12&lt;=Condition!$E$16,0,IF(AY12&lt;=Condition!$F$16,Condition!$D$16,IF(AY12&lt;=Condition!$F$17,Condition!$D$17,IF(AY12&lt;=Condition!$F$18,Condition!$D$18,IF(AY12&gt;Condition!$E$19,Condition!$D$19,"")))))</f>
        <v>0</v>
      </c>
      <c r="AZ55" s="85">
        <f>IF(AZ12&lt;=Condition!$E$16,0,IF(AZ12&lt;=Condition!$F$16,Condition!$D$16,IF(AZ12&lt;=Condition!$F$17,Condition!$D$17,IF(AZ12&lt;=Condition!$F$18,Condition!$D$18,IF(AZ12&gt;Condition!$E$19,Condition!$D$19,"")))))</f>
        <v>0</v>
      </c>
      <c r="BA55" s="85">
        <f>IF(BA12&lt;=Condition!$E$16,0,IF(BA12&lt;=Condition!$F$16,Condition!$D$16,IF(BA12&lt;=Condition!$F$17,Condition!$D$17,IF(BA12&lt;=Condition!$F$18,Condition!$D$18,IF(BA12&gt;Condition!$E$19,Condition!$D$19,"")))))</f>
        <v>0</v>
      </c>
      <c r="BB55" s="85">
        <f>IF(BB12&lt;=Condition!$E$16,0,IF(BB12&lt;=Condition!$F$16,Condition!$D$16,IF(BB12&lt;=Condition!$F$17,Condition!$D$17,IF(BB12&lt;=Condition!$F$18,Condition!$D$18,IF(BB12&gt;Condition!$E$19,Condition!$D$19,"")))))</f>
        <v>0</v>
      </c>
      <c r="BC55" s="85">
        <f>IF(BC12&lt;=Condition!$E$16,0,IF(BC12&lt;=Condition!$F$16,Condition!$D$16,IF(BC12&lt;=Condition!$F$17,Condition!$D$17,IF(BC12&lt;=Condition!$F$18,Condition!$D$18,IF(BC12&gt;Condition!$E$19,Condition!$D$19,"")))))</f>
        <v>0</v>
      </c>
      <c r="BD55" s="85">
        <f>IF(BD12&lt;=Condition!$E$16,0,IF(BD12&lt;=Condition!$F$16,Condition!$D$16,IF(BD12&lt;=Condition!$F$17,Condition!$D$17,IF(BD12&lt;=Condition!$F$18,Condition!$D$18,IF(BD12&gt;Condition!$E$19,Condition!$D$19,"")))))</f>
        <v>0</v>
      </c>
      <c r="BE55" s="85">
        <f>IF(BE12&lt;=Condition!$E$16,0,IF(BE12&lt;=Condition!$F$16,Condition!$D$16,IF(BE12&lt;=Condition!$F$17,Condition!$D$17,IF(BE12&lt;=Condition!$F$18,Condition!$D$18,IF(BE12&gt;Condition!$E$19,Condition!$D$19,"")))))</f>
        <v>0</v>
      </c>
      <c r="BF55" s="85">
        <f>IF(BF12&lt;=Condition!$E$16,0,IF(BF12&lt;=Condition!$F$16,Condition!$D$16,IF(BF12&lt;=Condition!$F$17,Condition!$D$17,IF(BF12&lt;=Condition!$F$18,Condition!$D$18,IF(BF12&gt;Condition!$E$19,Condition!$D$19,"")))))</f>
        <v>0</v>
      </c>
      <c r="BG55" s="85">
        <f>IF(BG12&lt;=Condition!$E$16,0,IF(BG12&lt;=Condition!$F$16,Condition!$D$16,IF(BG12&lt;=Condition!$F$17,Condition!$D$17,IF(BG12&lt;=Condition!$F$18,Condition!$D$18,IF(BG12&gt;Condition!$E$19,Condition!$D$19,"")))))</f>
        <v>0</v>
      </c>
      <c r="BH55" s="85">
        <f>IF(BH12&lt;=Condition!$E$16,0,IF(BH12&lt;=Condition!$F$16,Condition!$D$16,IF(BH12&lt;=Condition!$F$17,Condition!$D$17,IF(BH12&lt;=Condition!$F$18,Condition!$D$18,IF(BH12&gt;Condition!$E$19,Condition!$D$19,"")))))</f>
        <v>0</v>
      </c>
      <c r="BI55" s="85">
        <f>IF(BI12&lt;=Condition!$E$16,0,IF(BI12&lt;=Condition!$F$16,Condition!$D$16,IF(BI12&lt;=Condition!$F$17,Condition!$D$17,IF(BI12&lt;=Condition!$F$18,Condition!$D$18,IF(BI12&gt;Condition!$E$19,Condition!$D$19,"")))))</f>
        <v>0</v>
      </c>
      <c r="BJ55" s="85">
        <f>IF(BJ12&lt;=Condition!$E$16,0,IF(BJ12&lt;=Condition!$F$16,Condition!$D$16,IF(BJ12&lt;=Condition!$F$17,Condition!$D$17,IF(BJ12&lt;=Condition!$F$18,Condition!$D$18,IF(BJ12&gt;Condition!$E$19,Condition!$D$19,"")))))</f>
        <v>0</v>
      </c>
      <c r="BK55" s="85">
        <f>IF(BK12&lt;=Condition!$E$16,0,IF(BK12&lt;=Condition!$F$16,Condition!$D$16,IF(BK12&lt;=Condition!$F$17,Condition!$D$17,IF(BK12&lt;=Condition!$F$18,Condition!$D$18,IF(BK12&gt;Condition!$E$19,Condition!$D$19,"")))))</f>
        <v>0</v>
      </c>
      <c r="BL55" s="85">
        <f>IF(BL12&lt;=Condition!$E$16,0,IF(BL12&lt;=Condition!$F$16,Condition!$D$16,IF(BL12&lt;=Condition!$F$17,Condition!$D$17,IF(BL12&lt;=Condition!$F$18,Condition!$D$18,IF(BL12&gt;Condition!$E$19,Condition!$D$19,"")))))</f>
        <v>0</v>
      </c>
      <c r="BM55" s="85">
        <f>IF(BM12&lt;=Condition!$E$16,0,IF(BM12&lt;=Condition!$F$16,Condition!$D$16,IF(BM12&lt;=Condition!$F$17,Condition!$D$17,IF(BM12&lt;=Condition!$F$18,Condition!$D$18,IF(BM12&gt;Condition!$E$19,Condition!$D$19,"")))))</f>
        <v>0</v>
      </c>
      <c r="BN55" s="85">
        <f>IF(BN12&lt;=Condition!$E$16,0,IF(BN12&lt;=Condition!$F$16,Condition!$D$16,IF(BN12&lt;=Condition!$F$17,Condition!$D$17,IF(BN12&lt;=Condition!$F$18,Condition!$D$18,IF(BN12&gt;Condition!$E$19,Condition!$D$19,"")))))</f>
        <v>0</v>
      </c>
      <c r="BO55" s="85">
        <f>IF(BO12&lt;=Condition!$E$16,0,IF(BO12&lt;=Condition!$F$16,Condition!$D$16,IF(BO12&lt;=Condition!$F$17,Condition!$D$17,IF(BO12&lt;=Condition!$F$18,Condition!$D$18,IF(BO12&gt;Condition!$E$19,Condition!$D$19,"")))))</f>
        <v>0</v>
      </c>
      <c r="BP55" s="85">
        <f>IF(BP12&lt;=Condition!$E$16,0,IF(BP12&lt;=Condition!$F$16,Condition!$D$16,IF(BP12&lt;=Condition!$F$17,Condition!$D$17,IF(BP12&lt;=Condition!$F$18,Condition!$D$18,IF(BP12&gt;Condition!$E$19,Condition!$D$19,"")))))</f>
        <v>0</v>
      </c>
      <c r="BQ55" s="85">
        <f>IF(BQ12&lt;=Condition!$E$16,0,IF(BQ12&lt;=Condition!$F$16,Condition!$D$16,IF(BQ12&lt;=Condition!$F$17,Condition!$D$17,IF(BQ12&lt;=Condition!$F$18,Condition!$D$18,IF(BQ12&gt;Condition!$E$19,Condition!$D$19,"")))))</f>
        <v>0</v>
      </c>
      <c r="BR55" s="85">
        <f>IF(BR12&lt;=Condition!$E$16,0,IF(BR12&lt;=Condition!$F$16,Condition!$D$16,IF(BR12&lt;=Condition!$F$17,Condition!$D$17,IF(BR12&lt;=Condition!$F$18,Condition!$D$18,IF(BR12&gt;Condition!$E$19,Condition!$D$19,"")))))</f>
        <v>0</v>
      </c>
      <c r="BS55" s="85">
        <f>IF(BS12&lt;=Condition!$E$16,0,IF(BS12&lt;=Condition!$F$16,Condition!$D$16,IF(BS12&lt;=Condition!$F$17,Condition!$D$17,IF(BS12&lt;=Condition!$F$18,Condition!$D$18,IF(BS12&gt;Condition!$E$19,Condition!$D$19,"")))))</f>
        <v>0</v>
      </c>
      <c r="BT55" s="85">
        <f>IF(BT12&lt;=Condition!$E$16,0,IF(BT12&lt;=Condition!$F$16,Condition!$D$16,IF(BT12&lt;=Condition!$F$17,Condition!$D$17,IF(BT12&lt;=Condition!$F$18,Condition!$D$18,IF(BT12&gt;Condition!$E$19,Condition!$D$19,"")))))</f>
        <v>0</v>
      </c>
      <c r="BU55" s="85">
        <f>IF(BU12&lt;=Condition!$E$16,0,IF(BU12&lt;=Condition!$F$16,Condition!$D$16,IF(BU12&lt;=Condition!$F$17,Condition!$D$17,IF(BU12&lt;=Condition!$F$18,Condition!$D$18,IF(BU12&gt;Condition!$E$19,Condition!$D$19,"")))))</f>
        <v>0</v>
      </c>
      <c r="BV55" s="85">
        <f>IF(BV12&lt;=Condition!$E$16,0,IF(BV12&lt;=Condition!$F$16,Condition!$D$16,IF(BV12&lt;=Condition!$F$17,Condition!$D$17,IF(BV12&lt;=Condition!$F$18,Condition!$D$18,IF(BV12&gt;Condition!$E$19,Condition!$D$19,"")))))</f>
        <v>0</v>
      </c>
      <c r="BW55" s="85">
        <f>IF(BW12&lt;=Condition!$E$16,0,IF(BW12&lt;=Condition!$F$16,Condition!$D$16,IF(BW12&lt;=Condition!$F$17,Condition!$D$17,IF(BW12&lt;=Condition!$F$18,Condition!$D$18,IF(BW12&gt;Condition!$E$19,Condition!$D$19,"")))))</f>
        <v>0</v>
      </c>
      <c r="BX55" s="85">
        <f>IF(BX12&lt;=Condition!$E$16,0,IF(BX12&lt;=Condition!$F$16,Condition!$D$16,IF(BX12&lt;=Condition!$F$17,Condition!$D$17,IF(BX12&lt;=Condition!$F$18,Condition!$D$18,IF(BX12&gt;Condition!$E$19,Condition!$D$19,"")))))</f>
        <v>0</v>
      </c>
      <c r="BY55" s="85">
        <f>IF(BY12&lt;=Condition!$E$16,0,IF(BY12&lt;=Condition!$F$16,Condition!$D$16,IF(BY12&lt;=Condition!$F$17,Condition!$D$17,IF(BY12&lt;=Condition!$F$18,Condition!$D$18,IF(BY12&gt;Condition!$E$19,Condition!$D$19,"")))))</f>
        <v>0</v>
      </c>
      <c r="BZ55" s="85">
        <f>IF(BZ12&lt;=Condition!$E$16,0,IF(BZ12&lt;=Condition!$F$16,Condition!$D$16,IF(BZ12&lt;=Condition!$F$17,Condition!$D$17,IF(BZ12&lt;=Condition!$F$18,Condition!$D$18,IF(BZ12&gt;Condition!$E$19,Condition!$D$19,"")))))</f>
        <v>0</v>
      </c>
      <c r="CA55" s="85">
        <f>IF(CA12&lt;=Condition!$E$16,0,IF(CA12&lt;=Condition!$F$16,Condition!$D$16,IF(CA12&lt;=Condition!$F$17,Condition!$D$17,IF(CA12&lt;=Condition!$F$18,Condition!$D$18,IF(CA12&gt;Condition!$E$19,Condition!$D$19,"")))))</f>
        <v>0</v>
      </c>
      <c r="CB55" s="85">
        <f>IF(CB12&lt;=Condition!$E$16,0,IF(CB12&lt;=Condition!$F$16,Condition!$D$16,IF(CB12&lt;=Condition!$F$17,Condition!$D$17,IF(CB12&lt;=Condition!$F$18,Condition!$D$18,IF(CB12&gt;Condition!$E$19,Condition!$D$19,"")))))</f>
        <v>0</v>
      </c>
      <c r="CC55" s="85">
        <f>IF(CC12&lt;=Condition!$E$16,0,IF(CC12&lt;=Condition!$F$16,Condition!$D$16,IF(CC12&lt;=Condition!$F$17,Condition!$D$17,IF(CC12&lt;=Condition!$F$18,Condition!$D$18,IF(CC12&gt;Condition!$E$19,Condition!$D$19,"")))))</f>
        <v>0</v>
      </c>
      <c r="CD55" s="85">
        <f>IF(CD12&lt;=Condition!$E$16,0,IF(CD12&lt;=Condition!$F$16,Condition!$D$16,IF(CD12&lt;=Condition!$F$17,Condition!$D$17,IF(CD12&lt;=Condition!$F$18,Condition!$D$18,IF(CD12&gt;Condition!$E$19,Condition!$D$19,"")))))</f>
        <v>0</v>
      </c>
      <c r="CE55" s="85">
        <f>IF(CE12&lt;=Condition!$E$16,0,IF(CE12&lt;=Condition!$F$16,Condition!$D$16,IF(CE12&lt;=Condition!$F$17,Condition!$D$17,IF(CE12&lt;=Condition!$F$18,Condition!$D$18,IF(CE12&gt;Condition!$E$19,Condition!$D$19,"")))))</f>
        <v>0</v>
      </c>
      <c r="CF55" s="85">
        <f>IF(CF12&lt;=Condition!$E$16,0,IF(CF12&lt;=Condition!$F$16,Condition!$D$16,IF(CF12&lt;=Condition!$F$17,Condition!$D$17,IF(CF12&lt;=Condition!$F$18,Condition!$D$18,IF(CF12&gt;Condition!$E$19,Condition!$D$19,"")))))</f>
        <v>0</v>
      </c>
      <c r="CG55" s="85">
        <f>IF(CG12&lt;=Condition!$E$16,0,IF(CG12&lt;=Condition!$F$16,Condition!$D$16,IF(CG12&lt;=Condition!$F$17,Condition!$D$17,IF(CG12&lt;=Condition!$F$18,Condition!$D$18,IF(CG12&gt;Condition!$E$19,Condition!$D$19,"")))))</f>
        <v>0</v>
      </c>
      <c r="CH55" s="85">
        <f>IF(CH12&lt;=Condition!$E$16,0,IF(CH12&lt;=Condition!$F$16,Condition!$D$16,IF(CH12&lt;=Condition!$F$17,Condition!$D$17,IF(CH12&lt;=Condition!$F$18,Condition!$D$18,IF(CH12&gt;Condition!$E$19,Condition!$D$19,"")))))</f>
        <v>0</v>
      </c>
      <c r="CI55" s="85">
        <f>IF(CI12&lt;=Condition!$E$16,0,IF(CI12&lt;=Condition!$F$16,Condition!$D$16,IF(CI12&lt;=Condition!$F$17,Condition!$D$17,IF(CI12&lt;=Condition!$F$18,Condition!$D$18,IF(CI12&gt;Condition!$E$19,Condition!$D$19,"")))))</f>
        <v>0</v>
      </c>
      <c r="CJ55" s="85">
        <f>IF(CJ12&lt;=Condition!$E$16,0,IF(CJ12&lt;=Condition!$F$16,Condition!$D$16,IF(CJ12&lt;=Condition!$F$17,Condition!$D$17,IF(CJ12&lt;=Condition!$F$18,Condition!$D$18,IF(CJ12&gt;Condition!$E$19,Condition!$D$19,"")))))</f>
        <v>0</v>
      </c>
      <c r="CK55" s="85">
        <f>IF(CK12&lt;=Condition!$E$16,0,IF(CK12&lt;=Condition!$F$16,Condition!$D$16,IF(CK12&lt;=Condition!$F$17,Condition!$D$17,IF(CK12&lt;=Condition!$F$18,Condition!$D$18,IF(CK12&gt;Condition!$E$19,Condition!$D$19,"")))))</f>
        <v>0</v>
      </c>
      <c r="CL55" s="85">
        <f>IF(CL12&lt;=Condition!$E$16,0,IF(CL12&lt;=Condition!$F$16,Condition!$D$16,IF(CL12&lt;=Condition!$F$17,Condition!$D$17,IF(CL12&lt;=Condition!$F$18,Condition!$D$18,IF(CL12&gt;Condition!$E$19,Condition!$D$19,"")))))</f>
        <v>0</v>
      </c>
      <c r="CM55" s="85">
        <f>IF(CM12&lt;=Condition!$E$16,0,IF(CM12&lt;=Condition!$F$16,Condition!$D$16,IF(CM12&lt;=Condition!$F$17,Condition!$D$17,IF(CM12&lt;=Condition!$F$18,Condition!$D$18,IF(CM12&gt;Condition!$E$19,Condition!$D$19,"")))))</f>
        <v>0</v>
      </c>
      <c r="CN55" s="85">
        <f>IF(CN12&lt;=Condition!$E$16,0,IF(CN12&lt;=Condition!$F$16,Condition!$D$16,IF(CN12&lt;=Condition!$F$17,Condition!$D$17,IF(CN12&lt;=Condition!$F$18,Condition!$D$18,IF(CN12&gt;Condition!$E$19,Condition!$D$19,"")))))</f>
        <v>0</v>
      </c>
      <c r="CO55" s="85">
        <f>IF(CO12&lt;=Condition!$E$16,0,IF(CO12&lt;=Condition!$F$16,Condition!$D$16,IF(CO12&lt;=Condition!$F$17,Condition!$D$17,IF(CO12&lt;=Condition!$F$18,Condition!$D$18,IF(CO12&gt;Condition!$E$19,Condition!$D$19,"")))))</f>
        <v>0</v>
      </c>
      <c r="CP55" s="85">
        <f>IF(CP12&lt;=Condition!$E$16,0,IF(CP12&lt;=Condition!$F$16,Condition!$D$16,IF(CP12&lt;=Condition!$F$17,Condition!$D$17,IF(CP12&lt;=Condition!$F$18,Condition!$D$18,IF(CP12&gt;Condition!$E$19,Condition!$D$19,"")))))</f>
        <v>0</v>
      </c>
      <c r="CQ55" s="85">
        <f>IF(CQ12&lt;=Condition!$E$16,0,IF(CQ12&lt;=Condition!$F$16,Condition!$D$16,IF(CQ12&lt;=Condition!$F$17,Condition!$D$17,IF(CQ12&lt;=Condition!$F$18,Condition!$D$18,IF(CQ12&gt;Condition!$E$19,Condition!$D$19,"")))))</f>
        <v>0</v>
      </c>
      <c r="CR55" s="85">
        <f>IF(CR12&lt;=Condition!$E$16,0,IF(CR12&lt;=Condition!$F$16,Condition!$D$16,IF(CR12&lt;=Condition!$F$17,Condition!$D$17,IF(CR12&lt;=Condition!$F$18,Condition!$D$18,IF(CR12&gt;Condition!$E$19,Condition!$D$19,"")))))</f>
        <v>0</v>
      </c>
      <c r="CS55" s="85">
        <f>IF(CS12&lt;=Condition!$E$16,0,IF(CS12&lt;=Condition!$F$16,Condition!$D$16,IF(CS12&lt;=Condition!$F$17,Condition!$D$17,IF(CS12&lt;=Condition!$F$18,Condition!$D$18,IF(CS12&gt;Condition!$E$19,Condition!$D$19,"")))))</f>
        <v>0</v>
      </c>
      <c r="CT55" s="85">
        <f>IF(CT12&lt;=Condition!$E$16,0,IF(CT12&lt;=Condition!$F$16,Condition!$D$16,IF(CT12&lt;=Condition!$F$17,Condition!$D$17,IF(CT12&lt;=Condition!$F$18,Condition!$D$18,IF(CT12&gt;Condition!$E$19,Condition!$D$19,"")))))</f>
        <v>0</v>
      </c>
      <c r="CU55" s="85">
        <f>IF(CU12&lt;=Condition!$E$16,0,IF(CU12&lt;=Condition!$F$16,Condition!$D$16,IF(CU12&lt;=Condition!$F$17,Condition!$D$17,IF(CU12&lt;=Condition!$F$18,Condition!$D$18,IF(CU12&gt;Condition!$E$19,Condition!$D$19,"")))))</f>
        <v>0</v>
      </c>
      <c r="CV55" s="85">
        <f>IF(CV12&lt;=Condition!$E$16,0,IF(CV12&lt;=Condition!$F$16,Condition!$D$16,IF(CV12&lt;=Condition!$F$17,Condition!$D$17,IF(CV12&lt;=Condition!$F$18,Condition!$D$18,IF(CV12&gt;Condition!$E$19,Condition!$D$19,"")))))</f>
        <v>0</v>
      </c>
      <c r="CW55" s="85">
        <f>IF(CW12&lt;=Condition!$E$16,0,IF(CW12&lt;=Condition!$F$16,Condition!$D$16,IF(CW12&lt;=Condition!$F$17,Condition!$D$17,IF(CW12&lt;=Condition!$F$18,Condition!$D$18,IF(CW12&gt;Condition!$E$19,Condition!$D$19,"")))))</f>
        <v>0</v>
      </c>
      <c r="CX55" s="85">
        <f>IF(CX12&lt;=Condition!$E$16,0,IF(CX12&lt;=Condition!$F$16,Condition!$D$16,IF(CX12&lt;=Condition!$F$17,Condition!$D$17,IF(CX12&lt;=Condition!$F$18,Condition!$D$18,IF(CX12&gt;Condition!$E$19,Condition!$D$19,"")))))</f>
        <v>0</v>
      </c>
      <c r="CY55" s="85">
        <f>IF(CY12&lt;=Condition!$E$16,0,IF(CY12&lt;=Condition!$F$16,Condition!$D$16,IF(CY12&lt;=Condition!$F$17,Condition!$D$17,IF(CY12&lt;=Condition!$F$18,Condition!$D$18,IF(CY12&gt;Condition!$E$19,Condition!$D$19,"")))))</f>
        <v>0</v>
      </c>
      <c r="CZ55" s="85">
        <f>IF(CZ12&lt;=Condition!$E$16,0,IF(CZ12&lt;=Condition!$F$16,Condition!$D$16,IF(CZ12&lt;=Condition!$F$17,Condition!$D$17,IF(CZ12&lt;=Condition!$F$18,Condition!$D$18,IF(CZ12&gt;Condition!$E$19,Condition!$D$19,"")))))</f>
        <v>0</v>
      </c>
      <c r="DA55" s="85">
        <f>IF(DA12&lt;=Condition!$E$16,0,IF(DA12&lt;=Condition!$F$16,Condition!$D$16,IF(DA12&lt;=Condition!$F$17,Condition!$D$17,IF(DA12&lt;=Condition!$F$18,Condition!$D$18,IF(DA12&gt;Condition!$E$19,Condition!$D$19,"")))))</f>
        <v>0</v>
      </c>
      <c r="DB55" s="85">
        <f>IF(DB12&lt;=Condition!$E$16,0,IF(DB12&lt;=Condition!$F$16,Condition!$D$16,IF(DB12&lt;=Condition!$F$17,Condition!$D$17,IF(DB12&lt;=Condition!$F$18,Condition!$D$18,IF(DB12&gt;Condition!$E$19,Condition!$D$19,"")))))</f>
        <v>0</v>
      </c>
      <c r="DC55" s="85">
        <f>IF(DC12&lt;=Condition!$E$16,0,IF(DC12&lt;=Condition!$F$16,Condition!$D$16,IF(DC12&lt;=Condition!$F$17,Condition!$D$17,IF(DC12&lt;=Condition!$F$18,Condition!$D$18,IF(DC12&gt;Condition!$E$19,Condition!$D$19,"")))))</f>
        <v>0</v>
      </c>
      <c r="DD55" s="85">
        <f>IF(DD12&lt;=Condition!$E$16,0,IF(DD12&lt;=Condition!$F$16,Condition!$D$16,IF(DD12&lt;=Condition!$F$17,Condition!$D$17,IF(DD12&lt;=Condition!$F$18,Condition!$D$18,IF(DD12&gt;Condition!$E$19,Condition!$D$19,"")))))</f>
        <v>0</v>
      </c>
      <c r="DE55" s="85">
        <f>IF(DE12&lt;=Condition!$E$16,0,IF(DE12&lt;=Condition!$F$16,Condition!$D$16,IF(DE12&lt;=Condition!$F$17,Condition!$D$17,IF(DE12&lt;=Condition!$F$18,Condition!$D$18,IF(DE12&gt;Condition!$E$19,Condition!$D$19,"")))))</f>
        <v>0</v>
      </c>
      <c r="DF55" s="85">
        <f>IF(DF12&lt;=Condition!$E$16,0,IF(DF12&lt;=Condition!$F$16,Condition!$D$16,IF(DF12&lt;=Condition!$F$17,Condition!$D$17,IF(DF12&lt;=Condition!$F$18,Condition!$D$18,IF(DF12&gt;Condition!$E$19,Condition!$D$19,"")))))</f>
        <v>0</v>
      </c>
      <c r="DG55" s="85">
        <f>IF(DG12&lt;=Condition!$E$16,0,IF(DG12&lt;=Condition!$F$16,Condition!$D$16,IF(DG12&lt;=Condition!$F$17,Condition!$D$17,IF(DG12&lt;=Condition!$F$18,Condition!$D$18,IF(DG12&gt;Condition!$E$19,Condition!$D$19,"")))))</f>
        <v>0</v>
      </c>
      <c r="DH55" s="85">
        <f>IF(DH12&lt;=Condition!$E$16,0,IF(DH12&lt;=Condition!$F$16,Condition!$D$16,IF(DH12&lt;=Condition!$F$17,Condition!$D$17,IF(DH12&lt;=Condition!$F$18,Condition!$D$18,IF(DH12&gt;Condition!$E$19,Condition!$D$19,"")))))</f>
        <v>0</v>
      </c>
      <c r="DI55" s="85">
        <f>IF(DI12&lt;=Condition!$E$16,0,IF(DI12&lt;=Condition!$F$16,Condition!$D$16,IF(DI12&lt;=Condition!$F$17,Condition!$D$17,IF(DI12&lt;=Condition!$F$18,Condition!$D$18,IF(DI12&gt;Condition!$E$19,Condition!$D$19,"")))))</f>
        <v>0</v>
      </c>
      <c r="DJ55" s="85">
        <f>IF(DJ12&lt;=Condition!$E$16,0,IF(DJ12&lt;=Condition!$F$16,Condition!$D$16,IF(DJ12&lt;=Condition!$F$17,Condition!$D$17,IF(DJ12&lt;=Condition!$F$18,Condition!$D$18,IF(DJ12&gt;Condition!$E$19,Condition!$D$19,"")))))</f>
        <v>0</v>
      </c>
      <c r="DK55" s="85">
        <f>IF(DK12&lt;=Condition!$E$16,0,IF(DK12&lt;=Condition!$F$16,Condition!$D$16,IF(DK12&lt;=Condition!$F$17,Condition!$D$17,IF(DK12&lt;=Condition!$F$18,Condition!$D$18,IF(DK12&gt;Condition!$E$19,Condition!$D$19,"")))))</f>
        <v>0</v>
      </c>
      <c r="DL55" s="85">
        <f>IF(DL12&lt;=Condition!$E$16,0,IF(DL12&lt;=Condition!$F$16,Condition!$D$16,IF(DL12&lt;=Condition!$F$17,Condition!$D$17,IF(DL12&lt;=Condition!$F$18,Condition!$D$18,IF(DL12&gt;Condition!$E$19,Condition!$D$19,"")))))</f>
        <v>0</v>
      </c>
      <c r="DM55" s="85">
        <f>IF(DM12&lt;=Condition!$E$16,0,IF(DM12&lt;=Condition!$F$16,Condition!$D$16,IF(DM12&lt;=Condition!$F$17,Condition!$D$17,IF(DM12&lt;=Condition!$F$18,Condition!$D$18,IF(DM12&gt;Condition!$E$19,Condition!$D$19,"")))))</f>
        <v>0</v>
      </c>
      <c r="DN55" s="85">
        <f>IF(DN12&lt;=Condition!$E$16,0,IF(DN12&lt;=Condition!$F$16,Condition!$D$16,IF(DN12&lt;=Condition!$F$17,Condition!$D$17,IF(DN12&lt;=Condition!$F$18,Condition!$D$18,IF(DN12&gt;Condition!$E$19,Condition!$D$19,"")))))</f>
        <v>0</v>
      </c>
      <c r="DO55" s="85">
        <f>IF(DO12&lt;=Condition!$E$16,0,IF(DO12&lt;=Condition!$F$16,Condition!$D$16,IF(DO12&lt;=Condition!$F$17,Condition!$D$17,IF(DO12&lt;=Condition!$F$18,Condition!$D$18,IF(DO12&gt;Condition!$E$19,Condition!$D$19,"")))))</f>
        <v>0</v>
      </c>
      <c r="DP55" s="85">
        <f>IF(DP12&lt;=Condition!$E$16,0,IF(DP12&lt;=Condition!$F$16,Condition!$D$16,IF(DP12&lt;=Condition!$F$17,Condition!$D$17,IF(DP12&lt;=Condition!$F$18,Condition!$D$18,IF(DP12&gt;Condition!$E$19,Condition!$D$19,"")))))</f>
        <v>0</v>
      </c>
      <c r="DQ55" s="85">
        <f>IF(DQ12&lt;=Condition!$E$16,0,IF(DQ12&lt;=Condition!$F$16,Condition!$D$16,IF(DQ12&lt;=Condition!$F$17,Condition!$D$17,IF(DQ12&lt;=Condition!$F$18,Condition!$D$18,IF(DQ12&gt;Condition!$E$19,Condition!$D$19,"")))))</f>
        <v>0</v>
      </c>
      <c r="DR55" s="85">
        <f>IF(DR12&lt;=Condition!$E$16,0,IF(DR12&lt;=Condition!$F$16,Condition!$D$16,IF(DR12&lt;=Condition!$F$17,Condition!$D$17,IF(DR12&lt;=Condition!$F$18,Condition!$D$18,IF(DR12&gt;Condition!$E$19,Condition!$D$19,"")))))</f>
        <v>0</v>
      </c>
      <c r="DS55" s="85">
        <f>IF(DS12&lt;=Condition!$E$16,0,IF(DS12&lt;=Condition!$F$16,Condition!$D$16,IF(DS12&lt;=Condition!$F$17,Condition!$D$17,IF(DS12&lt;=Condition!$F$18,Condition!$D$18,IF(DS12&gt;Condition!$E$19,Condition!$D$19,"")))))</f>
        <v>0</v>
      </c>
      <c r="DT55" s="85">
        <f>IF(DT12&lt;=Condition!$E$16,0,IF(DT12&lt;=Condition!$F$16,Condition!$D$16,IF(DT12&lt;=Condition!$F$17,Condition!$D$17,IF(DT12&lt;=Condition!$F$18,Condition!$D$18,IF(DT12&gt;Condition!$E$19,Condition!$D$19,"")))))</f>
        <v>0</v>
      </c>
      <c r="DU55" s="85">
        <f>IF(DU12&lt;=Condition!$E$16,0,IF(DU12&lt;=Condition!$F$16,Condition!$D$16,IF(DU12&lt;=Condition!$F$17,Condition!$D$17,IF(DU12&lt;=Condition!$F$18,Condition!$D$18,IF(DU12&gt;Condition!$E$19,Condition!$D$19,"")))))</f>
        <v>0</v>
      </c>
      <c r="DV55" s="85">
        <f>IF(DV12&lt;=Condition!$E$16,0,IF(DV12&lt;=Condition!$F$16,Condition!$D$16,IF(DV12&lt;=Condition!$F$17,Condition!$D$17,IF(DV12&lt;=Condition!$F$18,Condition!$D$18,IF(DV12&gt;Condition!$E$19,Condition!$D$19,"")))))</f>
        <v>0</v>
      </c>
      <c r="DW55" s="85">
        <f>IF(DW12&lt;=Condition!$E$16,0,IF(DW12&lt;=Condition!$F$16,Condition!$D$16,IF(DW12&lt;=Condition!$F$17,Condition!$D$17,IF(DW12&lt;=Condition!$F$18,Condition!$D$18,IF(DW12&gt;Condition!$E$19,Condition!$D$19,"")))))</f>
        <v>0</v>
      </c>
      <c r="DX55" s="85">
        <f>IF(DX12&lt;=Condition!$E$16,0,IF(DX12&lt;=Condition!$F$16,Condition!$D$16,IF(DX12&lt;=Condition!$F$17,Condition!$D$17,IF(DX12&lt;=Condition!$F$18,Condition!$D$18,IF(DX12&gt;Condition!$E$19,Condition!$D$19,"")))))</f>
        <v>0</v>
      </c>
      <c r="DY55" s="85">
        <f>IF(DY12&lt;=Condition!$E$16,0,IF(DY12&lt;=Condition!$F$16,Condition!$D$16,IF(DY12&lt;=Condition!$F$17,Condition!$D$17,IF(DY12&lt;=Condition!$F$18,Condition!$D$18,IF(DY12&gt;Condition!$E$19,Condition!$D$19,"")))))</f>
        <v>0</v>
      </c>
      <c r="DZ55" s="85">
        <f>IF(DZ12&lt;=Condition!$E$16,0,IF(DZ12&lt;=Condition!$F$16,Condition!$D$16,IF(DZ12&lt;=Condition!$F$17,Condition!$D$17,IF(DZ12&lt;=Condition!$F$18,Condition!$D$18,IF(DZ12&gt;Condition!$E$19,Condition!$D$19,"")))))</f>
        <v>0</v>
      </c>
      <c r="EA55" s="85">
        <f>IF(EA12&lt;=Condition!$E$16,0,IF(EA12&lt;=Condition!$F$16,Condition!$D$16,IF(EA12&lt;=Condition!$F$17,Condition!$D$17,IF(EA12&lt;=Condition!$F$18,Condition!$D$18,IF(EA12&gt;Condition!$E$19,Condition!$D$19,"")))))</f>
        <v>0</v>
      </c>
      <c r="EB55" s="85">
        <f>IF(EB12&lt;=Condition!$E$16,0,IF(EB12&lt;=Condition!$F$16,Condition!$D$16,IF(EB12&lt;=Condition!$F$17,Condition!$D$17,IF(EB12&lt;=Condition!$F$18,Condition!$D$18,IF(EB12&gt;Condition!$E$19,Condition!$D$19,"")))))</f>
        <v>0</v>
      </c>
      <c r="EC55" s="85">
        <f>IF(EC12&lt;=Condition!$E$16,0,IF(EC12&lt;=Condition!$F$16,Condition!$D$16,IF(EC12&lt;=Condition!$F$17,Condition!$D$17,IF(EC12&lt;=Condition!$F$18,Condition!$D$18,IF(EC12&gt;Condition!$E$19,Condition!$D$19,"")))))</f>
        <v>0</v>
      </c>
      <c r="ED55" s="85">
        <f>IF(ED12&lt;=Condition!$E$16,0,IF(ED12&lt;=Condition!$F$16,Condition!$D$16,IF(ED12&lt;=Condition!$F$17,Condition!$D$17,IF(ED12&lt;=Condition!$F$18,Condition!$D$18,IF(ED12&gt;Condition!$E$19,Condition!$D$19,"")))))</f>
        <v>0</v>
      </c>
      <c r="EE55" s="85">
        <f>IF(EE12&lt;=Condition!$E$16,0,IF(EE12&lt;=Condition!$F$16,Condition!$D$16,IF(EE12&lt;=Condition!$F$17,Condition!$D$17,IF(EE12&lt;=Condition!$F$18,Condition!$D$18,IF(EE12&gt;Condition!$E$19,Condition!$D$19,"")))))</f>
        <v>0</v>
      </c>
      <c r="EF55" s="85">
        <f>IF(EF12&lt;=Condition!$E$16,0,IF(EF12&lt;=Condition!$F$16,Condition!$D$16,IF(EF12&lt;=Condition!$F$17,Condition!$D$17,IF(EF12&lt;=Condition!$F$18,Condition!$D$18,IF(EF12&gt;Condition!$E$19,Condition!$D$19,"")))))</f>
        <v>0</v>
      </c>
      <c r="EG55" s="85">
        <f>IF(EG12&lt;=Condition!$E$16,0,IF(EG12&lt;=Condition!$F$16,Condition!$D$16,IF(EG12&lt;=Condition!$F$17,Condition!$D$17,IF(EG12&lt;=Condition!$F$18,Condition!$D$18,IF(EG12&gt;Condition!$E$19,Condition!$D$19,"")))))</f>
        <v>0</v>
      </c>
      <c r="EH55" s="85">
        <f>IF(EH12&lt;=Condition!$E$16,0,IF(EH12&lt;=Condition!$F$16,Condition!$D$16,IF(EH12&lt;=Condition!$F$17,Condition!$D$17,IF(EH12&lt;=Condition!$F$18,Condition!$D$18,IF(EH12&gt;Condition!$E$19,Condition!$D$19,"")))))</f>
        <v>0</v>
      </c>
      <c r="EI55" s="85">
        <f>IF(EI12&lt;=Condition!$E$16,0,IF(EI12&lt;=Condition!$F$16,Condition!$D$16,IF(EI12&lt;=Condition!$F$17,Condition!$D$17,IF(EI12&lt;=Condition!$F$18,Condition!$D$18,IF(EI12&gt;Condition!$E$19,Condition!$D$19,"")))))</f>
        <v>0</v>
      </c>
      <c r="EJ55" s="85">
        <f>IF(EJ12&lt;=Condition!$E$16,0,IF(EJ12&lt;=Condition!$F$16,Condition!$D$16,IF(EJ12&lt;=Condition!$F$17,Condition!$D$17,IF(EJ12&lt;=Condition!$F$18,Condition!$D$18,IF(EJ12&gt;Condition!$E$19,Condition!$D$19,"")))))</f>
        <v>0</v>
      </c>
      <c r="EK55" s="85">
        <f>IF(EK12&lt;=Condition!$E$16,0,IF(EK12&lt;=Condition!$F$16,Condition!$D$16,IF(EK12&lt;=Condition!$F$17,Condition!$D$17,IF(EK12&lt;=Condition!$F$18,Condition!$D$18,IF(EK12&gt;Condition!$E$19,Condition!$D$19,"")))))</f>
        <v>0</v>
      </c>
      <c r="EL55" s="85">
        <f>IF(EL12&lt;=Condition!$E$16,0,IF(EL12&lt;=Condition!$F$16,Condition!$D$16,IF(EL12&lt;=Condition!$F$17,Condition!$D$17,IF(EL12&lt;=Condition!$F$18,Condition!$D$18,IF(EL12&gt;Condition!$E$19,Condition!$D$19,"")))))</f>
        <v>0</v>
      </c>
      <c r="EM55" s="85">
        <f>IF(EM12&lt;=Condition!$E$16,0,IF(EM12&lt;=Condition!$F$16,Condition!$D$16,IF(EM12&lt;=Condition!$F$17,Condition!$D$17,IF(EM12&lt;=Condition!$F$18,Condition!$D$18,IF(EM12&gt;Condition!$E$19,Condition!$D$19,"")))))</f>
        <v>0</v>
      </c>
      <c r="EN55" s="85">
        <f>IF(EN12&lt;=Condition!$E$16,0,IF(EN12&lt;=Condition!$F$16,Condition!$D$16,IF(EN12&lt;=Condition!$F$17,Condition!$D$17,IF(EN12&lt;=Condition!$F$18,Condition!$D$18,IF(EN12&gt;Condition!$E$19,Condition!$D$19,"")))))</f>
        <v>0</v>
      </c>
      <c r="EO55" s="85">
        <f>IF(EO12&lt;=Condition!$E$16,0,IF(EO12&lt;=Condition!$F$16,Condition!$D$16,IF(EO12&lt;=Condition!$F$17,Condition!$D$17,IF(EO12&lt;=Condition!$F$18,Condition!$D$18,IF(EO12&gt;Condition!$E$19,Condition!$D$19,"")))))</f>
        <v>0</v>
      </c>
      <c r="EP55" s="85">
        <f>IF(EP12&lt;=Condition!$E$16,0,IF(EP12&lt;=Condition!$F$16,Condition!$D$16,IF(EP12&lt;=Condition!$F$17,Condition!$D$17,IF(EP12&lt;=Condition!$F$18,Condition!$D$18,IF(EP12&gt;Condition!$E$19,Condition!$D$19,"")))))</f>
        <v>0</v>
      </c>
      <c r="EQ55" s="85">
        <f>IF(EQ12&lt;=Condition!$E$16,0,IF(EQ12&lt;=Condition!$F$16,Condition!$D$16,IF(EQ12&lt;=Condition!$F$17,Condition!$D$17,IF(EQ12&lt;=Condition!$F$18,Condition!$D$18,IF(EQ12&gt;Condition!$E$19,Condition!$D$19,"")))))</f>
        <v>0</v>
      </c>
      <c r="ER55" s="85">
        <f>IF(ER12&lt;=Condition!$E$16,0,IF(ER12&lt;=Condition!$F$16,Condition!$D$16,IF(ER12&lt;=Condition!$F$17,Condition!$D$17,IF(ER12&lt;=Condition!$F$18,Condition!$D$18,IF(ER12&gt;Condition!$E$19,Condition!$D$19,"")))))</f>
        <v>0</v>
      </c>
      <c r="ES55" s="85">
        <f>IF(ES12&lt;=Condition!$E$16,0,IF(ES12&lt;=Condition!$F$16,Condition!$D$16,IF(ES12&lt;=Condition!$F$17,Condition!$D$17,IF(ES12&lt;=Condition!$F$18,Condition!$D$18,IF(ES12&gt;Condition!$E$19,Condition!$D$19,"")))))</f>
        <v>0</v>
      </c>
      <c r="ET55" s="85">
        <f>IF(ET12&lt;=Condition!$E$16,0,IF(ET12&lt;=Condition!$F$16,Condition!$D$16,IF(ET12&lt;=Condition!$F$17,Condition!$D$17,IF(ET12&lt;=Condition!$F$18,Condition!$D$18,IF(ET12&gt;Condition!$E$19,Condition!$D$19,"")))))</f>
        <v>0</v>
      </c>
      <c r="EU55" s="85">
        <f>IF(EU12&lt;=Condition!$E$16,0,IF(EU12&lt;=Condition!$F$16,Condition!$D$16,IF(EU12&lt;=Condition!$F$17,Condition!$D$17,IF(EU12&lt;=Condition!$F$18,Condition!$D$18,IF(EU12&gt;Condition!$E$19,Condition!$D$19,"")))))</f>
        <v>0</v>
      </c>
      <c r="EV55" s="85">
        <f>IF(EV12&lt;=Condition!$E$16,0,IF(EV12&lt;=Condition!$F$16,Condition!$D$16,IF(EV12&lt;=Condition!$F$17,Condition!$D$17,IF(EV12&lt;=Condition!$F$18,Condition!$D$18,IF(EV12&gt;Condition!$E$19,Condition!$D$19,"")))))</f>
        <v>0</v>
      </c>
      <c r="EW55" s="85">
        <f>IF(EW12&lt;=Condition!$E$16,0,IF(EW12&lt;=Condition!$F$16,Condition!$D$16,IF(EW12&lt;=Condition!$F$17,Condition!$D$17,IF(EW12&lt;=Condition!$F$18,Condition!$D$18,IF(EW12&gt;Condition!$E$19,Condition!$D$19,"")))))</f>
        <v>0</v>
      </c>
      <c r="EX55" s="85">
        <f>IF(EX12&lt;=Condition!$E$16,0,IF(EX12&lt;=Condition!$F$16,Condition!$D$16,IF(EX12&lt;=Condition!$F$17,Condition!$D$17,IF(EX12&lt;=Condition!$F$18,Condition!$D$18,IF(EX12&gt;Condition!$E$19,Condition!$D$19,"")))))</f>
        <v>0</v>
      </c>
      <c r="EY55" s="85">
        <f>IF(EY12&lt;=Condition!$E$16,0,IF(EY12&lt;=Condition!$F$16,Condition!$D$16,IF(EY12&lt;=Condition!$F$17,Condition!$D$17,IF(EY12&lt;=Condition!$F$18,Condition!$D$18,IF(EY12&gt;Condition!$E$19,Condition!$D$19,"")))))</f>
        <v>0</v>
      </c>
      <c r="EZ55" s="85">
        <f>IF(EZ12&lt;=Condition!$E$16,0,IF(EZ12&lt;=Condition!$F$16,Condition!$D$16,IF(EZ12&lt;=Condition!$F$17,Condition!$D$17,IF(EZ12&lt;=Condition!$F$18,Condition!$D$18,IF(EZ12&gt;Condition!$E$19,Condition!$D$19,"")))))</f>
        <v>0</v>
      </c>
      <c r="FA55" s="85">
        <f>IF(FA12&lt;=Condition!$E$16,0,IF(FA12&lt;=Condition!$F$16,Condition!$D$16,IF(FA12&lt;=Condition!$F$17,Condition!$D$17,IF(FA12&lt;=Condition!$F$18,Condition!$D$18,IF(FA12&gt;Condition!$E$19,Condition!$D$19,"")))))</f>
        <v>0</v>
      </c>
      <c r="FB55" s="85">
        <f>IF(FB12&lt;=Condition!$E$16,0,IF(FB12&lt;=Condition!$F$16,Condition!$D$16,IF(FB12&lt;=Condition!$F$17,Condition!$D$17,IF(FB12&lt;=Condition!$F$18,Condition!$D$18,IF(FB12&gt;Condition!$E$19,Condition!$D$19,"")))))</f>
        <v>0</v>
      </c>
      <c r="FC55" s="85">
        <f>IF(FC12&lt;=Condition!$E$16,0,IF(FC12&lt;=Condition!$F$16,Condition!$D$16,IF(FC12&lt;=Condition!$F$17,Condition!$D$17,IF(FC12&lt;=Condition!$F$18,Condition!$D$18,IF(FC12&gt;Condition!$E$19,Condition!$D$19,"")))))</f>
        <v>0</v>
      </c>
      <c r="FD55" s="85">
        <f>IF(FD12&lt;=Condition!$E$16,0,IF(FD12&lt;=Condition!$F$16,Condition!$D$16,IF(FD12&lt;=Condition!$F$17,Condition!$D$17,IF(FD12&lt;=Condition!$F$18,Condition!$D$18,IF(FD12&gt;Condition!$E$19,Condition!$D$19,"")))))</f>
        <v>0</v>
      </c>
      <c r="FE55" s="85">
        <f>IF(FE12&lt;=Condition!$E$16,0,IF(FE12&lt;=Condition!$F$16,Condition!$D$16,IF(FE12&lt;=Condition!$F$17,Condition!$D$17,IF(FE12&lt;=Condition!$F$18,Condition!$D$18,IF(FE12&gt;Condition!$E$19,Condition!$D$19,"")))))</f>
        <v>0</v>
      </c>
      <c r="FF55" s="85">
        <f>IF(FF12&lt;=Condition!$E$16,0,IF(FF12&lt;=Condition!$F$16,Condition!$D$16,IF(FF12&lt;=Condition!$F$17,Condition!$D$17,IF(FF12&lt;=Condition!$F$18,Condition!$D$18,IF(FF12&gt;Condition!$E$19,Condition!$D$19,"")))))</f>
        <v>0</v>
      </c>
      <c r="FG55" s="85">
        <f>IF(FG12&lt;=Condition!$E$16,0,IF(FG12&lt;=Condition!$F$16,Condition!$D$16,IF(FG12&lt;=Condition!$F$17,Condition!$D$17,IF(FG12&lt;=Condition!$F$18,Condition!$D$18,IF(FG12&gt;Condition!$E$19,Condition!$D$19,"")))))</f>
        <v>0</v>
      </c>
      <c r="FH55" s="85">
        <f>IF(FH12&lt;=Condition!$E$16,0,IF(FH12&lt;=Condition!$F$16,Condition!$D$16,IF(FH12&lt;=Condition!$F$17,Condition!$D$17,IF(FH12&lt;=Condition!$F$18,Condition!$D$18,IF(FH12&gt;Condition!$E$19,Condition!$D$19,"")))))</f>
        <v>0</v>
      </c>
      <c r="FI55" s="85">
        <f>IF(FI12&lt;=Condition!$E$16,0,IF(FI12&lt;=Condition!$F$16,Condition!$D$16,IF(FI12&lt;=Condition!$F$17,Condition!$D$17,IF(FI12&lt;=Condition!$F$18,Condition!$D$18,IF(FI12&gt;Condition!$E$19,Condition!$D$19,"")))))</f>
        <v>0</v>
      </c>
      <c r="FJ55" s="85">
        <f>IF(FJ12&lt;=Condition!$E$16,0,IF(FJ12&lt;=Condition!$F$16,Condition!$D$16,IF(FJ12&lt;=Condition!$F$17,Condition!$D$17,IF(FJ12&lt;=Condition!$F$18,Condition!$D$18,IF(FJ12&gt;Condition!$E$19,Condition!$D$19,"")))))</f>
        <v>0</v>
      </c>
      <c r="FK55" s="85">
        <f>IF(FK12&lt;=Condition!$E$16,0,IF(FK12&lt;=Condition!$F$16,Condition!$D$16,IF(FK12&lt;=Condition!$F$17,Condition!$D$17,IF(FK12&lt;=Condition!$F$18,Condition!$D$18,IF(FK12&gt;Condition!$E$19,Condition!$D$19,"")))))</f>
        <v>0</v>
      </c>
      <c r="FL55" s="85">
        <f>IF(FL12&lt;=Condition!$E$16,0,IF(FL12&lt;=Condition!$F$16,Condition!$D$16,IF(FL12&lt;=Condition!$F$17,Condition!$D$17,IF(FL12&lt;=Condition!$F$18,Condition!$D$18,IF(FL12&gt;Condition!$E$19,Condition!$D$19,"")))))</f>
        <v>0</v>
      </c>
      <c r="FM55" s="85">
        <f>IF(FM12&lt;=Condition!$E$16,0,IF(FM12&lt;=Condition!$F$16,Condition!$D$16,IF(FM12&lt;=Condition!$F$17,Condition!$D$17,IF(FM12&lt;=Condition!$F$18,Condition!$D$18,IF(FM12&gt;Condition!$E$19,Condition!$D$19,"")))))</f>
        <v>0</v>
      </c>
      <c r="FN55" s="85">
        <f>IF(FN12&lt;=Condition!$E$16,0,IF(FN12&lt;=Condition!$F$16,Condition!$D$16,IF(FN12&lt;=Condition!$F$17,Condition!$D$17,IF(FN12&lt;=Condition!$F$18,Condition!$D$18,IF(FN12&gt;Condition!$E$19,Condition!$D$19,"")))))</f>
        <v>0</v>
      </c>
      <c r="FO55" s="85">
        <f>IF(FO12&lt;=Condition!$E$16,0,IF(FO12&lt;=Condition!$F$16,Condition!$D$16,IF(FO12&lt;=Condition!$F$17,Condition!$D$17,IF(FO12&lt;=Condition!$F$18,Condition!$D$18,IF(FO12&gt;Condition!$E$19,Condition!$D$19,"")))))</f>
        <v>0</v>
      </c>
      <c r="FP55" s="85">
        <f>IF(FP12&lt;=Condition!$E$16,0,IF(FP12&lt;=Condition!$F$16,Condition!$D$16,IF(FP12&lt;=Condition!$F$17,Condition!$D$17,IF(FP12&lt;=Condition!$F$18,Condition!$D$18,IF(FP12&gt;Condition!$E$19,Condition!$D$19,"")))))</f>
        <v>0</v>
      </c>
      <c r="FQ55" s="85">
        <f>IF(FQ12&lt;=Condition!$E$16,0,IF(FQ12&lt;=Condition!$F$16,Condition!$D$16,IF(FQ12&lt;=Condition!$F$17,Condition!$D$17,IF(FQ12&lt;=Condition!$F$18,Condition!$D$18,IF(FQ12&gt;Condition!$E$19,Condition!$D$19,"")))))</f>
        <v>0</v>
      </c>
      <c r="FR55" s="85">
        <f>IF(FR12&lt;=Condition!$E$16,0,IF(FR12&lt;=Condition!$F$16,Condition!$D$16,IF(FR12&lt;=Condition!$F$17,Condition!$D$17,IF(FR12&lt;=Condition!$F$18,Condition!$D$18,IF(FR12&gt;Condition!$E$19,Condition!$D$19,"")))))</f>
        <v>0</v>
      </c>
      <c r="FS55" s="85">
        <f>IF(FS12&lt;=Condition!$E$16,0,IF(FS12&lt;=Condition!$F$16,Condition!$D$16,IF(FS12&lt;=Condition!$F$17,Condition!$D$17,IF(FS12&lt;=Condition!$F$18,Condition!$D$18,IF(FS12&gt;Condition!$E$19,Condition!$D$19,"")))))</f>
        <v>0</v>
      </c>
      <c r="FT55" s="85">
        <f>IF(FT12&lt;=Condition!$E$16,0,IF(FT12&lt;=Condition!$F$16,Condition!$D$16,IF(FT12&lt;=Condition!$F$17,Condition!$D$17,IF(FT12&lt;=Condition!$F$18,Condition!$D$18,IF(FT12&gt;Condition!$E$19,Condition!$D$19,"")))))</f>
        <v>0</v>
      </c>
      <c r="FU55" s="85">
        <f>IF(FU12&lt;=Condition!$E$16,0,IF(FU12&lt;=Condition!$F$16,Condition!$D$16,IF(FU12&lt;=Condition!$F$17,Condition!$D$17,IF(FU12&lt;=Condition!$F$18,Condition!$D$18,IF(FU12&gt;Condition!$E$19,Condition!$D$19,"")))))</f>
        <v>0</v>
      </c>
      <c r="FV55" s="85">
        <f>IF(FV12&lt;=Condition!$E$16,0,IF(FV12&lt;=Condition!$F$16,Condition!$D$16,IF(FV12&lt;=Condition!$F$17,Condition!$D$17,IF(FV12&lt;=Condition!$F$18,Condition!$D$18,IF(FV12&gt;Condition!$E$19,Condition!$D$19,"")))))</f>
        <v>0</v>
      </c>
      <c r="FW55" s="85">
        <f>IF(FW12&lt;=Condition!$E$16,0,IF(FW12&lt;=Condition!$F$16,Condition!$D$16,IF(FW12&lt;=Condition!$F$17,Condition!$D$17,IF(FW12&lt;=Condition!$F$18,Condition!$D$18,IF(FW12&gt;Condition!$E$19,Condition!$D$19,"")))))</f>
        <v>0</v>
      </c>
      <c r="FX55" s="85">
        <f>IF(FX12&lt;=Condition!$E$16,0,IF(FX12&lt;=Condition!$F$16,Condition!$D$16,IF(FX12&lt;=Condition!$F$17,Condition!$D$17,IF(FX12&lt;=Condition!$F$18,Condition!$D$18,IF(FX12&gt;Condition!$E$19,Condition!$D$19,"")))))</f>
        <v>0</v>
      </c>
      <c r="FY55" s="85">
        <f>IF(FY12&lt;=Condition!$E$16,0,IF(FY12&lt;=Condition!$F$16,Condition!$D$16,IF(FY12&lt;=Condition!$F$17,Condition!$D$17,IF(FY12&lt;=Condition!$F$18,Condition!$D$18,IF(FY12&gt;Condition!$E$19,Condition!$D$19,"")))))</f>
        <v>0</v>
      </c>
      <c r="FZ55" s="85">
        <f>IF(FZ12&lt;=Condition!$E$16,0,IF(FZ12&lt;=Condition!$F$16,Condition!$D$16,IF(FZ12&lt;=Condition!$F$17,Condition!$D$17,IF(FZ12&lt;=Condition!$F$18,Condition!$D$18,IF(FZ12&gt;Condition!$E$19,Condition!$D$19,"")))))</f>
        <v>0</v>
      </c>
      <c r="GA55" s="85">
        <f>IF(GA12&lt;=Condition!$E$16,0,IF(GA12&lt;=Condition!$F$16,Condition!$D$16,IF(GA12&lt;=Condition!$F$17,Condition!$D$17,IF(GA12&lt;=Condition!$F$18,Condition!$D$18,IF(GA12&gt;Condition!$E$19,Condition!$D$19,"")))))</f>
        <v>0</v>
      </c>
      <c r="GB55" s="85">
        <f>IF(GB12&lt;=Condition!$E$16,0,IF(GB12&lt;=Condition!$F$16,Condition!$D$16,IF(GB12&lt;=Condition!$F$17,Condition!$D$17,IF(GB12&lt;=Condition!$F$18,Condition!$D$18,IF(GB12&gt;Condition!$E$19,Condition!$D$19,"")))))</f>
        <v>0</v>
      </c>
      <c r="GC55" s="85">
        <f>IF(GC12&lt;=Condition!$E$16,0,IF(GC12&lt;=Condition!$F$16,Condition!$D$16,IF(GC12&lt;=Condition!$F$17,Condition!$D$17,IF(GC12&lt;=Condition!$F$18,Condition!$D$18,IF(GC12&gt;Condition!$E$19,Condition!$D$19,"")))))</f>
        <v>0</v>
      </c>
      <c r="GD55" s="85">
        <f>IF(GD12&lt;=Condition!$E$16,0,IF(GD12&lt;=Condition!$F$16,Condition!$D$16,IF(GD12&lt;=Condition!$F$17,Condition!$D$17,IF(GD12&lt;=Condition!$F$18,Condition!$D$18,IF(GD12&gt;Condition!$E$19,Condition!$D$19,"")))))</f>
        <v>0</v>
      </c>
      <c r="GE55" s="85">
        <f>IF(GE12&lt;=Condition!$E$16,0,IF(GE12&lt;=Condition!$F$16,Condition!$D$16,IF(GE12&lt;=Condition!$F$17,Condition!$D$17,IF(GE12&lt;=Condition!$F$18,Condition!$D$18,IF(GE12&gt;Condition!$E$19,Condition!$D$19,"")))))</f>
        <v>0</v>
      </c>
      <c r="GF55" s="85">
        <f>IF(GF12&lt;=Condition!$E$16,0,IF(GF12&lt;=Condition!$F$16,Condition!$D$16,IF(GF12&lt;=Condition!$F$17,Condition!$D$17,IF(GF12&lt;=Condition!$F$18,Condition!$D$18,IF(GF12&gt;Condition!$E$19,Condition!$D$19,"")))))</f>
        <v>0</v>
      </c>
      <c r="GG55" s="85">
        <f>IF(GG12&lt;=Condition!$E$16,0,IF(GG12&lt;=Condition!$F$16,Condition!$D$16,IF(GG12&lt;=Condition!$F$17,Condition!$D$17,IF(GG12&lt;=Condition!$F$18,Condition!$D$18,IF(GG12&gt;Condition!$E$19,Condition!$D$19,"")))))</f>
        <v>0</v>
      </c>
      <c r="GH55" s="85">
        <f>IF(GH12&lt;=Condition!$E$16,0,IF(GH12&lt;=Condition!$F$16,Condition!$D$16,IF(GH12&lt;=Condition!$F$17,Condition!$D$17,IF(GH12&lt;=Condition!$F$18,Condition!$D$18,IF(GH12&gt;Condition!$E$19,Condition!$D$19,"")))))</f>
        <v>0</v>
      </c>
      <c r="GI55" s="85">
        <f>IF(GI12&lt;=Condition!$E$16,0,IF(GI12&lt;=Condition!$F$16,Condition!$D$16,IF(GI12&lt;=Condition!$F$17,Condition!$D$17,IF(GI12&lt;=Condition!$F$18,Condition!$D$18,IF(GI12&gt;Condition!$E$19,Condition!$D$19,"")))))</f>
        <v>0</v>
      </c>
      <c r="GJ55" s="85">
        <f>IF(GJ12&lt;=Condition!$E$16,0,IF(GJ12&lt;=Condition!$F$16,Condition!$D$16,IF(GJ12&lt;=Condition!$F$17,Condition!$D$17,IF(GJ12&lt;=Condition!$F$18,Condition!$D$18,IF(GJ12&gt;Condition!$E$19,Condition!$D$19,"")))))</f>
        <v>0</v>
      </c>
      <c r="GK55" s="85">
        <f>IF(GK12&lt;=Condition!$E$16,0,IF(GK12&lt;=Condition!$F$16,Condition!$D$16,IF(GK12&lt;=Condition!$F$17,Condition!$D$17,IF(GK12&lt;=Condition!$F$18,Condition!$D$18,IF(GK12&gt;Condition!$E$19,Condition!$D$19,"")))))</f>
        <v>0</v>
      </c>
      <c r="GL55" s="85">
        <f>IF(GL12&lt;=Condition!$E$16,0,IF(GL12&lt;=Condition!$F$16,Condition!$D$16,IF(GL12&lt;=Condition!$F$17,Condition!$D$17,IF(GL12&lt;=Condition!$F$18,Condition!$D$18,IF(GL12&gt;Condition!$E$19,Condition!$D$19,"")))))</f>
        <v>0</v>
      </c>
      <c r="GM55" s="85">
        <f>IF(GM12&lt;=Condition!$E$16,0,IF(GM12&lt;=Condition!$F$16,Condition!$D$16,IF(GM12&lt;=Condition!$F$17,Condition!$D$17,IF(GM12&lt;=Condition!$F$18,Condition!$D$18,IF(GM12&gt;Condition!$E$19,Condition!$D$19,"")))))</f>
        <v>0</v>
      </c>
      <c r="GN55" s="85">
        <f>IF(GN12&lt;=Condition!$E$16,0,IF(GN12&lt;=Condition!$F$16,Condition!$D$16,IF(GN12&lt;=Condition!$F$17,Condition!$D$17,IF(GN12&lt;=Condition!$F$18,Condition!$D$18,IF(GN12&gt;Condition!$E$19,Condition!$D$19,"")))))</f>
        <v>0</v>
      </c>
      <c r="GO55" s="85">
        <f>IF(GO12&lt;=Condition!$E$16,0,IF(GO12&lt;=Condition!$F$16,Condition!$D$16,IF(GO12&lt;=Condition!$F$17,Condition!$D$17,IF(GO12&lt;=Condition!$F$18,Condition!$D$18,IF(GO12&gt;Condition!$E$19,Condition!$D$19,"")))))</f>
        <v>0</v>
      </c>
      <c r="GP55" s="85">
        <f>IF(GP12&lt;=Condition!$E$16,0,IF(GP12&lt;=Condition!$F$16,Condition!$D$16,IF(GP12&lt;=Condition!$F$17,Condition!$D$17,IF(GP12&lt;=Condition!$F$18,Condition!$D$18,IF(GP12&gt;Condition!$E$19,Condition!$D$19,"")))))</f>
        <v>0</v>
      </c>
      <c r="GQ55" s="85">
        <f>IF(GQ12&lt;=Condition!$E$16,0,IF(GQ12&lt;=Condition!$F$16,Condition!$D$16,IF(GQ12&lt;=Condition!$F$17,Condition!$D$17,IF(GQ12&lt;=Condition!$F$18,Condition!$D$18,IF(GQ12&gt;Condition!$E$19,Condition!$D$19,"")))))</f>
        <v>0</v>
      </c>
      <c r="GR55" s="85">
        <f>IF(GR12&lt;=Condition!$E$16,0,IF(GR12&lt;=Condition!$F$16,Condition!$D$16,IF(GR12&lt;=Condition!$F$17,Condition!$D$17,IF(GR12&lt;=Condition!$F$18,Condition!$D$18,IF(GR12&gt;Condition!$E$19,Condition!$D$19,"")))))</f>
        <v>0</v>
      </c>
      <c r="GS55" s="85">
        <f>IF(GS12&lt;=Condition!$E$16,0,IF(GS12&lt;=Condition!$F$16,Condition!$D$16,IF(GS12&lt;=Condition!$F$17,Condition!$D$17,IF(GS12&lt;=Condition!$F$18,Condition!$D$18,IF(GS12&gt;Condition!$E$19,Condition!$D$19,"")))))</f>
        <v>0</v>
      </c>
      <c r="GT55" s="85">
        <f>IF(GT12&lt;=Condition!$E$16,0,IF(GT12&lt;=Condition!$F$16,Condition!$D$16,IF(GT12&lt;=Condition!$F$17,Condition!$D$17,IF(GT12&lt;=Condition!$F$18,Condition!$D$18,IF(GT12&gt;Condition!$E$19,Condition!$D$19,"")))))</f>
        <v>0</v>
      </c>
      <c r="GU55" s="85">
        <f>IF(GU12&lt;=Condition!$E$16,0,IF(GU12&lt;=Condition!$F$16,Condition!$D$16,IF(GU12&lt;=Condition!$F$17,Condition!$D$17,IF(GU12&lt;=Condition!$F$18,Condition!$D$18,IF(GU12&gt;Condition!$E$19,Condition!$D$19,"")))))</f>
        <v>0</v>
      </c>
      <c r="GV55" s="85">
        <f>IF(GV12&lt;=Condition!$E$16,0,IF(GV12&lt;=Condition!$F$16,Condition!$D$16,IF(GV12&lt;=Condition!$F$17,Condition!$D$17,IF(GV12&lt;=Condition!$F$18,Condition!$D$18,IF(GV12&gt;Condition!$E$19,Condition!$D$19,"")))))</f>
        <v>0</v>
      </c>
      <c r="GW55" s="85">
        <f>IF(GW12&lt;=Condition!$E$16,0,IF(GW12&lt;=Condition!$F$16,Condition!$D$16,IF(GW12&lt;=Condition!$F$17,Condition!$D$17,IF(GW12&lt;=Condition!$F$18,Condition!$D$18,IF(GW12&gt;Condition!$E$19,Condition!$D$19,"")))))</f>
        <v>0</v>
      </c>
      <c r="GX55" s="85">
        <f>IF(GX12&lt;=Condition!$E$16,0,IF(GX12&lt;=Condition!$F$16,Condition!$D$16,IF(GX12&lt;=Condition!$F$17,Condition!$D$17,IF(GX12&lt;=Condition!$F$18,Condition!$D$18,IF(GX12&gt;Condition!$E$19,Condition!$D$19,"")))))</f>
        <v>0</v>
      </c>
      <c r="GY55" s="85">
        <f>IF(GY12&lt;=Condition!$E$16,0,IF(GY12&lt;=Condition!$F$16,Condition!$D$16,IF(GY12&lt;=Condition!$F$17,Condition!$D$17,IF(GY12&lt;=Condition!$F$18,Condition!$D$18,IF(GY12&gt;Condition!$E$19,Condition!$D$19,"")))))</f>
        <v>0</v>
      </c>
      <c r="GZ55" s="85">
        <f>IF(GZ12&lt;=Condition!$E$16,0,IF(GZ12&lt;=Condition!$F$16,Condition!$D$16,IF(GZ12&lt;=Condition!$F$17,Condition!$D$17,IF(GZ12&lt;=Condition!$F$18,Condition!$D$18,IF(GZ12&gt;Condition!$E$19,Condition!$D$19,"")))))</f>
        <v>0</v>
      </c>
      <c r="HA55" s="85">
        <f>IF(HA12&lt;=Condition!$E$16,0,IF(HA12&lt;=Condition!$F$16,Condition!$D$16,IF(HA12&lt;=Condition!$F$17,Condition!$D$17,IF(HA12&lt;=Condition!$F$18,Condition!$D$18,IF(HA12&gt;Condition!$E$19,Condition!$D$19,"")))))</f>
        <v>0</v>
      </c>
      <c r="HB55" s="85">
        <f>IF(HB12&lt;=Condition!$E$16,0,IF(HB12&lt;=Condition!$F$16,Condition!$D$16,IF(HB12&lt;=Condition!$F$17,Condition!$D$17,IF(HB12&lt;=Condition!$F$18,Condition!$D$18,IF(HB12&gt;Condition!$E$19,Condition!$D$19,"")))))</f>
        <v>0</v>
      </c>
      <c r="HC55" s="85">
        <f>IF(HC12&lt;=Condition!$E$16,0,IF(HC12&lt;=Condition!$F$16,Condition!$D$16,IF(HC12&lt;=Condition!$F$17,Condition!$D$17,IF(HC12&lt;=Condition!$F$18,Condition!$D$18,IF(HC12&gt;Condition!$E$19,Condition!$D$19,"")))))</f>
        <v>0</v>
      </c>
      <c r="HD55" s="85">
        <f>IF(HD12&lt;=Condition!$E$16,0,IF(HD12&lt;=Condition!$F$16,Condition!$D$16,IF(HD12&lt;=Condition!$F$17,Condition!$D$17,IF(HD12&lt;=Condition!$F$18,Condition!$D$18,IF(HD12&gt;Condition!$E$19,Condition!$D$19,"")))))</f>
        <v>0</v>
      </c>
      <c r="HE55" s="85">
        <f>IF(HE12&lt;=Condition!$E$16,0,IF(HE12&lt;=Condition!$F$16,Condition!$D$16,IF(HE12&lt;=Condition!$F$17,Condition!$D$17,IF(HE12&lt;=Condition!$F$18,Condition!$D$18,IF(HE12&gt;Condition!$E$19,Condition!$D$19,"")))))</f>
        <v>0</v>
      </c>
      <c r="HF55" s="85">
        <f>IF(HF12&lt;=Condition!$E$16,0,IF(HF12&lt;=Condition!$F$16,Condition!$D$16,IF(HF12&lt;=Condition!$F$17,Condition!$D$17,IF(HF12&lt;=Condition!$F$18,Condition!$D$18,IF(HF12&gt;Condition!$E$19,Condition!$D$19,"")))))</f>
        <v>0</v>
      </c>
      <c r="HG55" s="85">
        <f>IF(HG12&lt;=Condition!$E$16,0,IF(HG12&lt;=Condition!$F$16,Condition!$D$16,IF(HG12&lt;=Condition!$F$17,Condition!$D$17,IF(HG12&lt;=Condition!$F$18,Condition!$D$18,IF(HG12&gt;Condition!$E$19,Condition!$D$19,"")))))</f>
        <v>0</v>
      </c>
      <c r="HH55" s="85">
        <f>IF(HH12&lt;=Condition!$E$16,0,IF(HH12&lt;=Condition!$F$16,Condition!$D$16,IF(HH12&lt;=Condition!$F$17,Condition!$D$17,IF(HH12&lt;=Condition!$F$18,Condition!$D$18,IF(HH12&gt;Condition!$E$19,Condition!$D$19,"")))))</f>
        <v>0</v>
      </c>
      <c r="HI55" s="85">
        <f>IF(HI12&lt;=Condition!$E$16,0,IF(HI12&lt;=Condition!$F$16,Condition!$D$16,IF(HI12&lt;=Condition!$F$17,Condition!$D$17,IF(HI12&lt;=Condition!$F$18,Condition!$D$18,IF(HI12&gt;Condition!$E$19,Condition!$D$19,"")))))</f>
        <v>0</v>
      </c>
      <c r="HJ55" s="85">
        <f>IF(HJ12&lt;=Condition!$E$16,0,IF(HJ12&lt;=Condition!$F$16,Condition!$D$16,IF(HJ12&lt;=Condition!$F$17,Condition!$D$17,IF(HJ12&lt;=Condition!$F$18,Condition!$D$18,IF(HJ12&gt;Condition!$E$19,Condition!$D$19,"")))))</f>
        <v>0</v>
      </c>
      <c r="HK55" s="85">
        <f>IF(HK12&lt;=Condition!$E$16,0,IF(HK12&lt;=Condition!$F$16,Condition!$D$16,IF(HK12&lt;=Condition!$F$17,Condition!$D$17,IF(HK12&lt;=Condition!$F$18,Condition!$D$18,IF(HK12&gt;Condition!$E$19,Condition!$D$19,"")))))</f>
        <v>0</v>
      </c>
      <c r="HL55" s="85">
        <f>IF(HL12&lt;=Condition!$E$16,0,IF(HL12&lt;=Condition!$F$16,Condition!$D$16,IF(HL12&lt;=Condition!$F$17,Condition!$D$17,IF(HL12&lt;=Condition!$F$18,Condition!$D$18,IF(HL12&gt;Condition!$E$19,Condition!$D$19,"")))))</f>
        <v>0</v>
      </c>
      <c r="HM55" s="85">
        <f>IF(HM12&lt;=Condition!$E$16,0,IF(HM12&lt;=Condition!$F$16,Condition!$D$16,IF(HM12&lt;=Condition!$F$17,Condition!$D$17,IF(HM12&lt;=Condition!$F$18,Condition!$D$18,IF(HM12&gt;Condition!$E$19,Condition!$D$19,"")))))</f>
        <v>0</v>
      </c>
      <c r="HN55" s="85">
        <f>IF(HN12&lt;=Condition!$E$16,0,IF(HN12&lt;=Condition!$F$16,Condition!$D$16,IF(HN12&lt;=Condition!$F$17,Condition!$D$17,IF(HN12&lt;=Condition!$F$18,Condition!$D$18,IF(HN12&gt;Condition!$E$19,Condition!$D$19,"")))))</f>
        <v>0</v>
      </c>
      <c r="HO55" s="85">
        <f>IF(HO12&lt;=Condition!$E$16,0,IF(HO12&lt;=Condition!$F$16,Condition!$D$16,IF(HO12&lt;=Condition!$F$17,Condition!$D$17,IF(HO12&lt;=Condition!$F$18,Condition!$D$18,IF(HO12&gt;Condition!$E$19,Condition!$D$19,"")))))</f>
        <v>0</v>
      </c>
      <c r="HP55" s="85">
        <f>IF(HP12&lt;=Condition!$E$16,0,IF(HP12&lt;=Condition!$F$16,Condition!$D$16,IF(HP12&lt;=Condition!$F$17,Condition!$D$17,IF(HP12&lt;=Condition!$F$18,Condition!$D$18,IF(HP12&gt;Condition!$E$19,Condition!$D$19,"")))))</f>
        <v>0</v>
      </c>
      <c r="HQ55" s="85">
        <f>IF(HQ12&lt;=Condition!$E$16,0,IF(HQ12&lt;=Condition!$F$16,Condition!$D$16,IF(HQ12&lt;=Condition!$F$17,Condition!$D$17,IF(HQ12&lt;=Condition!$F$18,Condition!$D$18,IF(HQ12&gt;Condition!$E$19,Condition!$D$19,"")))))</f>
        <v>0</v>
      </c>
      <c r="HR55" s="85">
        <f>IF(HR12&lt;=Condition!$E$16,0,IF(HR12&lt;=Condition!$F$16,Condition!$D$16,IF(HR12&lt;=Condition!$F$17,Condition!$D$17,IF(HR12&lt;=Condition!$F$18,Condition!$D$18,IF(HR12&gt;Condition!$E$19,Condition!$D$19,"")))))</f>
        <v>0</v>
      </c>
      <c r="HS55" s="85">
        <f>IF(HS12&lt;=Condition!$E$16,0,IF(HS12&lt;=Condition!$F$16,Condition!$D$16,IF(HS12&lt;=Condition!$F$17,Condition!$D$17,IF(HS12&lt;=Condition!$F$18,Condition!$D$18,IF(HS12&gt;Condition!$E$19,Condition!$D$19,"")))))</f>
        <v>0</v>
      </c>
      <c r="HT55" s="85">
        <f>IF(HT12&lt;=Condition!$E$16,0,IF(HT12&lt;=Condition!$F$16,Condition!$D$16,IF(HT12&lt;=Condition!$F$17,Condition!$D$17,IF(HT12&lt;=Condition!$F$18,Condition!$D$18,IF(HT12&gt;Condition!$E$19,Condition!$D$19,"")))))</f>
        <v>0</v>
      </c>
      <c r="HU55" s="85">
        <f>IF(HU12&lt;=Condition!$E$16,0,IF(HU12&lt;=Condition!$F$16,Condition!$D$16,IF(HU12&lt;=Condition!$F$17,Condition!$D$17,IF(HU12&lt;=Condition!$F$18,Condition!$D$18,IF(HU12&gt;Condition!$E$19,Condition!$D$19,"")))))</f>
        <v>0</v>
      </c>
      <c r="HV55" s="85">
        <f>IF(HV12&lt;=Condition!$E$16,0,IF(HV12&lt;=Condition!$F$16,Condition!$D$16,IF(HV12&lt;=Condition!$F$17,Condition!$D$17,IF(HV12&lt;=Condition!$F$18,Condition!$D$18,IF(HV12&gt;Condition!$E$19,Condition!$D$19,"")))))</f>
        <v>0</v>
      </c>
      <c r="HW55" s="85">
        <f>IF(HW12&lt;=Condition!$E$16,0,IF(HW12&lt;=Condition!$F$16,Condition!$D$16,IF(HW12&lt;=Condition!$F$17,Condition!$D$17,IF(HW12&lt;=Condition!$F$18,Condition!$D$18,IF(HW12&gt;Condition!$E$19,Condition!$D$19,"")))))</f>
        <v>0</v>
      </c>
      <c r="HX55" s="85">
        <f>IF(HX12&lt;=Condition!$E$16,0,IF(HX12&lt;=Condition!$F$16,Condition!$D$16,IF(HX12&lt;=Condition!$F$17,Condition!$D$17,IF(HX12&lt;=Condition!$F$18,Condition!$D$18,IF(HX12&gt;Condition!$E$19,Condition!$D$19,"")))))</f>
        <v>0</v>
      </c>
      <c r="HY55" s="85">
        <f>IF(HY12&lt;=Condition!$E$16,0,IF(HY12&lt;=Condition!$F$16,Condition!$D$16,IF(HY12&lt;=Condition!$F$17,Condition!$D$17,IF(HY12&lt;=Condition!$F$18,Condition!$D$18,IF(HY12&gt;Condition!$E$19,Condition!$D$19,"")))))</f>
        <v>0</v>
      </c>
      <c r="HZ55" s="85">
        <f>IF(HZ12&lt;=Condition!$E$16,0,IF(HZ12&lt;=Condition!$F$16,Condition!$D$16,IF(HZ12&lt;=Condition!$F$17,Condition!$D$17,IF(HZ12&lt;=Condition!$F$18,Condition!$D$18,IF(HZ12&gt;Condition!$E$19,Condition!$D$19,"")))))</f>
        <v>0</v>
      </c>
      <c r="IA55" s="85">
        <f>IF(IA12&lt;=Condition!$E$16,0,IF(IA12&lt;=Condition!$F$16,Condition!$D$16,IF(IA12&lt;=Condition!$F$17,Condition!$D$17,IF(IA12&lt;=Condition!$F$18,Condition!$D$18,IF(IA12&gt;Condition!$E$19,Condition!$D$19,"")))))</f>
        <v>0</v>
      </c>
      <c r="IB55" s="85">
        <f>IF(IB12&lt;=Condition!$E$16,0,IF(IB12&lt;=Condition!$F$16,Condition!$D$16,IF(IB12&lt;=Condition!$F$17,Condition!$D$17,IF(IB12&lt;=Condition!$F$18,Condition!$D$18,IF(IB12&gt;Condition!$E$19,Condition!$D$19,"")))))</f>
        <v>0</v>
      </c>
      <c r="IC55" s="85">
        <f>IF(IC12&lt;=Condition!$E$16,0,IF(IC12&lt;=Condition!$F$16,Condition!$D$16,IF(IC12&lt;=Condition!$F$17,Condition!$D$17,IF(IC12&lt;=Condition!$F$18,Condition!$D$18,IF(IC12&gt;Condition!$E$19,Condition!$D$19,"")))))</f>
        <v>0</v>
      </c>
      <c r="ID55" s="85">
        <f>IF(ID12&lt;=Condition!$E$16,0,IF(ID12&lt;=Condition!$F$16,Condition!$D$16,IF(ID12&lt;=Condition!$F$17,Condition!$D$17,IF(ID12&lt;=Condition!$F$18,Condition!$D$18,IF(ID12&gt;Condition!$E$19,Condition!$D$19,"")))))</f>
        <v>0</v>
      </c>
      <c r="IE55" s="85">
        <f>IF(IE12&lt;=Condition!$E$16,0,IF(IE12&lt;=Condition!$F$16,Condition!$D$16,IF(IE12&lt;=Condition!$F$17,Condition!$D$17,IF(IE12&lt;=Condition!$F$18,Condition!$D$18,IF(IE12&gt;Condition!$E$19,Condition!$D$19,"")))))</f>
        <v>0</v>
      </c>
      <c r="IF55" s="85">
        <f>IF(IF12&lt;=Condition!$E$16,0,IF(IF12&lt;=Condition!$F$16,Condition!$D$16,IF(IF12&lt;=Condition!$F$17,Condition!$D$17,IF(IF12&lt;=Condition!$F$18,Condition!$D$18,IF(IF12&gt;Condition!$E$19,Condition!$D$19,"")))))</f>
        <v>0</v>
      </c>
      <c r="IG55" s="85">
        <f>IF(IG12&lt;=Condition!$E$16,0,IF(IG12&lt;=Condition!$F$16,Condition!$D$16,IF(IG12&lt;=Condition!$F$17,Condition!$D$17,IF(IG12&lt;=Condition!$F$18,Condition!$D$18,IF(IG12&gt;Condition!$E$19,Condition!$D$19,"")))))</f>
        <v>0</v>
      </c>
      <c r="IH55" s="85">
        <f>IF(IH12&lt;=Condition!$E$16,0,IF(IH12&lt;=Condition!$F$16,Condition!$D$16,IF(IH12&lt;=Condition!$F$17,Condition!$D$17,IF(IH12&lt;=Condition!$F$18,Condition!$D$18,IF(IH12&gt;Condition!$E$19,Condition!$D$19,"")))))</f>
        <v>0</v>
      </c>
      <c r="II55" s="85">
        <f>IF(II12&lt;=Condition!$E$16,0,IF(II12&lt;=Condition!$F$16,Condition!$D$16,IF(II12&lt;=Condition!$F$17,Condition!$D$17,IF(II12&lt;=Condition!$F$18,Condition!$D$18,IF(II12&gt;Condition!$E$19,Condition!$D$19,"")))))</f>
        <v>0</v>
      </c>
      <c r="IJ55" s="85">
        <f>IF(IJ12&lt;=Condition!$E$16,0,IF(IJ12&lt;=Condition!$F$16,Condition!$D$16,IF(IJ12&lt;=Condition!$F$17,Condition!$D$17,IF(IJ12&lt;=Condition!$F$18,Condition!$D$18,IF(IJ12&gt;Condition!$E$19,Condition!$D$19,"")))))</f>
        <v>0</v>
      </c>
      <c r="IK55" s="85">
        <f>IF(IK12&lt;=Condition!$E$16,0,IF(IK12&lt;=Condition!$F$16,Condition!$D$16,IF(IK12&lt;=Condition!$F$17,Condition!$D$17,IF(IK12&lt;=Condition!$F$18,Condition!$D$18,IF(IK12&gt;Condition!$E$19,Condition!$D$19,"")))))</f>
        <v>0</v>
      </c>
      <c r="IL55" s="85">
        <f>IF(IL12&lt;=Condition!$E$16,0,IF(IL12&lt;=Condition!$F$16,Condition!$D$16,IF(IL12&lt;=Condition!$F$17,Condition!$D$17,IF(IL12&lt;=Condition!$F$18,Condition!$D$18,IF(IL12&gt;Condition!$E$19,Condition!$D$19,"")))))</f>
        <v>0</v>
      </c>
      <c r="IM55" s="85">
        <f>IF(IM12&lt;=Condition!$E$16,0,IF(IM12&lt;=Condition!$F$16,Condition!$D$16,IF(IM12&lt;=Condition!$F$17,Condition!$D$17,IF(IM12&lt;=Condition!$F$18,Condition!$D$18,IF(IM12&gt;Condition!$E$19,Condition!$D$19,"")))))</f>
        <v>0</v>
      </c>
      <c r="IN55" s="85">
        <f>IF(IN12&lt;=Condition!$E$16,0,IF(IN12&lt;=Condition!$F$16,Condition!$D$16,IF(IN12&lt;=Condition!$F$17,Condition!$D$17,IF(IN12&lt;=Condition!$F$18,Condition!$D$18,IF(IN12&gt;Condition!$E$19,Condition!$D$19,"")))))</f>
        <v>0</v>
      </c>
      <c r="IO55" s="85">
        <f>IF(IO12&lt;=Condition!$E$16,0,IF(IO12&lt;=Condition!$F$16,Condition!$D$16,IF(IO12&lt;=Condition!$F$17,Condition!$D$17,IF(IO12&lt;=Condition!$F$18,Condition!$D$18,IF(IO12&gt;Condition!$E$19,Condition!$D$19,"")))))</f>
        <v>0</v>
      </c>
      <c r="IP55" s="85">
        <f>IF(IP12&lt;=Condition!$E$16,0,IF(IP12&lt;=Condition!$F$16,Condition!$D$16,IF(IP12&lt;=Condition!$F$17,Condition!$D$17,IF(IP12&lt;=Condition!$F$18,Condition!$D$18,IF(IP12&gt;Condition!$E$19,Condition!$D$19,"")))))</f>
        <v>0</v>
      </c>
      <c r="IQ55" s="85">
        <f>IF(IQ12&lt;=Condition!$E$16,0,IF(IQ12&lt;=Condition!$F$16,Condition!$D$16,IF(IQ12&lt;=Condition!$F$17,Condition!$D$17,IF(IQ12&lt;=Condition!$F$18,Condition!$D$18,IF(IQ12&gt;Condition!$E$19,Condition!$D$19,"")))))</f>
        <v>0</v>
      </c>
      <c r="IR55" s="85">
        <f>IF(IR12&lt;=Condition!$E$16,0,IF(IR12&lt;=Condition!$F$16,Condition!$D$16,IF(IR12&lt;=Condition!$F$17,Condition!$D$17,IF(IR12&lt;=Condition!$F$18,Condition!$D$18,IF(IR12&gt;Condition!$E$19,Condition!$D$19,"")))))</f>
        <v>0</v>
      </c>
      <c r="IS55" s="85">
        <f>IF(IS12&lt;=Condition!$E$16,0,IF(IS12&lt;=Condition!$F$16,Condition!$D$16,IF(IS12&lt;=Condition!$F$17,Condition!$D$17,IF(IS12&lt;=Condition!$F$18,Condition!$D$18,IF(IS12&gt;Condition!$E$19,Condition!$D$19,"")))))</f>
        <v>0</v>
      </c>
      <c r="IT55" s="85">
        <f>IF(IT12&lt;=Condition!$E$16,0,IF(IT12&lt;=Condition!$F$16,Condition!$D$16,IF(IT12&lt;=Condition!$F$17,Condition!$D$17,IF(IT12&lt;=Condition!$F$18,Condition!$D$18,IF(IT12&gt;Condition!$E$19,Condition!$D$19,"")))))</f>
        <v>0</v>
      </c>
      <c r="IU55" s="85">
        <f>IF(IU12&lt;=Condition!$E$16,0,IF(IU12&lt;=Condition!$F$16,Condition!$D$16,IF(IU12&lt;=Condition!$F$17,Condition!$D$17,IF(IU12&lt;=Condition!$F$18,Condition!$D$18,IF(IU12&gt;Condition!$E$19,Condition!$D$19,"")))))</f>
        <v>0</v>
      </c>
      <c r="IV55" s="85">
        <f>IF(IV12&lt;=Condition!$E$16,0,IF(IV12&lt;=Condition!$F$16,Condition!$D$16,IF(IV12&lt;=Condition!$F$17,Condition!$D$17,IF(IV12&lt;=Condition!$F$18,Condition!$D$18,IF(IV12&gt;Condition!$E$19,Condition!$D$19,"")))))</f>
        <v>0</v>
      </c>
      <c r="IW55" s="85">
        <f>IF(IW12&lt;=Condition!$E$16,0,IF(IW12&lt;=Condition!$F$16,Condition!$D$16,IF(IW12&lt;=Condition!$F$17,Condition!$D$17,IF(IW12&lt;=Condition!$F$18,Condition!$D$18,IF(IW12&gt;Condition!$E$19,Condition!$D$19,"")))))</f>
        <v>0</v>
      </c>
      <c r="IX55" s="85">
        <f>IF(IX12&lt;=Condition!$E$16,0,IF(IX12&lt;=Condition!$F$16,Condition!$D$16,IF(IX12&lt;=Condition!$F$17,Condition!$D$17,IF(IX12&lt;=Condition!$F$18,Condition!$D$18,IF(IX12&gt;Condition!$E$19,Condition!$D$19,"")))))</f>
        <v>0</v>
      </c>
      <c r="IY55" s="85">
        <f>IF(IY12&lt;=Condition!$E$16,0,IF(IY12&lt;=Condition!$F$16,Condition!$D$16,IF(IY12&lt;=Condition!$F$17,Condition!$D$17,IF(IY12&lt;=Condition!$F$18,Condition!$D$18,IF(IY12&gt;Condition!$E$19,Condition!$D$19,"")))))</f>
        <v>0</v>
      </c>
      <c r="IZ55" s="85">
        <f>IF(IZ12&lt;=Condition!$E$16,0,IF(IZ12&lt;=Condition!$F$16,Condition!$D$16,IF(IZ12&lt;=Condition!$F$17,Condition!$D$17,IF(IZ12&lt;=Condition!$F$18,Condition!$D$18,IF(IZ12&gt;Condition!$E$19,Condition!$D$19,"")))))</f>
        <v>0</v>
      </c>
      <c r="JA55" s="85">
        <f>IF(JA12&lt;=Condition!$E$16,0,IF(JA12&lt;=Condition!$F$16,Condition!$D$16,IF(JA12&lt;=Condition!$F$17,Condition!$D$17,IF(JA12&lt;=Condition!$F$18,Condition!$D$18,IF(JA12&gt;Condition!$E$19,Condition!$D$19,"")))))</f>
        <v>0</v>
      </c>
      <c r="JB55" s="85">
        <f>IF(JB12&lt;=Condition!$E$16,0,IF(JB12&lt;=Condition!$F$16,Condition!$D$16,IF(JB12&lt;=Condition!$F$17,Condition!$D$17,IF(JB12&lt;=Condition!$F$18,Condition!$D$18,IF(JB12&gt;Condition!$E$19,Condition!$D$19,"")))))</f>
        <v>0</v>
      </c>
      <c r="JC55" s="85">
        <f>IF(JC12&lt;=Condition!$E$16,0,IF(JC12&lt;=Condition!$F$16,Condition!$D$16,IF(JC12&lt;=Condition!$F$17,Condition!$D$17,IF(JC12&lt;=Condition!$F$18,Condition!$D$18,IF(JC12&gt;Condition!$E$19,Condition!$D$19,"")))))</f>
        <v>0</v>
      </c>
      <c r="JD55" s="85">
        <f>IF(JD12&lt;=Condition!$E$16,0,IF(JD12&lt;=Condition!$F$16,Condition!$D$16,IF(JD12&lt;=Condition!$F$17,Condition!$D$17,IF(JD12&lt;=Condition!$F$18,Condition!$D$18,IF(JD12&gt;Condition!$E$19,Condition!$D$19,"")))))</f>
        <v>0</v>
      </c>
      <c r="JE55" s="85">
        <f>IF(JE12&lt;=Condition!$E$16,0,IF(JE12&lt;=Condition!$F$16,Condition!$D$16,IF(JE12&lt;=Condition!$F$17,Condition!$D$17,IF(JE12&lt;=Condition!$F$18,Condition!$D$18,IF(JE12&gt;Condition!$E$19,Condition!$D$19,"")))))</f>
        <v>0</v>
      </c>
      <c r="JF55" s="85">
        <f>IF(JF12&lt;=Condition!$E$16,0,IF(JF12&lt;=Condition!$F$16,Condition!$D$16,IF(JF12&lt;=Condition!$F$17,Condition!$D$17,IF(JF12&lt;=Condition!$F$18,Condition!$D$18,IF(JF12&gt;Condition!$E$19,Condition!$D$19,"")))))</f>
        <v>0</v>
      </c>
      <c r="JG55" s="85">
        <f>IF(JG12&lt;=Condition!$E$16,0,IF(JG12&lt;=Condition!$F$16,Condition!$D$16,IF(JG12&lt;=Condition!$F$17,Condition!$D$17,IF(JG12&lt;=Condition!$F$18,Condition!$D$18,IF(JG12&gt;Condition!$E$19,Condition!$D$19,"")))))</f>
        <v>0</v>
      </c>
      <c r="JH55" s="85">
        <f>IF(JH12&lt;=Condition!$E$16,0,IF(JH12&lt;=Condition!$F$16,Condition!$D$16,IF(JH12&lt;=Condition!$F$17,Condition!$D$17,IF(JH12&lt;=Condition!$F$18,Condition!$D$18,IF(JH12&gt;Condition!$E$19,Condition!$D$19,"")))))</f>
        <v>0</v>
      </c>
      <c r="JI55" s="85">
        <f>IF(JI12&lt;=Condition!$E$16,0,IF(JI12&lt;=Condition!$F$16,Condition!$D$16,IF(JI12&lt;=Condition!$F$17,Condition!$D$17,IF(JI12&lt;=Condition!$F$18,Condition!$D$18,IF(JI12&gt;Condition!$E$19,Condition!$D$19,"")))))</f>
        <v>0</v>
      </c>
      <c r="JJ55" s="85">
        <f>IF(JJ12&lt;=Condition!$E$16,0,IF(JJ12&lt;=Condition!$F$16,Condition!$D$16,IF(JJ12&lt;=Condition!$F$17,Condition!$D$17,IF(JJ12&lt;=Condition!$F$18,Condition!$D$18,IF(JJ12&gt;Condition!$E$19,Condition!$D$19,"")))))</f>
        <v>0</v>
      </c>
      <c r="JK55" s="85">
        <f>IF(JK12&lt;=Condition!$E$16,0,IF(JK12&lt;=Condition!$F$16,Condition!$D$16,IF(JK12&lt;=Condition!$F$17,Condition!$D$17,IF(JK12&lt;=Condition!$F$18,Condition!$D$18,IF(JK12&gt;Condition!$E$19,Condition!$D$19,"")))))</f>
        <v>0</v>
      </c>
      <c r="JL55" s="85">
        <f>IF(JL12&lt;=Condition!$E$16,0,IF(JL12&lt;=Condition!$F$16,Condition!$D$16,IF(JL12&lt;=Condition!$F$17,Condition!$D$17,IF(JL12&lt;=Condition!$F$18,Condition!$D$18,IF(JL12&gt;Condition!$E$19,Condition!$D$19,"")))))</f>
        <v>0</v>
      </c>
      <c r="JM55" s="85">
        <f>IF(JM12&lt;=Condition!$E$16,0,IF(JM12&lt;=Condition!$F$16,Condition!$D$16,IF(JM12&lt;=Condition!$F$17,Condition!$D$17,IF(JM12&lt;=Condition!$F$18,Condition!$D$18,IF(JM12&gt;Condition!$E$19,Condition!$D$19,"")))))</f>
        <v>0</v>
      </c>
      <c r="JN55" s="85">
        <f>IF(JN12&lt;=Condition!$E$16,0,IF(JN12&lt;=Condition!$F$16,Condition!$D$16,IF(JN12&lt;=Condition!$F$17,Condition!$D$17,IF(JN12&lt;=Condition!$F$18,Condition!$D$18,IF(JN12&gt;Condition!$E$19,Condition!$D$19,"")))))</f>
        <v>0</v>
      </c>
      <c r="JO55" s="85">
        <f>IF(JO12&lt;=Condition!$E$16,0,IF(JO12&lt;=Condition!$F$16,Condition!$D$16,IF(JO12&lt;=Condition!$F$17,Condition!$D$17,IF(JO12&lt;=Condition!$F$18,Condition!$D$18,IF(JO12&gt;Condition!$E$19,Condition!$D$19,"")))))</f>
        <v>0</v>
      </c>
      <c r="JP55" s="85">
        <f>IF(JP12&lt;=Condition!$E$16,0,IF(JP12&lt;=Condition!$F$16,Condition!$D$16,IF(JP12&lt;=Condition!$F$17,Condition!$D$17,IF(JP12&lt;=Condition!$F$18,Condition!$D$18,IF(JP12&gt;Condition!$E$19,Condition!$D$19,"")))))</f>
        <v>0</v>
      </c>
      <c r="JQ55" s="85">
        <f>IF(JQ12&lt;=Condition!$E$16,0,IF(JQ12&lt;=Condition!$F$16,Condition!$D$16,IF(JQ12&lt;=Condition!$F$17,Condition!$D$17,IF(JQ12&lt;=Condition!$F$18,Condition!$D$18,IF(JQ12&gt;Condition!$E$19,Condition!$D$19,"")))))</f>
        <v>0</v>
      </c>
      <c r="JR55" s="85">
        <f>IF(JR12&lt;=Condition!$E$16,0,IF(JR12&lt;=Condition!$F$16,Condition!$D$16,IF(JR12&lt;=Condition!$F$17,Condition!$D$17,IF(JR12&lt;=Condition!$F$18,Condition!$D$18,IF(JR12&gt;Condition!$E$19,Condition!$D$19,"")))))</f>
        <v>0</v>
      </c>
      <c r="JS55" s="85">
        <f>IF(JS12&lt;=Condition!$E$16,0,IF(JS12&lt;=Condition!$F$16,Condition!$D$16,IF(JS12&lt;=Condition!$F$17,Condition!$D$17,IF(JS12&lt;=Condition!$F$18,Condition!$D$18,IF(JS12&gt;Condition!$E$19,Condition!$D$19,"")))))</f>
        <v>0</v>
      </c>
      <c r="JT55" s="85">
        <f>IF(JT12&lt;=Condition!$E$16,0,IF(JT12&lt;=Condition!$F$16,Condition!$D$16,IF(JT12&lt;=Condition!$F$17,Condition!$D$17,IF(JT12&lt;=Condition!$F$18,Condition!$D$18,IF(JT12&gt;Condition!$E$19,Condition!$D$19,"")))))</f>
        <v>0</v>
      </c>
      <c r="JU55" s="85">
        <f>IF(JU12&lt;=Condition!$E$16,0,IF(JU12&lt;=Condition!$F$16,Condition!$D$16,IF(JU12&lt;=Condition!$F$17,Condition!$D$17,IF(JU12&lt;=Condition!$F$18,Condition!$D$18,IF(JU12&gt;Condition!$E$19,Condition!$D$19,"")))))</f>
        <v>0</v>
      </c>
      <c r="JV55" s="85">
        <f>IF(JV12&lt;=Condition!$E$16,0,IF(JV12&lt;=Condition!$F$16,Condition!$D$16,IF(JV12&lt;=Condition!$F$17,Condition!$D$17,IF(JV12&lt;=Condition!$F$18,Condition!$D$18,IF(JV12&gt;Condition!$E$19,Condition!$D$19,"")))))</f>
        <v>0</v>
      </c>
      <c r="JW55" s="85">
        <f>IF(JW12&lt;=Condition!$E$16,0,IF(JW12&lt;=Condition!$F$16,Condition!$D$16,IF(JW12&lt;=Condition!$F$17,Condition!$D$17,IF(JW12&lt;=Condition!$F$18,Condition!$D$18,IF(JW12&gt;Condition!$E$19,Condition!$D$19,"")))))</f>
        <v>0</v>
      </c>
      <c r="JX55" s="85">
        <f>IF(JX12&lt;=Condition!$E$16,0,IF(JX12&lt;=Condition!$F$16,Condition!$D$16,IF(JX12&lt;=Condition!$F$17,Condition!$D$17,IF(JX12&lt;=Condition!$F$18,Condition!$D$18,IF(JX12&gt;Condition!$E$19,Condition!$D$19,"")))))</f>
        <v>0</v>
      </c>
      <c r="JY55" s="85">
        <f>IF(JY12&lt;=Condition!$E$16,0,IF(JY12&lt;=Condition!$F$16,Condition!$D$16,IF(JY12&lt;=Condition!$F$17,Condition!$D$17,IF(JY12&lt;=Condition!$F$18,Condition!$D$18,IF(JY12&gt;Condition!$E$19,Condition!$D$19,"")))))</f>
        <v>0</v>
      </c>
      <c r="JZ55" s="85">
        <f>IF(JZ12&lt;=Condition!$E$16,0,IF(JZ12&lt;=Condition!$F$16,Condition!$D$16,IF(JZ12&lt;=Condition!$F$17,Condition!$D$17,IF(JZ12&lt;=Condition!$F$18,Condition!$D$18,IF(JZ12&gt;Condition!$E$19,Condition!$D$19,"")))))</f>
        <v>0</v>
      </c>
      <c r="KA55" s="85">
        <f>IF(KA12&lt;=Condition!$E$16,0,IF(KA12&lt;=Condition!$F$16,Condition!$D$16,IF(KA12&lt;=Condition!$F$17,Condition!$D$17,IF(KA12&lt;=Condition!$F$18,Condition!$D$18,IF(KA12&gt;Condition!$E$19,Condition!$D$19,"")))))</f>
        <v>0</v>
      </c>
      <c r="KB55" s="85">
        <f>IF(KB12&lt;=Condition!$E$16,0,IF(KB12&lt;=Condition!$F$16,Condition!$D$16,IF(KB12&lt;=Condition!$F$17,Condition!$D$17,IF(KB12&lt;=Condition!$F$18,Condition!$D$18,IF(KB12&gt;Condition!$E$19,Condition!$D$19,"")))))</f>
        <v>0</v>
      </c>
      <c r="KC55" s="85">
        <f>IF(KC12&lt;=Condition!$E$16,0,IF(KC12&lt;=Condition!$F$16,Condition!$D$16,IF(KC12&lt;=Condition!$F$17,Condition!$D$17,IF(KC12&lt;=Condition!$F$18,Condition!$D$18,IF(KC12&gt;Condition!$E$19,Condition!$D$19,"")))))</f>
        <v>0</v>
      </c>
      <c r="KD55" s="85">
        <f>IF(KD12&lt;=Condition!$E$16,0,IF(KD12&lt;=Condition!$F$16,Condition!$D$16,IF(KD12&lt;=Condition!$F$17,Condition!$D$17,IF(KD12&lt;=Condition!$F$18,Condition!$D$18,IF(KD12&gt;Condition!$E$19,Condition!$D$19,"")))))</f>
        <v>0</v>
      </c>
      <c r="KE55" s="85">
        <f>IF(KE12&lt;=Condition!$E$16,0,IF(KE12&lt;=Condition!$F$16,Condition!$D$16,IF(KE12&lt;=Condition!$F$17,Condition!$D$17,IF(KE12&lt;=Condition!$F$18,Condition!$D$18,IF(KE12&gt;Condition!$E$19,Condition!$D$19,"")))))</f>
        <v>0</v>
      </c>
      <c r="KF55" s="85">
        <f>IF(KF12&lt;=Condition!$E$16,0,IF(KF12&lt;=Condition!$F$16,Condition!$D$16,IF(KF12&lt;=Condition!$F$17,Condition!$D$17,IF(KF12&lt;=Condition!$F$18,Condition!$D$18,IF(KF12&gt;Condition!$E$19,Condition!$D$19,"")))))</f>
        <v>0</v>
      </c>
      <c r="KG55" s="85">
        <f>IF(KG12&lt;=Condition!$E$16,0,IF(KG12&lt;=Condition!$F$16,Condition!$D$16,IF(KG12&lt;=Condition!$F$17,Condition!$D$17,IF(KG12&lt;=Condition!$F$18,Condition!$D$18,IF(KG12&gt;Condition!$E$19,Condition!$D$19,"")))))</f>
        <v>0</v>
      </c>
      <c r="KH55" s="85">
        <f>IF(KH12&lt;=Condition!$E$16,0,IF(KH12&lt;=Condition!$F$16,Condition!$D$16,IF(KH12&lt;=Condition!$F$17,Condition!$D$17,IF(KH12&lt;=Condition!$F$18,Condition!$D$18,IF(KH12&gt;Condition!$E$19,Condition!$D$19,"")))))</f>
        <v>0</v>
      </c>
      <c r="KI55" s="85">
        <f>IF(KI12&lt;=Condition!$E$16,0,IF(KI12&lt;=Condition!$F$16,Condition!$D$16,IF(KI12&lt;=Condition!$F$17,Condition!$D$17,IF(KI12&lt;=Condition!$F$18,Condition!$D$18,IF(KI12&gt;Condition!$E$19,Condition!$D$19,"")))))</f>
        <v>0</v>
      </c>
    </row>
    <row r="56" spans="2:295" x14ac:dyDescent="0.25">
      <c r="B56" s="15">
        <f t="shared" ref="B56:E56" si="11">B13</f>
        <v>8</v>
      </c>
      <c r="C56" s="25" t="str">
        <f t="shared" si="11"/>
        <v>DSL-DHK</v>
      </c>
      <c r="D56" s="25" t="str">
        <f t="shared" si="11"/>
        <v>Mohammad Jewel Rana</v>
      </c>
      <c r="E56" s="26" t="str">
        <f t="shared" si="11"/>
        <v>3002</v>
      </c>
      <c r="F56" s="112">
        <f t="shared" si="4"/>
        <v>2700</v>
      </c>
      <c r="G56" s="112">
        <f t="shared" si="5"/>
        <v>0</v>
      </c>
      <c r="H56" s="85">
        <f>IF(H13&lt;=Condition!$E$16,0,IF(H13&lt;=Condition!$F$16,Condition!$D$16,IF(H13&lt;=Condition!$F$17,Condition!$D$17,IF(H13&lt;=Condition!$F$18,Condition!$D$18,IF(H13&gt;Condition!$E$19,Condition!$D$19,"")))))</f>
        <v>500</v>
      </c>
      <c r="I56" s="85">
        <f>IF(I13&lt;=Condition!$E$16,0,IF(I13&lt;=Condition!$F$16,Condition!$D$16,IF(I13&lt;=Condition!$F$17,Condition!$D$17,IF(I13&lt;=Condition!$F$18,Condition!$D$18,IF(I13&gt;Condition!$E$19,Condition!$D$19,"")))))</f>
        <v>0</v>
      </c>
      <c r="J56" s="85">
        <f>IF(J13&lt;=Condition!$E$16,0,IF(J13&lt;=Condition!$F$16,Condition!$D$16,IF(J13&lt;=Condition!$F$17,Condition!$D$17,IF(J13&lt;=Condition!$F$18,Condition!$D$18,IF(J13&gt;Condition!$E$19,Condition!$D$19,"")))))</f>
        <v>400</v>
      </c>
      <c r="K56" s="85">
        <f>IF(K13&lt;=Condition!$E$16,0,IF(K13&lt;=Condition!$F$16,Condition!$D$16,IF(K13&lt;=Condition!$F$17,Condition!$D$17,IF(K13&lt;=Condition!$F$18,Condition!$D$18,IF(K13&gt;Condition!$E$19,Condition!$D$19,"")))))</f>
        <v>0</v>
      </c>
      <c r="L56" s="85">
        <f>IF(L13&lt;=Condition!$E$16,0,IF(L13&lt;=Condition!$F$16,Condition!$D$16,IF(L13&lt;=Condition!$F$17,Condition!$D$17,IF(L13&lt;=Condition!$F$18,Condition!$D$18,IF(L13&gt;Condition!$E$19,Condition!$D$19,"")))))</f>
        <v>400</v>
      </c>
      <c r="M56" s="85">
        <f>IF(M13&lt;=Condition!$E$16,0,IF(M13&lt;=Condition!$F$16,Condition!$D$16,IF(M13&lt;=Condition!$F$17,Condition!$D$17,IF(M13&lt;=Condition!$F$18,Condition!$D$18,IF(M13&gt;Condition!$E$19,Condition!$D$19,"")))))</f>
        <v>0</v>
      </c>
      <c r="N56" s="85">
        <f>IF(N13&lt;=Condition!$E$16,0,IF(N13&lt;=Condition!$F$16,Condition!$D$16,IF(N13&lt;=Condition!$F$17,Condition!$D$17,IF(N13&lt;=Condition!$F$18,Condition!$D$18,IF(N13&gt;Condition!$E$19,Condition!$D$19,"")))))</f>
        <v>400</v>
      </c>
      <c r="O56" s="85">
        <f>IF(O13&lt;=Condition!$E$16,0,IF(O13&lt;=Condition!$F$16,Condition!$D$16,IF(O13&lt;=Condition!$F$17,Condition!$D$17,IF(O13&lt;=Condition!$F$18,Condition!$D$18,IF(O13&gt;Condition!$E$19,Condition!$D$19,"")))))</f>
        <v>0</v>
      </c>
      <c r="P56" s="85">
        <f>IF(P13&lt;=Condition!$E$16,0,IF(P13&lt;=Condition!$F$16,Condition!$D$16,IF(P13&lt;=Condition!$F$17,Condition!$D$17,IF(P13&lt;=Condition!$F$18,Condition!$D$18,IF(P13&gt;Condition!$E$19,Condition!$D$19,"")))))</f>
        <v>300</v>
      </c>
      <c r="Q56" s="85">
        <f>IF(Q13&lt;=Condition!$E$16,0,IF(Q13&lt;=Condition!$F$16,Condition!$D$16,IF(Q13&lt;=Condition!$F$17,Condition!$D$17,IF(Q13&lt;=Condition!$F$18,Condition!$D$18,IF(Q13&gt;Condition!$E$19,Condition!$D$19,"")))))</f>
        <v>0</v>
      </c>
      <c r="R56" s="85">
        <f>IF(R13&lt;=Condition!$E$16,0,IF(R13&lt;=Condition!$F$16,Condition!$D$16,IF(R13&lt;=Condition!$F$17,Condition!$D$17,IF(R13&lt;=Condition!$F$18,Condition!$D$18,IF(R13&gt;Condition!$E$19,Condition!$D$19,"")))))</f>
        <v>400</v>
      </c>
      <c r="S56" s="85">
        <f>IF(S13&lt;=Condition!$E$16,0,IF(S13&lt;=Condition!$F$16,Condition!$D$16,IF(S13&lt;=Condition!$F$17,Condition!$D$17,IF(S13&lt;=Condition!$F$18,Condition!$D$18,IF(S13&gt;Condition!$E$19,Condition!$D$19,"")))))</f>
        <v>0</v>
      </c>
      <c r="T56" s="85">
        <f>IF(T13&lt;=Condition!$E$16,0,IF(T13&lt;=Condition!$F$16,Condition!$D$16,IF(T13&lt;=Condition!$F$17,Condition!$D$17,IF(T13&lt;=Condition!$F$18,Condition!$D$18,IF(T13&gt;Condition!$E$19,Condition!$D$19,"")))))</f>
        <v>300</v>
      </c>
      <c r="U56" s="85">
        <f>IF(U13&lt;=Condition!$E$16,0,IF(U13&lt;=Condition!$F$16,Condition!$D$16,IF(U13&lt;=Condition!$F$17,Condition!$D$17,IF(U13&lt;=Condition!$F$18,Condition!$D$18,IF(U13&gt;Condition!$E$19,Condition!$D$19,"")))))</f>
        <v>0</v>
      </c>
      <c r="V56" s="85">
        <f>IF(V13&lt;=Condition!$E$16,0,IF(V13&lt;=Condition!$F$16,Condition!$D$16,IF(V13&lt;=Condition!$F$17,Condition!$D$17,IF(V13&lt;=Condition!$F$18,Condition!$D$18,IF(V13&gt;Condition!$E$19,Condition!$D$19,"")))))</f>
        <v>0</v>
      </c>
      <c r="W56" s="85">
        <f>IF(W13&lt;=Condition!$E$16,0,IF(W13&lt;=Condition!$F$16,Condition!$D$16,IF(W13&lt;=Condition!$F$17,Condition!$D$17,IF(W13&lt;=Condition!$F$18,Condition!$D$18,IF(W13&gt;Condition!$E$19,Condition!$D$19,"")))))</f>
        <v>0</v>
      </c>
      <c r="X56" s="85">
        <f>IF(X13&lt;=Condition!$E$16,0,IF(X13&lt;=Condition!$F$16,Condition!$D$16,IF(X13&lt;=Condition!$F$17,Condition!$D$17,IF(X13&lt;=Condition!$F$18,Condition!$D$18,IF(X13&gt;Condition!$E$19,Condition!$D$19,"")))))</f>
        <v>0</v>
      </c>
      <c r="Y56" s="85">
        <f>IF(Y13&lt;=Condition!$E$16,0,IF(Y13&lt;=Condition!$F$16,Condition!$D$16,IF(Y13&lt;=Condition!$F$17,Condition!$D$17,IF(Y13&lt;=Condition!$F$18,Condition!$D$18,IF(Y13&gt;Condition!$E$19,Condition!$D$19,"")))))</f>
        <v>0</v>
      </c>
      <c r="Z56" s="85">
        <f>IF(Z13&lt;=Condition!$E$16,0,IF(Z13&lt;=Condition!$F$16,Condition!$D$16,IF(Z13&lt;=Condition!$F$17,Condition!$D$17,IF(Z13&lt;=Condition!$F$18,Condition!$D$18,IF(Z13&gt;Condition!$E$19,Condition!$D$19,"")))))</f>
        <v>0</v>
      </c>
      <c r="AA56" s="85">
        <f>IF(AA13&lt;=Condition!$E$16,0,IF(AA13&lt;=Condition!$F$16,Condition!$D$16,IF(AA13&lt;=Condition!$F$17,Condition!$D$17,IF(AA13&lt;=Condition!$F$18,Condition!$D$18,IF(AA13&gt;Condition!$E$19,Condition!$D$19,"")))))</f>
        <v>0</v>
      </c>
      <c r="AB56" s="85">
        <f>IF(AB13&lt;=Condition!$E$16,0,IF(AB13&lt;=Condition!$F$16,Condition!$D$16,IF(AB13&lt;=Condition!$F$17,Condition!$D$17,IF(AB13&lt;=Condition!$F$18,Condition!$D$18,IF(AB13&gt;Condition!$E$19,Condition!$D$19,"")))))</f>
        <v>0</v>
      </c>
      <c r="AC56" s="85">
        <f>IF(AC13&lt;=Condition!$E$16,0,IF(AC13&lt;=Condition!$F$16,Condition!$D$16,IF(AC13&lt;=Condition!$F$17,Condition!$D$17,IF(AC13&lt;=Condition!$F$18,Condition!$D$18,IF(AC13&gt;Condition!$E$19,Condition!$D$19,"")))))</f>
        <v>0</v>
      </c>
      <c r="AD56" s="85">
        <f>IF(AD13&lt;=Condition!$E$16,0,IF(AD13&lt;=Condition!$F$16,Condition!$D$16,IF(AD13&lt;=Condition!$F$17,Condition!$D$17,IF(AD13&lt;=Condition!$F$18,Condition!$D$18,IF(AD13&gt;Condition!$E$19,Condition!$D$19,"")))))</f>
        <v>0</v>
      </c>
      <c r="AE56" s="85">
        <f>IF(AE13&lt;=Condition!$E$16,0,IF(AE13&lt;=Condition!$F$16,Condition!$D$16,IF(AE13&lt;=Condition!$F$17,Condition!$D$17,IF(AE13&lt;=Condition!$F$18,Condition!$D$18,IF(AE13&gt;Condition!$E$19,Condition!$D$19,"")))))</f>
        <v>0</v>
      </c>
      <c r="AF56" s="85">
        <f>IF(AF13&lt;=Condition!$E$16,0,IF(AF13&lt;=Condition!$F$16,Condition!$D$16,IF(AF13&lt;=Condition!$F$17,Condition!$D$17,IF(AF13&lt;=Condition!$F$18,Condition!$D$18,IF(AF13&gt;Condition!$E$19,Condition!$D$19,"")))))</f>
        <v>0</v>
      </c>
      <c r="AG56" s="85">
        <f>IF(AG13&lt;=Condition!$E$16,0,IF(AG13&lt;=Condition!$F$16,Condition!$D$16,IF(AG13&lt;=Condition!$F$17,Condition!$D$17,IF(AG13&lt;=Condition!$F$18,Condition!$D$18,IF(AG13&gt;Condition!$E$19,Condition!$D$19,"")))))</f>
        <v>0</v>
      </c>
      <c r="AH56" s="85">
        <f>IF(AH13&lt;=Condition!$E$16,0,IF(AH13&lt;=Condition!$F$16,Condition!$D$16,IF(AH13&lt;=Condition!$F$17,Condition!$D$17,IF(AH13&lt;=Condition!$F$18,Condition!$D$18,IF(AH13&gt;Condition!$E$19,Condition!$D$19,"")))))</f>
        <v>0</v>
      </c>
      <c r="AI56" s="85">
        <f>IF(AI13&lt;=Condition!$E$16,0,IF(AI13&lt;=Condition!$F$16,Condition!$D$16,IF(AI13&lt;=Condition!$F$17,Condition!$D$17,IF(AI13&lt;=Condition!$F$18,Condition!$D$18,IF(AI13&gt;Condition!$E$19,Condition!$D$19,"")))))</f>
        <v>0</v>
      </c>
      <c r="AJ56" s="85">
        <f>IF(AJ13&lt;=Condition!$E$16,0,IF(AJ13&lt;=Condition!$F$16,Condition!$D$16,IF(AJ13&lt;=Condition!$F$17,Condition!$D$17,IF(AJ13&lt;=Condition!$F$18,Condition!$D$18,IF(AJ13&gt;Condition!$E$19,Condition!$D$19,"")))))</f>
        <v>0</v>
      </c>
      <c r="AK56" s="85">
        <f>IF(AK13&lt;=Condition!$E$16,0,IF(AK13&lt;=Condition!$F$16,Condition!$D$16,IF(AK13&lt;=Condition!$F$17,Condition!$D$17,IF(AK13&lt;=Condition!$F$18,Condition!$D$18,IF(AK13&gt;Condition!$E$19,Condition!$D$19,"")))))</f>
        <v>0</v>
      </c>
      <c r="AL56" s="85">
        <f>IF(AL13&lt;=Condition!$E$16,0,IF(AL13&lt;=Condition!$F$16,Condition!$D$16,IF(AL13&lt;=Condition!$F$17,Condition!$D$17,IF(AL13&lt;=Condition!$F$18,Condition!$D$18,IF(AL13&gt;Condition!$E$19,Condition!$D$19,"")))))</f>
        <v>0</v>
      </c>
      <c r="AM56" s="85">
        <f>IF(AM13&lt;=Condition!$E$16,0,IF(AM13&lt;=Condition!$F$16,Condition!$D$16,IF(AM13&lt;=Condition!$F$17,Condition!$D$17,IF(AM13&lt;=Condition!$F$18,Condition!$D$18,IF(AM13&gt;Condition!$E$19,Condition!$D$19,"")))))</f>
        <v>0</v>
      </c>
      <c r="AN56" s="85">
        <f>IF(AN13&lt;=Condition!$E$16,0,IF(AN13&lt;=Condition!$F$16,Condition!$D$16,IF(AN13&lt;=Condition!$F$17,Condition!$D$17,IF(AN13&lt;=Condition!$F$18,Condition!$D$18,IF(AN13&gt;Condition!$E$19,Condition!$D$19,"")))))</f>
        <v>0</v>
      </c>
      <c r="AO56" s="85">
        <f>IF(AO13&lt;=Condition!$E$16,0,IF(AO13&lt;=Condition!$F$16,Condition!$D$16,IF(AO13&lt;=Condition!$F$17,Condition!$D$17,IF(AO13&lt;=Condition!$F$18,Condition!$D$18,IF(AO13&gt;Condition!$E$19,Condition!$D$19,"")))))</f>
        <v>0</v>
      </c>
      <c r="AP56" s="85">
        <f>IF(AP13&lt;=Condition!$E$16,0,IF(AP13&lt;=Condition!$F$16,Condition!$D$16,IF(AP13&lt;=Condition!$F$17,Condition!$D$17,IF(AP13&lt;=Condition!$F$18,Condition!$D$18,IF(AP13&gt;Condition!$E$19,Condition!$D$19,"")))))</f>
        <v>0</v>
      </c>
      <c r="AQ56" s="85">
        <f>IF(AQ13&lt;=Condition!$E$16,0,IF(AQ13&lt;=Condition!$F$16,Condition!$D$16,IF(AQ13&lt;=Condition!$F$17,Condition!$D$17,IF(AQ13&lt;=Condition!$F$18,Condition!$D$18,IF(AQ13&gt;Condition!$E$19,Condition!$D$19,"")))))</f>
        <v>0</v>
      </c>
      <c r="AR56" s="85">
        <f>IF(AR13&lt;=Condition!$E$16,0,IF(AR13&lt;=Condition!$F$16,Condition!$D$16,IF(AR13&lt;=Condition!$F$17,Condition!$D$17,IF(AR13&lt;=Condition!$F$18,Condition!$D$18,IF(AR13&gt;Condition!$E$19,Condition!$D$19,"")))))</f>
        <v>0</v>
      </c>
      <c r="AS56" s="85">
        <f>IF(AS13&lt;=Condition!$E$16,0,IF(AS13&lt;=Condition!$F$16,Condition!$D$16,IF(AS13&lt;=Condition!$F$17,Condition!$D$17,IF(AS13&lt;=Condition!$F$18,Condition!$D$18,IF(AS13&gt;Condition!$E$19,Condition!$D$19,"")))))</f>
        <v>0</v>
      </c>
      <c r="AT56" s="85">
        <f>IF(AT13&lt;=Condition!$E$16,0,IF(AT13&lt;=Condition!$F$16,Condition!$D$16,IF(AT13&lt;=Condition!$F$17,Condition!$D$17,IF(AT13&lt;=Condition!$F$18,Condition!$D$18,IF(AT13&gt;Condition!$E$19,Condition!$D$19,"")))))</f>
        <v>0</v>
      </c>
      <c r="AU56" s="85">
        <f>IF(AU13&lt;=Condition!$E$16,0,IF(AU13&lt;=Condition!$F$16,Condition!$D$16,IF(AU13&lt;=Condition!$F$17,Condition!$D$17,IF(AU13&lt;=Condition!$F$18,Condition!$D$18,IF(AU13&gt;Condition!$E$19,Condition!$D$19,"")))))</f>
        <v>0</v>
      </c>
      <c r="AV56" s="85">
        <f>IF(AV13&lt;=Condition!$E$16,0,IF(AV13&lt;=Condition!$F$16,Condition!$D$16,IF(AV13&lt;=Condition!$F$17,Condition!$D$17,IF(AV13&lt;=Condition!$F$18,Condition!$D$18,IF(AV13&gt;Condition!$E$19,Condition!$D$19,"")))))</f>
        <v>0</v>
      </c>
      <c r="AW56" s="85">
        <f>IF(AW13&lt;=Condition!$E$16,0,IF(AW13&lt;=Condition!$F$16,Condition!$D$16,IF(AW13&lt;=Condition!$F$17,Condition!$D$17,IF(AW13&lt;=Condition!$F$18,Condition!$D$18,IF(AW13&gt;Condition!$E$19,Condition!$D$19,"")))))</f>
        <v>0</v>
      </c>
      <c r="AX56" s="85">
        <f>IF(AX13&lt;=Condition!$E$16,0,IF(AX13&lt;=Condition!$F$16,Condition!$D$16,IF(AX13&lt;=Condition!$F$17,Condition!$D$17,IF(AX13&lt;=Condition!$F$18,Condition!$D$18,IF(AX13&gt;Condition!$E$19,Condition!$D$19,"")))))</f>
        <v>0</v>
      </c>
      <c r="AY56" s="85">
        <f>IF(AY13&lt;=Condition!$E$16,0,IF(AY13&lt;=Condition!$F$16,Condition!$D$16,IF(AY13&lt;=Condition!$F$17,Condition!$D$17,IF(AY13&lt;=Condition!$F$18,Condition!$D$18,IF(AY13&gt;Condition!$E$19,Condition!$D$19,"")))))</f>
        <v>0</v>
      </c>
      <c r="AZ56" s="85">
        <f>IF(AZ13&lt;=Condition!$E$16,0,IF(AZ13&lt;=Condition!$F$16,Condition!$D$16,IF(AZ13&lt;=Condition!$F$17,Condition!$D$17,IF(AZ13&lt;=Condition!$F$18,Condition!$D$18,IF(AZ13&gt;Condition!$E$19,Condition!$D$19,"")))))</f>
        <v>0</v>
      </c>
      <c r="BA56" s="85">
        <f>IF(BA13&lt;=Condition!$E$16,0,IF(BA13&lt;=Condition!$F$16,Condition!$D$16,IF(BA13&lt;=Condition!$F$17,Condition!$D$17,IF(BA13&lt;=Condition!$F$18,Condition!$D$18,IF(BA13&gt;Condition!$E$19,Condition!$D$19,"")))))</f>
        <v>0</v>
      </c>
      <c r="BB56" s="85">
        <f>IF(BB13&lt;=Condition!$E$16,0,IF(BB13&lt;=Condition!$F$16,Condition!$D$16,IF(BB13&lt;=Condition!$F$17,Condition!$D$17,IF(BB13&lt;=Condition!$F$18,Condition!$D$18,IF(BB13&gt;Condition!$E$19,Condition!$D$19,"")))))</f>
        <v>0</v>
      </c>
      <c r="BC56" s="85">
        <f>IF(BC13&lt;=Condition!$E$16,0,IF(BC13&lt;=Condition!$F$16,Condition!$D$16,IF(BC13&lt;=Condition!$F$17,Condition!$D$17,IF(BC13&lt;=Condition!$F$18,Condition!$D$18,IF(BC13&gt;Condition!$E$19,Condition!$D$19,"")))))</f>
        <v>0</v>
      </c>
      <c r="BD56" s="85">
        <f>IF(BD13&lt;=Condition!$E$16,0,IF(BD13&lt;=Condition!$F$16,Condition!$D$16,IF(BD13&lt;=Condition!$F$17,Condition!$D$17,IF(BD13&lt;=Condition!$F$18,Condition!$D$18,IF(BD13&gt;Condition!$E$19,Condition!$D$19,"")))))</f>
        <v>0</v>
      </c>
      <c r="BE56" s="85">
        <f>IF(BE13&lt;=Condition!$E$16,0,IF(BE13&lt;=Condition!$F$16,Condition!$D$16,IF(BE13&lt;=Condition!$F$17,Condition!$D$17,IF(BE13&lt;=Condition!$F$18,Condition!$D$18,IF(BE13&gt;Condition!$E$19,Condition!$D$19,"")))))</f>
        <v>0</v>
      </c>
      <c r="BF56" s="85">
        <f>IF(BF13&lt;=Condition!$E$16,0,IF(BF13&lt;=Condition!$F$16,Condition!$D$16,IF(BF13&lt;=Condition!$F$17,Condition!$D$17,IF(BF13&lt;=Condition!$F$18,Condition!$D$18,IF(BF13&gt;Condition!$E$19,Condition!$D$19,"")))))</f>
        <v>0</v>
      </c>
      <c r="BG56" s="85">
        <f>IF(BG13&lt;=Condition!$E$16,0,IF(BG13&lt;=Condition!$F$16,Condition!$D$16,IF(BG13&lt;=Condition!$F$17,Condition!$D$17,IF(BG13&lt;=Condition!$F$18,Condition!$D$18,IF(BG13&gt;Condition!$E$19,Condition!$D$19,"")))))</f>
        <v>0</v>
      </c>
      <c r="BH56" s="85">
        <f>IF(BH13&lt;=Condition!$E$16,0,IF(BH13&lt;=Condition!$F$16,Condition!$D$16,IF(BH13&lt;=Condition!$F$17,Condition!$D$17,IF(BH13&lt;=Condition!$F$18,Condition!$D$18,IF(BH13&gt;Condition!$E$19,Condition!$D$19,"")))))</f>
        <v>0</v>
      </c>
      <c r="BI56" s="85">
        <f>IF(BI13&lt;=Condition!$E$16,0,IF(BI13&lt;=Condition!$F$16,Condition!$D$16,IF(BI13&lt;=Condition!$F$17,Condition!$D$17,IF(BI13&lt;=Condition!$F$18,Condition!$D$18,IF(BI13&gt;Condition!$E$19,Condition!$D$19,"")))))</f>
        <v>0</v>
      </c>
      <c r="BJ56" s="85">
        <f>IF(BJ13&lt;=Condition!$E$16,0,IF(BJ13&lt;=Condition!$F$16,Condition!$D$16,IF(BJ13&lt;=Condition!$F$17,Condition!$D$17,IF(BJ13&lt;=Condition!$F$18,Condition!$D$18,IF(BJ13&gt;Condition!$E$19,Condition!$D$19,"")))))</f>
        <v>0</v>
      </c>
      <c r="BK56" s="85">
        <f>IF(BK13&lt;=Condition!$E$16,0,IF(BK13&lt;=Condition!$F$16,Condition!$D$16,IF(BK13&lt;=Condition!$F$17,Condition!$D$17,IF(BK13&lt;=Condition!$F$18,Condition!$D$18,IF(BK13&gt;Condition!$E$19,Condition!$D$19,"")))))</f>
        <v>0</v>
      </c>
      <c r="BL56" s="85">
        <f>IF(BL13&lt;=Condition!$E$16,0,IF(BL13&lt;=Condition!$F$16,Condition!$D$16,IF(BL13&lt;=Condition!$F$17,Condition!$D$17,IF(BL13&lt;=Condition!$F$18,Condition!$D$18,IF(BL13&gt;Condition!$E$19,Condition!$D$19,"")))))</f>
        <v>0</v>
      </c>
      <c r="BM56" s="85">
        <f>IF(BM13&lt;=Condition!$E$16,0,IF(BM13&lt;=Condition!$F$16,Condition!$D$16,IF(BM13&lt;=Condition!$F$17,Condition!$D$17,IF(BM13&lt;=Condition!$F$18,Condition!$D$18,IF(BM13&gt;Condition!$E$19,Condition!$D$19,"")))))</f>
        <v>0</v>
      </c>
      <c r="BN56" s="85">
        <f>IF(BN13&lt;=Condition!$E$16,0,IF(BN13&lt;=Condition!$F$16,Condition!$D$16,IF(BN13&lt;=Condition!$F$17,Condition!$D$17,IF(BN13&lt;=Condition!$F$18,Condition!$D$18,IF(BN13&gt;Condition!$E$19,Condition!$D$19,"")))))</f>
        <v>0</v>
      </c>
      <c r="BO56" s="85">
        <f>IF(BO13&lt;=Condition!$E$16,0,IF(BO13&lt;=Condition!$F$16,Condition!$D$16,IF(BO13&lt;=Condition!$F$17,Condition!$D$17,IF(BO13&lt;=Condition!$F$18,Condition!$D$18,IF(BO13&gt;Condition!$E$19,Condition!$D$19,"")))))</f>
        <v>0</v>
      </c>
      <c r="BP56" s="85">
        <f>IF(BP13&lt;=Condition!$E$16,0,IF(BP13&lt;=Condition!$F$16,Condition!$D$16,IF(BP13&lt;=Condition!$F$17,Condition!$D$17,IF(BP13&lt;=Condition!$F$18,Condition!$D$18,IF(BP13&gt;Condition!$E$19,Condition!$D$19,"")))))</f>
        <v>0</v>
      </c>
      <c r="BQ56" s="85">
        <f>IF(BQ13&lt;=Condition!$E$16,0,IF(BQ13&lt;=Condition!$F$16,Condition!$D$16,IF(BQ13&lt;=Condition!$F$17,Condition!$D$17,IF(BQ13&lt;=Condition!$F$18,Condition!$D$18,IF(BQ13&gt;Condition!$E$19,Condition!$D$19,"")))))</f>
        <v>0</v>
      </c>
      <c r="BR56" s="85">
        <f>IF(BR13&lt;=Condition!$E$16,0,IF(BR13&lt;=Condition!$F$16,Condition!$D$16,IF(BR13&lt;=Condition!$F$17,Condition!$D$17,IF(BR13&lt;=Condition!$F$18,Condition!$D$18,IF(BR13&gt;Condition!$E$19,Condition!$D$19,"")))))</f>
        <v>0</v>
      </c>
      <c r="BS56" s="85">
        <f>IF(BS13&lt;=Condition!$E$16,0,IF(BS13&lt;=Condition!$F$16,Condition!$D$16,IF(BS13&lt;=Condition!$F$17,Condition!$D$17,IF(BS13&lt;=Condition!$F$18,Condition!$D$18,IF(BS13&gt;Condition!$E$19,Condition!$D$19,"")))))</f>
        <v>0</v>
      </c>
      <c r="BT56" s="85">
        <f>IF(BT13&lt;=Condition!$E$16,0,IF(BT13&lt;=Condition!$F$16,Condition!$D$16,IF(BT13&lt;=Condition!$F$17,Condition!$D$17,IF(BT13&lt;=Condition!$F$18,Condition!$D$18,IF(BT13&gt;Condition!$E$19,Condition!$D$19,"")))))</f>
        <v>0</v>
      </c>
      <c r="BU56" s="85">
        <f>IF(BU13&lt;=Condition!$E$16,0,IF(BU13&lt;=Condition!$F$16,Condition!$D$16,IF(BU13&lt;=Condition!$F$17,Condition!$D$17,IF(BU13&lt;=Condition!$F$18,Condition!$D$18,IF(BU13&gt;Condition!$E$19,Condition!$D$19,"")))))</f>
        <v>0</v>
      </c>
      <c r="BV56" s="85">
        <f>IF(BV13&lt;=Condition!$E$16,0,IF(BV13&lt;=Condition!$F$16,Condition!$D$16,IF(BV13&lt;=Condition!$F$17,Condition!$D$17,IF(BV13&lt;=Condition!$F$18,Condition!$D$18,IF(BV13&gt;Condition!$E$19,Condition!$D$19,"")))))</f>
        <v>0</v>
      </c>
      <c r="BW56" s="85">
        <f>IF(BW13&lt;=Condition!$E$16,0,IF(BW13&lt;=Condition!$F$16,Condition!$D$16,IF(BW13&lt;=Condition!$F$17,Condition!$D$17,IF(BW13&lt;=Condition!$F$18,Condition!$D$18,IF(BW13&gt;Condition!$E$19,Condition!$D$19,"")))))</f>
        <v>0</v>
      </c>
      <c r="BX56" s="85">
        <f>IF(BX13&lt;=Condition!$E$16,0,IF(BX13&lt;=Condition!$F$16,Condition!$D$16,IF(BX13&lt;=Condition!$F$17,Condition!$D$17,IF(BX13&lt;=Condition!$F$18,Condition!$D$18,IF(BX13&gt;Condition!$E$19,Condition!$D$19,"")))))</f>
        <v>0</v>
      </c>
      <c r="BY56" s="85">
        <f>IF(BY13&lt;=Condition!$E$16,0,IF(BY13&lt;=Condition!$F$16,Condition!$D$16,IF(BY13&lt;=Condition!$F$17,Condition!$D$17,IF(BY13&lt;=Condition!$F$18,Condition!$D$18,IF(BY13&gt;Condition!$E$19,Condition!$D$19,"")))))</f>
        <v>0</v>
      </c>
      <c r="BZ56" s="85">
        <f>IF(BZ13&lt;=Condition!$E$16,0,IF(BZ13&lt;=Condition!$F$16,Condition!$D$16,IF(BZ13&lt;=Condition!$F$17,Condition!$D$17,IF(BZ13&lt;=Condition!$F$18,Condition!$D$18,IF(BZ13&gt;Condition!$E$19,Condition!$D$19,"")))))</f>
        <v>0</v>
      </c>
      <c r="CA56" s="85">
        <f>IF(CA13&lt;=Condition!$E$16,0,IF(CA13&lt;=Condition!$F$16,Condition!$D$16,IF(CA13&lt;=Condition!$F$17,Condition!$D$17,IF(CA13&lt;=Condition!$F$18,Condition!$D$18,IF(CA13&gt;Condition!$E$19,Condition!$D$19,"")))))</f>
        <v>0</v>
      </c>
      <c r="CB56" s="85">
        <f>IF(CB13&lt;=Condition!$E$16,0,IF(CB13&lt;=Condition!$F$16,Condition!$D$16,IF(CB13&lt;=Condition!$F$17,Condition!$D$17,IF(CB13&lt;=Condition!$F$18,Condition!$D$18,IF(CB13&gt;Condition!$E$19,Condition!$D$19,"")))))</f>
        <v>0</v>
      </c>
      <c r="CC56" s="85">
        <f>IF(CC13&lt;=Condition!$E$16,0,IF(CC13&lt;=Condition!$F$16,Condition!$D$16,IF(CC13&lt;=Condition!$F$17,Condition!$D$17,IF(CC13&lt;=Condition!$F$18,Condition!$D$18,IF(CC13&gt;Condition!$E$19,Condition!$D$19,"")))))</f>
        <v>0</v>
      </c>
      <c r="CD56" s="85">
        <f>IF(CD13&lt;=Condition!$E$16,0,IF(CD13&lt;=Condition!$F$16,Condition!$D$16,IF(CD13&lt;=Condition!$F$17,Condition!$D$17,IF(CD13&lt;=Condition!$F$18,Condition!$D$18,IF(CD13&gt;Condition!$E$19,Condition!$D$19,"")))))</f>
        <v>0</v>
      </c>
      <c r="CE56" s="85">
        <f>IF(CE13&lt;=Condition!$E$16,0,IF(CE13&lt;=Condition!$F$16,Condition!$D$16,IF(CE13&lt;=Condition!$F$17,Condition!$D$17,IF(CE13&lt;=Condition!$F$18,Condition!$D$18,IF(CE13&gt;Condition!$E$19,Condition!$D$19,"")))))</f>
        <v>0</v>
      </c>
      <c r="CF56" s="85">
        <f>IF(CF13&lt;=Condition!$E$16,0,IF(CF13&lt;=Condition!$F$16,Condition!$D$16,IF(CF13&lt;=Condition!$F$17,Condition!$D$17,IF(CF13&lt;=Condition!$F$18,Condition!$D$18,IF(CF13&gt;Condition!$E$19,Condition!$D$19,"")))))</f>
        <v>0</v>
      </c>
      <c r="CG56" s="85">
        <f>IF(CG13&lt;=Condition!$E$16,0,IF(CG13&lt;=Condition!$F$16,Condition!$D$16,IF(CG13&lt;=Condition!$F$17,Condition!$D$17,IF(CG13&lt;=Condition!$F$18,Condition!$D$18,IF(CG13&gt;Condition!$E$19,Condition!$D$19,"")))))</f>
        <v>0</v>
      </c>
      <c r="CH56" s="85">
        <f>IF(CH13&lt;=Condition!$E$16,0,IF(CH13&lt;=Condition!$F$16,Condition!$D$16,IF(CH13&lt;=Condition!$F$17,Condition!$D$17,IF(CH13&lt;=Condition!$F$18,Condition!$D$18,IF(CH13&gt;Condition!$E$19,Condition!$D$19,"")))))</f>
        <v>0</v>
      </c>
      <c r="CI56" s="85">
        <f>IF(CI13&lt;=Condition!$E$16,0,IF(CI13&lt;=Condition!$F$16,Condition!$D$16,IF(CI13&lt;=Condition!$F$17,Condition!$D$17,IF(CI13&lt;=Condition!$F$18,Condition!$D$18,IF(CI13&gt;Condition!$E$19,Condition!$D$19,"")))))</f>
        <v>0</v>
      </c>
      <c r="CJ56" s="85">
        <f>IF(CJ13&lt;=Condition!$E$16,0,IF(CJ13&lt;=Condition!$F$16,Condition!$D$16,IF(CJ13&lt;=Condition!$F$17,Condition!$D$17,IF(CJ13&lt;=Condition!$F$18,Condition!$D$18,IF(CJ13&gt;Condition!$E$19,Condition!$D$19,"")))))</f>
        <v>0</v>
      </c>
      <c r="CK56" s="85">
        <f>IF(CK13&lt;=Condition!$E$16,0,IF(CK13&lt;=Condition!$F$16,Condition!$D$16,IF(CK13&lt;=Condition!$F$17,Condition!$D$17,IF(CK13&lt;=Condition!$F$18,Condition!$D$18,IF(CK13&gt;Condition!$E$19,Condition!$D$19,"")))))</f>
        <v>0</v>
      </c>
      <c r="CL56" s="85">
        <f>IF(CL13&lt;=Condition!$E$16,0,IF(CL13&lt;=Condition!$F$16,Condition!$D$16,IF(CL13&lt;=Condition!$F$17,Condition!$D$17,IF(CL13&lt;=Condition!$F$18,Condition!$D$18,IF(CL13&gt;Condition!$E$19,Condition!$D$19,"")))))</f>
        <v>0</v>
      </c>
      <c r="CM56" s="85">
        <f>IF(CM13&lt;=Condition!$E$16,0,IF(CM13&lt;=Condition!$F$16,Condition!$D$16,IF(CM13&lt;=Condition!$F$17,Condition!$D$17,IF(CM13&lt;=Condition!$F$18,Condition!$D$18,IF(CM13&gt;Condition!$E$19,Condition!$D$19,"")))))</f>
        <v>0</v>
      </c>
      <c r="CN56" s="85">
        <f>IF(CN13&lt;=Condition!$E$16,0,IF(CN13&lt;=Condition!$F$16,Condition!$D$16,IF(CN13&lt;=Condition!$F$17,Condition!$D$17,IF(CN13&lt;=Condition!$F$18,Condition!$D$18,IF(CN13&gt;Condition!$E$19,Condition!$D$19,"")))))</f>
        <v>0</v>
      </c>
      <c r="CO56" s="85">
        <f>IF(CO13&lt;=Condition!$E$16,0,IF(CO13&lt;=Condition!$F$16,Condition!$D$16,IF(CO13&lt;=Condition!$F$17,Condition!$D$17,IF(CO13&lt;=Condition!$F$18,Condition!$D$18,IF(CO13&gt;Condition!$E$19,Condition!$D$19,"")))))</f>
        <v>0</v>
      </c>
      <c r="CP56" s="85">
        <f>IF(CP13&lt;=Condition!$E$16,0,IF(CP13&lt;=Condition!$F$16,Condition!$D$16,IF(CP13&lt;=Condition!$F$17,Condition!$D$17,IF(CP13&lt;=Condition!$F$18,Condition!$D$18,IF(CP13&gt;Condition!$E$19,Condition!$D$19,"")))))</f>
        <v>0</v>
      </c>
      <c r="CQ56" s="85">
        <f>IF(CQ13&lt;=Condition!$E$16,0,IF(CQ13&lt;=Condition!$F$16,Condition!$D$16,IF(CQ13&lt;=Condition!$F$17,Condition!$D$17,IF(CQ13&lt;=Condition!$F$18,Condition!$D$18,IF(CQ13&gt;Condition!$E$19,Condition!$D$19,"")))))</f>
        <v>0</v>
      </c>
      <c r="CR56" s="85">
        <f>IF(CR13&lt;=Condition!$E$16,0,IF(CR13&lt;=Condition!$F$16,Condition!$D$16,IF(CR13&lt;=Condition!$F$17,Condition!$D$17,IF(CR13&lt;=Condition!$F$18,Condition!$D$18,IF(CR13&gt;Condition!$E$19,Condition!$D$19,"")))))</f>
        <v>0</v>
      </c>
      <c r="CS56" s="85">
        <f>IF(CS13&lt;=Condition!$E$16,0,IF(CS13&lt;=Condition!$F$16,Condition!$D$16,IF(CS13&lt;=Condition!$F$17,Condition!$D$17,IF(CS13&lt;=Condition!$F$18,Condition!$D$18,IF(CS13&gt;Condition!$E$19,Condition!$D$19,"")))))</f>
        <v>0</v>
      </c>
      <c r="CT56" s="85">
        <f>IF(CT13&lt;=Condition!$E$16,0,IF(CT13&lt;=Condition!$F$16,Condition!$D$16,IF(CT13&lt;=Condition!$F$17,Condition!$D$17,IF(CT13&lt;=Condition!$F$18,Condition!$D$18,IF(CT13&gt;Condition!$E$19,Condition!$D$19,"")))))</f>
        <v>0</v>
      </c>
      <c r="CU56" s="85">
        <f>IF(CU13&lt;=Condition!$E$16,0,IF(CU13&lt;=Condition!$F$16,Condition!$D$16,IF(CU13&lt;=Condition!$F$17,Condition!$D$17,IF(CU13&lt;=Condition!$F$18,Condition!$D$18,IF(CU13&gt;Condition!$E$19,Condition!$D$19,"")))))</f>
        <v>0</v>
      </c>
      <c r="CV56" s="85">
        <f>IF(CV13&lt;=Condition!$E$16,0,IF(CV13&lt;=Condition!$F$16,Condition!$D$16,IF(CV13&lt;=Condition!$F$17,Condition!$D$17,IF(CV13&lt;=Condition!$F$18,Condition!$D$18,IF(CV13&gt;Condition!$E$19,Condition!$D$19,"")))))</f>
        <v>0</v>
      </c>
      <c r="CW56" s="85">
        <f>IF(CW13&lt;=Condition!$E$16,0,IF(CW13&lt;=Condition!$F$16,Condition!$D$16,IF(CW13&lt;=Condition!$F$17,Condition!$D$17,IF(CW13&lt;=Condition!$F$18,Condition!$D$18,IF(CW13&gt;Condition!$E$19,Condition!$D$19,"")))))</f>
        <v>0</v>
      </c>
      <c r="CX56" s="85">
        <f>IF(CX13&lt;=Condition!$E$16,0,IF(CX13&lt;=Condition!$F$16,Condition!$D$16,IF(CX13&lt;=Condition!$F$17,Condition!$D$17,IF(CX13&lt;=Condition!$F$18,Condition!$D$18,IF(CX13&gt;Condition!$E$19,Condition!$D$19,"")))))</f>
        <v>0</v>
      </c>
      <c r="CY56" s="85">
        <f>IF(CY13&lt;=Condition!$E$16,0,IF(CY13&lt;=Condition!$F$16,Condition!$D$16,IF(CY13&lt;=Condition!$F$17,Condition!$D$17,IF(CY13&lt;=Condition!$F$18,Condition!$D$18,IF(CY13&gt;Condition!$E$19,Condition!$D$19,"")))))</f>
        <v>0</v>
      </c>
      <c r="CZ56" s="85">
        <f>IF(CZ13&lt;=Condition!$E$16,0,IF(CZ13&lt;=Condition!$F$16,Condition!$D$16,IF(CZ13&lt;=Condition!$F$17,Condition!$D$17,IF(CZ13&lt;=Condition!$F$18,Condition!$D$18,IF(CZ13&gt;Condition!$E$19,Condition!$D$19,"")))))</f>
        <v>0</v>
      </c>
      <c r="DA56" s="85">
        <f>IF(DA13&lt;=Condition!$E$16,0,IF(DA13&lt;=Condition!$F$16,Condition!$D$16,IF(DA13&lt;=Condition!$F$17,Condition!$D$17,IF(DA13&lt;=Condition!$F$18,Condition!$D$18,IF(DA13&gt;Condition!$E$19,Condition!$D$19,"")))))</f>
        <v>0</v>
      </c>
      <c r="DB56" s="85">
        <f>IF(DB13&lt;=Condition!$E$16,0,IF(DB13&lt;=Condition!$F$16,Condition!$D$16,IF(DB13&lt;=Condition!$F$17,Condition!$D$17,IF(DB13&lt;=Condition!$F$18,Condition!$D$18,IF(DB13&gt;Condition!$E$19,Condition!$D$19,"")))))</f>
        <v>0</v>
      </c>
      <c r="DC56" s="85">
        <f>IF(DC13&lt;=Condition!$E$16,0,IF(DC13&lt;=Condition!$F$16,Condition!$D$16,IF(DC13&lt;=Condition!$F$17,Condition!$D$17,IF(DC13&lt;=Condition!$F$18,Condition!$D$18,IF(DC13&gt;Condition!$E$19,Condition!$D$19,"")))))</f>
        <v>0</v>
      </c>
      <c r="DD56" s="85">
        <f>IF(DD13&lt;=Condition!$E$16,0,IF(DD13&lt;=Condition!$F$16,Condition!$D$16,IF(DD13&lt;=Condition!$F$17,Condition!$D$17,IF(DD13&lt;=Condition!$F$18,Condition!$D$18,IF(DD13&gt;Condition!$E$19,Condition!$D$19,"")))))</f>
        <v>0</v>
      </c>
      <c r="DE56" s="85">
        <f>IF(DE13&lt;=Condition!$E$16,0,IF(DE13&lt;=Condition!$F$16,Condition!$D$16,IF(DE13&lt;=Condition!$F$17,Condition!$D$17,IF(DE13&lt;=Condition!$F$18,Condition!$D$18,IF(DE13&gt;Condition!$E$19,Condition!$D$19,"")))))</f>
        <v>0</v>
      </c>
      <c r="DF56" s="85">
        <f>IF(DF13&lt;=Condition!$E$16,0,IF(DF13&lt;=Condition!$F$16,Condition!$D$16,IF(DF13&lt;=Condition!$F$17,Condition!$D$17,IF(DF13&lt;=Condition!$F$18,Condition!$D$18,IF(DF13&gt;Condition!$E$19,Condition!$D$19,"")))))</f>
        <v>0</v>
      </c>
      <c r="DG56" s="85">
        <f>IF(DG13&lt;=Condition!$E$16,0,IF(DG13&lt;=Condition!$F$16,Condition!$D$16,IF(DG13&lt;=Condition!$F$17,Condition!$D$17,IF(DG13&lt;=Condition!$F$18,Condition!$D$18,IF(DG13&gt;Condition!$E$19,Condition!$D$19,"")))))</f>
        <v>0</v>
      </c>
      <c r="DH56" s="85">
        <f>IF(DH13&lt;=Condition!$E$16,0,IF(DH13&lt;=Condition!$F$16,Condition!$D$16,IF(DH13&lt;=Condition!$F$17,Condition!$D$17,IF(DH13&lt;=Condition!$F$18,Condition!$D$18,IF(DH13&gt;Condition!$E$19,Condition!$D$19,"")))))</f>
        <v>0</v>
      </c>
      <c r="DI56" s="85">
        <f>IF(DI13&lt;=Condition!$E$16,0,IF(DI13&lt;=Condition!$F$16,Condition!$D$16,IF(DI13&lt;=Condition!$F$17,Condition!$D$17,IF(DI13&lt;=Condition!$F$18,Condition!$D$18,IF(DI13&gt;Condition!$E$19,Condition!$D$19,"")))))</f>
        <v>0</v>
      </c>
      <c r="DJ56" s="85">
        <f>IF(DJ13&lt;=Condition!$E$16,0,IF(DJ13&lt;=Condition!$F$16,Condition!$D$16,IF(DJ13&lt;=Condition!$F$17,Condition!$D$17,IF(DJ13&lt;=Condition!$F$18,Condition!$D$18,IF(DJ13&gt;Condition!$E$19,Condition!$D$19,"")))))</f>
        <v>0</v>
      </c>
      <c r="DK56" s="85">
        <f>IF(DK13&lt;=Condition!$E$16,0,IF(DK13&lt;=Condition!$F$16,Condition!$D$16,IF(DK13&lt;=Condition!$F$17,Condition!$D$17,IF(DK13&lt;=Condition!$F$18,Condition!$D$18,IF(DK13&gt;Condition!$E$19,Condition!$D$19,"")))))</f>
        <v>0</v>
      </c>
      <c r="DL56" s="85">
        <f>IF(DL13&lt;=Condition!$E$16,0,IF(DL13&lt;=Condition!$F$16,Condition!$D$16,IF(DL13&lt;=Condition!$F$17,Condition!$D$17,IF(DL13&lt;=Condition!$F$18,Condition!$D$18,IF(DL13&gt;Condition!$E$19,Condition!$D$19,"")))))</f>
        <v>0</v>
      </c>
      <c r="DM56" s="85">
        <f>IF(DM13&lt;=Condition!$E$16,0,IF(DM13&lt;=Condition!$F$16,Condition!$D$16,IF(DM13&lt;=Condition!$F$17,Condition!$D$17,IF(DM13&lt;=Condition!$F$18,Condition!$D$18,IF(DM13&gt;Condition!$E$19,Condition!$D$19,"")))))</f>
        <v>0</v>
      </c>
      <c r="DN56" s="85">
        <f>IF(DN13&lt;=Condition!$E$16,0,IF(DN13&lt;=Condition!$F$16,Condition!$D$16,IF(DN13&lt;=Condition!$F$17,Condition!$D$17,IF(DN13&lt;=Condition!$F$18,Condition!$D$18,IF(DN13&gt;Condition!$E$19,Condition!$D$19,"")))))</f>
        <v>0</v>
      </c>
      <c r="DO56" s="85">
        <f>IF(DO13&lt;=Condition!$E$16,0,IF(DO13&lt;=Condition!$F$16,Condition!$D$16,IF(DO13&lt;=Condition!$F$17,Condition!$D$17,IF(DO13&lt;=Condition!$F$18,Condition!$D$18,IF(DO13&gt;Condition!$E$19,Condition!$D$19,"")))))</f>
        <v>0</v>
      </c>
      <c r="DP56" s="85">
        <f>IF(DP13&lt;=Condition!$E$16,0,IF(DP13&lt;=Condition!$F$16,Condition!$D$16,IF(DP13&lt;=Condition!$F$17,Condition!$D$17,IF(DP13&lt;=Condition!$F$18,Condition!$D$18,IF(DP13&gt;Condition!$E$19,Condition!$D$19,"")))))</f>
        <v>0</v>
      </c>
      <c r="DQ56" s="85">
        <f>IF(DQ13&lt;=Condition!$E$16,0,IF(DQ13&lt;=Condition!$F$16,Condition!$D$16,IF(DQ13&lt;=Condition!$F$17,Condition!$D$17,IF(DQ13&lt;=Condition!$F$18,Condition!$D$18,IF(DQ13&gt;Condition!$E$19,Condition!$D$19,"")))))</f>
        <v>0</v>
      </c>
      <c r="DR56" s="85">
        <f>IF(DR13&lt;=Condition!$E$16,0,IF(DR13&lt;=Condition!$F$16,Condition!$D$16,IF(DR13&lt;=Condition!$F$17,Condition!$D$17,IF(DR13&lt;=Condition!$F$18,Condition!$D$18,IF(DR13&gt;Condition!$E$19,Condition!$D$19,"")))))</f>
        <v>0</v>
      </c>
      <c r="DS56" s="85">
        <f>IF(DS13&lt;=Condition!$E$16,0,IF(DS13&lt;=Condition!$F$16,Condition!$D$16,IF(DS13&lt;=Condition!$F$17,Condition!$D$17,IF(DS13&lt;=Condition!$F$18,Condition!$D$18,IF(DS13&gt;Condition!$E$19,Condition!$D$19,"")))))</f>
        <v>0</v>
      </c>
      <c r="DT56" s="85">
        <f>IF(DT13&lt;=Condition!$E$16,0,IF(DT13&lt;=Condition!$F$16,Condition!$D$16,IF(DT13&lt;=Condition!$F$17,Condition!$D$17,IF(DT13&lt;=Condition!$F$18,Condition!$D$18,IF(DT13&gt;Condition!$E$19,Condition!$D$19,"")))))</f>
        <v>0</v>
      </c>
      <c r="DU56" s="85">
        <f>IF(DU13&lt;=Condition!$E$16,0,IF(DU13&lt;=Condition!$F$16,Condition!$D$16,IF(DU13&lt;=Condition!$F$17,Condition!$D$17,IF(DU13&lt;=Condition!$F$18,Condition!$D$18,IF(DU13&gt;Condition!$E$19,Condition!$D$19,"")))))</f>
        <v>0</v>
      </c>
      <c r="DV56" s="85">
        <f>IF(DV13&lt;=Condition!$E$16,0,IF(DV13&lt;=Condition!$F$16,Condition!$D$16,IF(DV13&lt;=Condition!$F$17,Condition!$D$17,IF(DV13&lt;=Condition!$F$18,Condition!$D$18,IF(DV13&gt;Condition!$E$19,Condition!$D$19,"")))))</f>
        <v>0</v>
      </c>
      <c r="DW56" s="85">
        <f>IF(DW13&lt;=Condition!$E$16,0,IF(DW13&lt;=Condition!$F$16,Condition!$D$16,IF(DW13&lt;=Condition!$F$17,Condition!$D$17,IF(DW13&lt;=Condition!$F$18,Condition!$D$18,IF(DW13&gt;Condition!$E$19,Condition!$D$19,"")))))</f>
        <v>0</v>
      </c>
      <c r="DX56" s="85">
        <f>IF(DX13&lt;=Condition!$E$16,0,IF(DX13&lt;=Condition!$F$16,Condition!$D$16,IF(DX13&lt;=Condition!$F$17,Condition!$D$17,IF(DX13&lt;=Condition!$F$18,Condition!$D$18,IF(DX13&gt;Condition!$E$19,Condition!$D$19,"")))))</f>
        <v>0</v>
      </c>
      <c r="DY56" s="85">
        <f>IF(DY13&lt;=Condition!$E$16,0,IF(DY13&lt;=Condition!$F$16,Condition!$D$16,IF(DY13&lt;=Condition!$F$17,Condition!$D$17,IF(DY13&lt;=Condition!$F$18,Condition!$D$18,IF(DY13&gt;Condition!$E$19,Condition!$D$19,"")))))</f>
        <v>0</v>
      </c>
      <c r="DZ56" s="85">
        <f>IF(DZ13&lt;=Condition!$E$16,0,IF(DZ13&lt;=Condition!$F$16,Condition!$D$16,IF(DZ13&lt;=Condition!$F$17,Condition!$D$17,IF(DZ13&lt;=Condition!$F$18,Condition!$D$18,IF(DZ13&gt;Condition!$E$19,Condition!$D$19,"")))))</f>
        <v>0</v>
      </c>
      <c r="EA56" s="85">
        <f>IF(EA13&lt;=Condition!$E$16,0,IF(EA13&lt;=Condition!$F$16,Condition!$D$16,IF(EA13&lt;=Condition!$F$17,Condition!$D$17,IF(EA13&lt;=Condition!$F$18,Condition!$D$18,IF(EA13&gt;Condition!$E$19,Condition!$D$19,"")))))</f>
        <v>0</v>
      </c>
      <c r="EB56" s="85">
        <f>IF(EB13&lt;=Condition!$E$16,0,IF(EB13&lt;=Condition!$F$16,Condition!$D$16,IF(EB13&lt;=Condition!$F$17,Condition!$D$17,IF(EB13&lt;=Condition!$F$18,Condition!$D$18,IF(EB13&gt;Condition!$E$19,Condition!$D$19,"")))))</f>
        <v>0</v>
      </c>
      <c r="EC56" s="85">
        <f>IF(EC13&lt;=Condition!$E$16,0,IF(EC13&lt;=Condition!$F$16,Condition!$D$16,IF(EC13&lt;=Condition!$F$17,Condition!$D$17,IF(EC13&lt;=Condition!$F$18,Condition!$D$18,IF(EC13&gt;Condition!$E$19,Condition!$D$19,"")))))</f>
        <v>0</v>
      </c>
      <c r="ED56" s="85">
        <f>IF(ED13&lt;=Condition!$E$16,0,IF(ED13&lt;=Condition!$F$16,Condition!$D$16,IF(ED13&lt;=Condition!$F$17,Condition!$D$17,IF(ED13&lt;=Condition!$F$18,Condition!$D$18,IF(ED13&gt;Condition!$E$19,Condition!$D$19,"")))))</f>
        <v>0</v>
      </c>
      <c r="EE56" s="85">
        <f>IF(EE13&lt;=Condition!$E$16,0,IF(EE13&lt;=Condition!$F$16,Condition!$D$16,IF(EE13&lt;=Condition!$F$17,Condition!$D$17,IF(EE13&lt;=Condition!$F$18,Condition!$D$18,IF(EE13&gt;Condition!$E$19,Condition!$D$19,"")))))</f>
        <v>0</v>
      </c>
      <c r="EF56" s="85">
        <f>IF(EF13&lt;=Condition!$E$16,0,IF(EF13&lt;=Condition!$F$16,Condition!$D$16,IF(EF13&lt;=Condition!$F$17,Condition!$D$17,IF(EF13&lt;=Condition!$F$18,Condition!$D$18,IF(EF13&gt;Condition!$E$19,Condition!$D$19,"")))))</f>
        <v>0</v>
      </c>
      <c r="EG56" s="85">
        <f>IF(EG13&lt;=Condition!$E$16,0,IF(EG13&lt;=Condition!$F$16,Condition!$D$16,IF(EG13&lt;=Condition!$F$17,Condition!$D$17,IF(EG13&lt;=Condition!$F$18,Condition!$D$18,IF(EG13&gt;Condition!$E$19,Condition!$D$19,"")))))</f>
        <v>0</v>
      </c>
      <c r="EH56" s="85">
        <f>IF(EH13&lt;=Condition!$E$16,0,IF(EH13&lt;=Condition!$F$16,Condition!$D$16,IF(EH13&lt;=Condition!$F$17,Condition!$D$17,IF(EH13&lt;=Condition!$F$18,Condition!$D$18,IF(EH13&gt;Condition!$E$19,Condition!$D$19,"")))))</f>
        <v>0</v>
      </c>
      <c r="EI56" s="85">
        <f>IF(EI13&lt;=Condition!$E$16,0,IF(EI13&lt;=Condition!$F$16,Condition!$D$16,IF(EI13&lt;=Condition!$F$17,Condition!$D$17,IF(EI13&lt;=Condition!$F$18,Condition!$D$18,IF(EI13&gt;Condition!$E$19,Condition!$D$19,"")))))</f>
        <v>0</v>
      </c>
      <c r="EJ56" s="85">
        <f>IF(EJ13&lt;=Condition!$E$16,0,IF(EJ13&lt;=Condition!$F$16,Condition!$D$16,IF(EJ13&lt;=Condition!$F$17,Condition!$D$17,IF(EJ13&lt;=Condition!$F$18,Condition!$D$18,IF(EJ13&gt;Condition!$E$19,Condition!$D$19,"")))))</f>
        <v>0</v>
      </c>
      <c r="EK56" s="85">
        <f>IF(EK13&lt;=Condition!$E$16,0,IF(EK13&lt;=Condition!$F$16,Condition!$D$16,IF(EK13&lt;=Condition!$F$17,Condition!$D$17,IF(EK13&lt;=Condition!$F$18,Condition!$D$18,IF(EK13&gt;Condition!$E$19,Condition!$D$19,"")))))</f>
        <v>0</v>
      </c>
      <c r="EL56" s="85">
        <f>IF(EL13&lt;=Condition!$E$16,0,IF(EL13&lt;=Condition!$F$16,Condition!$D$16,IF(EL13&lt;=Condition!$F$17,Condition!$D$17,IF(EL13&lt;=Condition!$F$18,Condition!$D$18,IF(EL13&gt;Condition!$E$19,Condition!$D$19,"")))))</f>
        <v>0</v>
      </c>
      <c r="EM56" s="85">
        <f>IF(EM13&lt;=Condition!$E$16,0,IF(EM13&lt;=Condition!$F$16,Condition!$D$16,IF(EM13&lt;=Condition!$F$17,Condition!$D$17,IF(EM13&lt;=Condition!$F$18,Condition!$D$18,IF(EM13&gt;Condition!$E$19,Condition!$D$19,"")))))</f>
        <v>0</v>
      </c>
      <c r="EN56" s="85">
        <f>IF(EN13&lt;=Condition!$E$16,0,IF(EN13&lt;=Condition!$F$16,Condition!$D$16,IF(EN13&lt;=Condition!$F$17,Condition!$D$17,IF(EN13&lt;=Condition!$F$18,Condition!$D$18,IF(EN13&gt;Condition!$E$19,Condition!$D$19,"")))))</f>
        <v>0</v>
      </c>
      <c r="EO56" s="85">
        <f>IF(EO13&lt;=Condition!$E$16,0,IF(EO13&lt;=Condition!$F$16,Condition!$D$16,IF(EO13&lt;=Condition!$F$17,Condition!$D$17,IF(EO13&lt;=Condition!$F$18,Condition!$D$18,IF(EO13&gt;Condition!$E$19,Condition!$D$19,"")))))</f>
        <v>0</v>
      </c>
      <c r="EP56" s="85">
        <f>IF(EP13&lt;=Condition!$E$16,0,IF(EP13&lt;=Condition!$F$16,Condition!$D$16,IF(EP13&lt;=Condition!$F$17,Condition!$D$17,IF(EP13&lt;=Condition!$F$18,Condition!$D$18,IF(EP13&gt;Condition!$E$19,Condition!$D$19,"")))))</f>
        <v>0</v>
      </c>
      <c r="EQ56" s="85">
        <f>IF(EQ13&lt;=Condition!$E$16,0,IF(EQ13&lt;=Condition!$F$16,Condition!$D$16,IF(EQ13&lt;=Condition!$F$17,Condition!$D$17,IF(EQ13&lt;=Condition!$F$18,Condition!$D$18,IF(EQ13&gt;Condition!$E$19,Condition!$D$19,"")))))</f>
        <v>0</v>
      </c>
      <c r="ER56" s="85">
        <f>IF(ER13&lt;=Condition!$E$16,0,IF(ER13&lt;=Condition!$F$16,Condition!$D$16,IF(ER13&lt;=Condition!$F$17,Condition!$D$17,IF(ER13&lt;=Condition!$F$18,Condition!$D$18,IF(ER13&gt;Condition!$E$19,Condition!$D$19,"")))))</f>
        <v>0</v>
      </c>
      <c r="ES56" s="85">
        <f>IF(ES13&lt;=Condition!$E$16,0,IF(ES13&lt;=Condition!$F$16,Condition!$D$16,IF(ES13&lt;=Condition!$F$17,Condition!$D$17,IF(ES13&lt;=Condition!$F$18,Condition!$D$18,IF(ES13&gt;Condition!$E$19,Condition!$D$19,"")))))</f>
        <v>0</v>
      </c>
      <c r="ET56" s="85">
        <f>IF(ET13&lt;=Condition!$E$16,0,IF(ET13&lt;=Condition!$F$16,Condition!$D$16,IF(ET13&lt;=Condition!$F$17,Condition!$D$17,IF(ET13&lt;=Condition!$F$18,Condition!$D$18,IF(ET13&gt;Condition!$E$19,Condition!$D$19,"")))))</f>
        <v>0</v>
      </c>
      <c r="EU56" s="85">
        <f>IF(EU13&lt;=Condition!$E$16,0,IF(EU13&lt;=Condition!$F$16,Condition!$D$16,IF(EU13&lt;=Condition!$F$17,Condition!$D$17,IF(EU13&lt;=Condition!$F$18,Condition!$D$18,IF(EU13&gt;Condition!$E$19,Condition!$D$19,"")))))</f>
        <v>0</v>
      </c>
      <c r="EV56" s="85">
        <f>IF(EV13&lt;=Condition!$E$16,0,IF(EV13&lt;=Condition!$F$16,Condition!$D$16,IF(EV13&lt;=Condition!$F$17,Condition!$D$17,IF(EV13&lt;=Condition!$F$18,Condition!$D$18,IF(EV13&gt;Condition!$E$19,Condition!$D$19,"")))))</f>
        <v>0</v>
      </c>
      <c r="EW56" s="85">
        <f>IF(EW13&lt;=Condition!$E$16,0,IF(EW13&lt;=Condition!$F$16,Condition!$D$16,IF(EW13&lt;=Condition!$F$17,Condition!$D$17,IF(EW13&lt;=Condition!$F$18,Condition!$D$18,IF(EW13&gt;Condition!$E$19,Condition!$D$19,"")))))</f>
        <v>0</v>
      </c>
      <c r="EX56" s="85">
        <f>IF(EX13&lt;=Condition!$E$16,0,IF(EX13&lt;=Condition!$F$16,Condition!$D$16,IF(EX13&lt;=Condition!$F$17,Condition!$D$17,IF(EX13&lt;=Condition!$F$18,Condition!$D$18,IF(EX13&gt;Condition!$E$19,Condition!$D$19,"")))))</f>
        <v>0</v>
      </c>
      <c r="EY56" s="85">
        <f>IF(EY13&lt;=Condition!$E$16,0,IF(EY13&lt;=Condition!$F$16,Condition!$D$16,IF(EY13&lt;=Condition!$F$17,Condition!$D$17,IF(EY13&lt;=Condition!$F$18,Condition!$D$18,IF(EY13&gt;Condition!$E$19,Condition!$D$19,"")))))</f>
        <v>0</v>
      </c>
      <c r="EZ56" s="85">
        <f>IF(EZ13&lt;=Condition!$E$16,0,IF(EZ13&lt;=Condition!$F$16,Condition!$D$16,IF(EZ13&lt;=Condition!$F$17,Condition!$D$17,IF(EZ13&lt;=Condition!$F$18,Condition!$D$18,IF(EZ13&gt;Condition!$E$19,Condition!$D$19,"")))))</f>
        <v>0</v>
      </c>
      <c r="FA56" s="85">
        <f>IF(FA13&lt;=Condition!$E$16,0,IF(FA13&lt;=Condition!$F$16,Condition!$D$16,IF(FA13&lt;=Condition!$F$17,Condition!$D$17,IF(FA13&lt;=Condition!$F$18,Condition!$D$18,IF(FA13&gt;Condition!$E$19,Condition!$D$19,"")))))</f>
        <v>0</v>
      </c>
      <c r="FB56" s="85">
        <f>IF(FB13&lt;=Condition!$E$16,0,IF(FB13&lt;=Condition!$F$16,Condition!$D$16,IF(FB13&lt;=Condition!$F$17,Condition!$D$17,IF(FB13&lt;=Condition!$F$18,Condition!$D$18,IF(FB13&gt;Condition!$E$19,Condition!$D$19,"")))))</f>
        <v>0</v>
      </c>
      <c r="FC56" s="85">
        <f>IF(FC13&lt;=Condition!$E$16,0,IF(FC13&lt;=Condition!$F$16,Condition!$D$16,IF(FC13&lt;=Condition!$F$17,Condition!$D$17,IF(FC13&lt;=Condition!$F$18,Condition!$D$18,IF(FC13&gt;Condition!$E$19,Condition!$D$19,"")))))</f>
        <v>0</v>
      </c>
      <c r="FD56" s="85">
        <f>IF(FD13&lt;=Condition!$E$16,0,IF(FD13&lt;=Condition!$F$16,Condition!$D$16,IF(FD13&lt;=Condition!$F$17,Condition!$D$17,IF(FD13&lt;=Condition!$F$18,Condition!$D$18,IF(FD13&gt;Condition!$E$19,Condition!$D$19,"")))))</f>
        <v>0</v>
      </c>
      <c r="FE56" s="85">
        <f>IF(FE13&lt;=Condition!$E$16,0,IF(FE13&lt;=Condition!$F$16,Condition!$D$16,IF(FE13&lt;=Condition!$F$17,Condition!$D$17,IF(FE13&lt;=Condition!$F$18,Condition!$D$18,IF(FE13&gt;Condition!$E$19,Condition!$D$19,"")))))</f>
        <v>0</v>
      </c>
      <c r="FF56" s="85">
        <f>IF(FF13&lt;=Condition!$E$16,0,IF(FF13&lt;=Condition!$F$16,Condition!$D$16,IF(FF13&lt;=Condition!$F$17,Condition!$D$17,IF(FF13&lt;=Condition!$F$18,Condition!$D$18,IF(FF13&gt;Condition!$E$19,Condition!$D$19,"")))))</f>
        <v>0</v>
      </c>
      <c r="FG56" s="85">
        <f>IF(FG13&lt;=Condition!$E$16,0,IF(FG13&lt;=Condition!$F$16,Condition!$D$16,IF(FG13&lt;=Condition!$F$17,Condition!$D$17,IF(FG13&lt;=Condition!$F$18,Condition!$D$18,IF(FG13&gt;Condition!$E$19,Condition!$D$19,"")))))</f>
        <v>0</v>
      </c>
      <c r="FH56" s="85">
        <f>IF(FH13&lt;=Condition!$E$16,0,IF(FH13&lt;=Condition!$F$16,Condition!$D$16,IF(FH13&lt;=Condition!$F$17,Condition!$D$17,IF(FH13&lt;=Condition!$F$18,Condition!$D$18,IF(FH13&gt;Condition!$E$19,Condition!$D$19,"")))))</f>
        <v>0</v>
      </c>
      <c r="FI56" s="85">
        <f>IF(FI13&lt;=Condition!$E$16,0,IF(FI13&lt;=Condition!$F$16,Condition!$D$16,IF(FI13&lt;=Condition!$F$17,Condition!$D$17,IF(FI13&lt;=Condition!$F$18,Condition!$D$18,IF(FI13&gt;Condition!$E$19,Condition!$D$19,"")))))</f>
        <v>0</v>
      </c>
      <c r="FJ56" s="85">
        <f>IF(FJ13&lt;=Condition!$E$16,0,IF(FJ13&lt;=Condition!$F$16,Condition!$D$16,IF(FJ13&lt;=Condition!$F$17,Condition!$D$17,IF(FJ13&lt;=Condition!$F$18,Condition!$D$18,IF(FJ13&gt;Condition!$E$19,Condition!$D$19,"")))))</f>
        <v>0</v>
      </c>
      <c r="FK56" s="85">
        <f>IF(FK13&lt;=Condition!$E$16,0,IF(FK13&lt;=Condition!$F$16,Condition!$D$16,IF(FK13&lt;=Condition!$F$17,Condition!$D$17,IF(FK13&lt;=Condition!$F$18,Condition!$D$18,IF(FK13&gt;Condition!$E$19,Condition!$D$19,"")))))</f>
        <v>0</v>
      </c>
      <c r="FL56" s="85">
        <f>IF(FL13&lt;=Condition!$E$16,0,IF(FL13&lt;=Condition!$F$16,Condition!$D$16,IF(FL13&lt;=Condition!$F$17,Condition!$D$17,IF(FL13&lt;=Condition!$F$18,Condition!$D$18,IF(FL13&gt;Condition!$E$19,Condition!$D$19,"")))))</f>
        <v>0</v>
      </c>
      <c r="FM56" s="85">
        <f>IF(FM13&lt;=Condition!$E$16,0,IF(FM13&lt;=Condition!$F$16,Condition!$D$16,IF(FM13&lt;=Condition!$F$17,Condition!$D$17,IF(FM13&lt;=Condition!$F$18,Condition!$D$18,IF(FM13&gt;Condition!$E$19,Condition!$D$19,"")))))</f>
        <v>0</v>
      </c>
      <c r="FN56" s="85">
        <f>IF(FN13&lt;=Condition!$E$16,0,IF(FN13&lt;=Condition!$F$16,Condition!$D$16,IF(FN13&lt;=Condition!$F$17,Condition!$D$17,IF(FN13&lt;=Condition!$F$18,Condition!$D$18,IF(FN13&gt;Condition!$E$19,Condition!$D$19,"")))))</f>
        <v>0</v>
      </c>
      <c r="FO56" s="85">
        <f>IF(FO13&lt;=Condition!$E$16,0,IF(FO13&lt;=Condition!$F$16,Condition!$D$16,IF(FO13&lt;=Condition!$F$17,Condition!$D$17,IF(FO13&lt;=Condition!$F$18,Condition!$D$18,IF(FO13&gt;Condition!$E$19,Condition!$D$19,"")))))</f>
        <v>0</v>
      </c>
      <c r="FP56" s="85">
        <f>IF(FP13&lt;=Condition!$E$16,0,IF(FP13&lt;=Condition!$F$16,Condition!$D$16,IF(FP13&lt;=Condition!$F$17,Condition!$D$17,IF(FP13&lt;=Condition!$F$18,Condition!$D$18,IF(FP13&gt;Condition!$E$19,Condition!$D$19,"")))))</f>
        <v>0</v>
      </c>
      <c r="FQ56" s="85">
        <f>IF(FQ13&lt;=Condition!$E$16,0,IF(FQ13&lt;=Condition!$F$16,Condition!$D$16,IF(FQ13&lt;=Condition!$F$17,Condition!$D$17,IF(FQ13&lt;=Condition!$F$18,Condition!$D$18,IF(FQ13&gt;Condition!$E$19,Condition!$D$19,"")))))</f>
        <v>0</v>
      </c>
      <c r="FR56" s="85">
        <f>IF(FR13&lt;=Condition!$E$16,0,IF(FR13&lt;=Condition!$F$16,Condition!$D$16,IF(FR13&lt;=Condition!$F$17,Condition!$D$17,IF(FR13&lt;=Condition!$F$18,Condition!$D$18,IF(FR13&gt;Condition!$E$19,Condition!$D$19,"")))))</f>
        <v>0</v>
      </c>
      <c r="FS56" s="85">
        <f>IF(FS13&lt;=Condition!$E$16,0,IF(FS13&lt;=Condition!$F$16,Condition!$D$16,IF(FS13&lt;=Condition!$F$17,Condition!$D$17,IF(FS13&lt;=Condition!$F$18,Condition!$D$18,IF(FS13&gt;Condition!$E$19,Condition!$D$19,"")))))</f>
        <v>0</v>
      </c>
      <c r="FT56" s="85">
        <f>IF(FT13&lt;=Condition!$E$16,0,IF(FT13&lt;=Condition!$F$16,Condition!$D$16,IF(FT13&lt;=Condition!$F$17,Condition!$D$17,IF(FT13&lt;=Condition!$F$18,Condition!$D$18,IF(FT13&gt;Condition!$E$19,Condition!$D$19,"")))))</f>
        <v>0</v>
      </c>
      <c r="FU56" s="85">
        <f>IF(FU13&lt;=Condition!$E$16,0,IF(FU13&lt;=Condition!$F$16,Condition!$D$16,IF(FU13&lt;=Condition!$F$17,Condition!$D$17,IF(FU13&lt;=Condition!$F$18,Condition!$D$18,IF(FU13&gt;Condition!$E$19,Condition!$D$19,"")))))</f>
        <v>0</v>
      </c>
      <c r="FV56" s="85">
        <f>IF(FV13&lt;=Condition!$E$16,0,IF(FV13&lt;=Condition!$F$16,Condition!$D$16,IF(FV13&lt;=Condition!$F$17,Condition!$D$17,IF(FV13&lt;=Condition!$F$18,Condition!$D$18,IF(FV13&gt;Condition!$E$19,Condition!$D$19,"")))))</f>
        <v>0</v>
      </c>
      <c r="FW56" s="85">
        <f>IF(FW13&lt;=Condition!$E$16,0,IF(FW13&lt;=Condition!$F$16,Condition!$D$16,IF(FW13&lt;=Condition!$F$17,Condition!$D$17,IF(FW13&lt;=Condition!$F$18,Condition!$D$18,IF(FW13&gt;Condition!$E$19,Condition!$D$19,"")))))</f>
        <v>0</v>
      </c>
      <c r="FX56" s="85">
        <f>IF(FX13&lt;=Condition!$E$16,0,IF(FX13&lt;=Condition!$F$16,Condition!$D$16,IF(FX13&lt;=Condition!$F$17,Condition!$D$17,IF(FX13&lt;=Condition!$F$18,Condition!$D$18,IF(FX13&gt;Condition!$E$19,Condition!$D$19,"")))))</f>
        <v>0</v>
      </c>
      <c r="FY56" s="85">
        <f>IF(FY13&lt;=Condition!$E$16,0,IF(FY13&lt;=Condition!$F$16,Condition!$D$16,IF(FY13&lt;=Condition!$F$17,Condition!$D$17,IF(FY13&lt;=Condition!$F$18,Condition!$D$18,IF(FY13&gt;Condition!$E$19,Condition!$D$19,"")))))</f>
        <v>0</v>
      </c>
      <c r="FZ56" s="85">
        <f>IF(FZ13&lt;=Condition!$E$16,0,IF(FZ13&lt;=Condition!$F$16,Condition!$D$16,IF(FZ13&lt;=Condition!$F$17,Condition!$D$17,IF(FZ13&lt;=Condition!$F$18,Condition!$D$18,IF(FZ13&gt;Condition!$E$19,Condition!$D$19,"")))))</f>
        <v>0</v>
      </c>
      <c r="GA56" s="85">
        <f>IF(GA13&lt;=Condition!$E$16,0,IF(GA13&lt;=Condition!$F$16,Condition!$D$16,IF(GA13&lt;=Condition!$F$17,Condition!$D$17,IF(GA13&lt;=Condition!$F$18,Condition!$D$18,IF(GA13&gt;Condition!$E$19,Condition!$D$19,"")))))</f>
        <v>0</v>
      </c>
      <c r="GB56" s="85">
        <f>IF(GB13&lt;=Condition!$E$16,0,IF(GB13&lt;=Condition!$F$16,Condition!$D$16,IF(GB13&lt;=Condition!$F$17,Condition!$D$17,IF(GB13&lt;=Condition!$F$18,Condition!$D$18,IF(GB13&gt;Condition!$E$19,Condition!$D$19,"")))))</f>
        <v>0</v>
      </c>
      <c r="GC56" s="85">
        <f>IF(GC13&lt;=Condition!$E$16,0,IF(GC13&lt;=Condition!$F$16,Condition!$D$16,IF(GC13&lt;=Condition!$F$17,Condition!$D$17,IF(GC13&lt;=Condition!$F$18,Condition!$D$18,IF(GC13&gt;Condition!$E$19,Condition!$D$19,"")))))</f>
        <v>0</v>
      </c>
      <c r="GD56" s="85">
        <f>IF(GD13&lt;=Condition!$E$16,0,IF(GD13&lt;=Condition!$F$16,Condition!$D$16,IF(GD13&lt;=Condition!$F$17,Condition!$D$17,IF(GD13&lt;=Condition!$F$18,Condition!$D$18,IF(GD13&gt;Condition!$E$19,Condition!$D$19,"")))))</f>
        <v>0</v>
      </c>
      <c r="GE56" s="85">
        <f>IF(GE13&lt;=Condition!$E$16,0,IF(GE13&lt;=Condition!$F$16,Condition!$D$16,IF(GE13&lt;=Condition!$F$17,Condition!$D$17,IF(GE13&lt;=Condition!$F$18,Condition!$D$18,IF(GE13&gt;Condition!$E$19,Condition!$D$19,"")))))</f>
        <v>0</v>
      </c>
      <c r="GF56" s="85">
        <f>IF(GF13&lt;=Condition!$E$16,0,IF(GF13&lt;=Condition!$F$16,Condition!$D$16,IF(GF13&lt;=Condition!$F$17,Condition!$D$17,IF(GF13&lt;=Condition!$F$18,Condition!$D$18,IF(GF13&gt;Condition!$E$19,Condition!$D$19,"")))))</f>
        <v>0</v>
      </c>
      <c r="GG56" s="85">
        <f>IF(GG13&lt;=Condition!$E$16,0,IF(GG13&lt;=Condition!$F$16,Condition!$D$16,IF(GG13&lt;=Condition!$F$17,Condition!$D$17,IF(GG13&lt;=Condition!$F$18,Condition!$D$18,IF(GG13&gt;Condition!$E$19,Condition!$D$19,"")))))</f>
        <v>0</v>
      </c>
      <c r="GH56" s="85">
        <f>IF(GH13&lt;=Condition!$E$16,0,IF(GH13&lt;=Condition!$F$16,Condition!$D$16,IF(GH13&lt;=Condition!$F$17,Condition!$D$17,IF(GH13&lt;=Condition!$F$18,Condition!$D$18,IF(GH13&gt;Condition!$E$19,Condition!$D$19,"")))))</f>
        <v>0</v>
      </c>
      <c r="GI56" s="85">
        <f>IF(GI13&lt;=Condition!$E$16,0,IF(GI13&lt;=Condition!$F$16,Condition!$D$16,IF(GI13&lt;=Condition!$F$17,Condition!$D$17,IF(GI13&lt;=Condition!$F$18,Condition!$D$18,IF(GI13&gt;Condition!$E$19,Condition!$D$19,"")))))</f>
        <v>0</v>
      </c>
      <c r="GJ56" s="85">
        <f>IF(GJ13&lt;=Condition!$E$16,0,IF(GJ13&lt;=Condition!$F$16,Condition!$D$16,IF(GJ13&lt;=Condition!$F$17,Condition!$D$17,IF(GJ13&lt;=Condition!$F$18,Condition!$D$18,IF(GJ13&gt;Condition!$E$19,Condition!$D$19,"")))))</f>
        <v>0</v>
      </c>
      <c r="GK56" s="85">
        <f>IF(GK13&lt;=Condition!$E$16,0,IF(GK13&lt;=Condition!$F$16,Condition!$D$16,IF(GK13&lt;=Condition!$F$17,Condition!$D$17,IF(GK13&lt;=Condition!$F$18,Condition!$D$18,IF(GK13&gt;Condition!$E$19,Condition!$D$19,"")))))</f>
        <v>0</v>
      </c>
      <c r="GL56" s="85">
        <f>IF(GL13&lt;=Condition!$E$16,0,IF(GL13&lt;=Condition!$F$16,Condition!$D$16,IF(GL13&lt;=Condition!$F$17,Condition!$D$17,IF(GL13&lt;=Condition!$F$18,Condition!$D$18,IF(GL13&gt;Condition!$E$19,Condition!$D$19,"")))))</f>
        <v>0</v>
      </c>
      <c r="GM56" s="85">
        <f>IF(GM13&lt;=Condition!$E$16,0,IF(GM13&lt;=Condition!$F$16,Condition!$D$16,IF(GM13&lt;=Condition!$F$17,Condition!$D$17,IF(GM13&lt;=Condition!$F$18,Condition!$D$18,IF(GM13&gt;Condition!$E$19,Condition!$D$19,"")))))</f>
        <v>0</v>
      </c>
      <c r="GN56" s="85">
        <f>IF(GN13&lt;=Condition!$E$16,0,IF(GN13&lt;=Condition!$F$16,Condition!$D$16,IF(GN13&lt;=Condition!$F$17,Condition!$D$17,IF(GN13&lt;=Condition!$F$18,Condition!$D$18,IF(GN13&gt;Condition!$E$19,Condition!$D$19,"")))))</f>
        <v>0</v>
      </c>
      <c r="GO56" s="85">
        <f>IF(GO13&lt;=Condition!$E$16,0,IF(GO13&lt;=Condition!$F$16,Condition!$D$16,IF(GO13&lt;=Condition!$F$17,Condition!$D$17,IF(GO13&lt;=Condition!$F$18,Condition!$D$18,IF(GO13&gt;Condition!$E$19,Condition!$D$19,"")))))</f>
        <v>0</v>
      </c>
      <c r="GP56" s="85">
        <f>IF(GP13&lt;=Condition!$E$16,0,IF(GP13&lt;=Condition!$F$16,Condition!$D$16,IF(GP13&lt;=Condition!$F$17,Condition!$D$17,IF(GP13&lt;=Condition!$F$18,Condition!$D$18,IF(GP13&gt;Condition!$E$19,Condition!$D$19,"")))))</f>
        <v>0</v>
      </c>
      <c r="GQ56" s="85">
        <f>IF(GQ13&lt;=Condition!$E$16,0,IF(GQ13&lt;=Condition!$F$16,Condition!$D$16,IF(GQ13&lt;=Condition!$F$17,Condition!$D$17,IF(GQ13&lt;=Condition!$F$18,Condition!$D$18,IF(GQ13&gt;Condition!$E$19,Condition!$D$19,"")))))</f>
        <v>0</v>
      </c>
      <c r="GR56" s="85">
        <f>IF(GR13&lt;=Condition!$E$16,0,IF(GR13&lt;=Condition!$F$16,Condition!$D$16,IF(GR13&lt;=Condition!$F$17,Condition!$D$17,IF(GR13&lt;=Condition!$F$18,Condition!$D$18,IF(GR13&gt;Condition!$E$19,Condition!$D$19,"")))))</f>
        <v>0</v>
      </c>
      <c r="GS56" s="85">
        <f>IF(GS13&lt;=Condition!$E$16,0,IF(GS13&lt;=Condition!$F$16,Condition!$D$16,IF(GS13&lt;=Condition!$F$17,Condition!$D$17,IF(GS13&lt;=Condition!$F$18,Condition!$D$18,IF(GS13&gt;Condition!$E$19,Condition!$D$19,"")))))</f>
        <v>0</v>
      </c>
      <c r="GT56" s="85">
        <f>IF(GT13&lt;=Condition!$E$16,0,IF(GT13&lt;=Condition!$F$16,Condition!$D$16,IF(GT13&lt;=Condition!$F$17,Condition!$D$17,IF(GT13&lt;=Condition!$F$18,Condition!$D$18,IF(GT13&gt;Condition!$E$19,Condition!$D$19,"")))))</f>
        <v>0</v>
      </c>
      <c r="GU56" s="85">
        <f>IF(GU13&lt;=Condition!$E$16,0,IF(GU13&lt;=Condition!$F$16,Condition!$D$16,IF(GU13&lt;=Condition!$F$17,Condition!$D$17,IF(GU13&lt;=Condition!$F$18,Condition!$D$18,IF(GU13&gt;Condition!$E$19,Condition!$D$19,"")))))</f>
        <v>0</v>
      </c>
      <c r="GV56" s="85">
        <f>IF(GV13&lt;=Condition!$E$16,0,IF(GV13&lt;=Condition!$F$16,Condition!$D$16,IF(GV13&lt;=Condition!$F$17,Condition!$D$17,IF(GV13&lt;=Condition!$F$18,Condition!$D$18,IF(GV13&gt;Condition!$E$19,Condition!$D$19,"")))))</f>
        <v>0</v>
      </c>
      <c r="GW56" s="85">
        <f>IF(GW13&lt;=Condition!$E$16,0,IF(GW13&lt;=Condition!$F$16,Condition!$D$16,IF(GW13&lt;=Condition!$F$17,Condition!$D$17,IF(GW13&lt;=Condition!$F$18,Condition!$D$18,IF(GW13&gt;Condition!$E$19,Condition!$D$19,"")))))</f>
        <v>0</v>
      </c>
      <c r="GX56" s="85">
        <f>IF(GX13&lt;=Condition!$E$16,0,IF(GX13&lt;=Condition!$F$16,Condition!$D$16,IF(GX13&lt;=Condition!$F$17,Condition!$D$17,IF(GX13&lt;=Condition!$F$18,Condition!$D$18,IF(GX13&gt;Condition!$E$19,Condition!$D$19,"")))))</f>
        <v>0</v>
      </c>
      <c r="GY56" s="85">
        <f>IF(GY13&lt;=Condition!$E$16,0,IF(GY13&lt;=Condition!$F$16,Condition!$D$16,IF(GY13&lt;=Condition!$F$17,Condition!$D$17,IF(GY13&lt;=Condition!$F$18,Condition!$D$18,IF(GY13&gt;Condition!$E$19,Condition!$D$19,"")))))</f>
        <v>0</v>
      </c>
      <c r="GZ56" s="85">
        <f>IF(GZ13&lt;=Condition!$E$16,0,IF(GZ13&lt;=Condition!$F$16,Condition!$D$16,IF(GZ13&lt;=Condition!$F$17,Condition!$D$17,IF(GZ13&lt;=Condition!$F$18,Condition!$D$18,IF(GZ13&gt;Condition!$E$19,Condition!$D$19,"")))))</f>
        <v>0</v>
      </c>
      <c r="HA56" s="85">
        <f>IF(HA13&lt;=Condition!$E$16,0,IF(HA13&lt;=Condition!$F$16,Condition!$D$16,IF(HA13&lt;=Condition!$F$17,Condition!$D$17,IF(HA13&lt;=Condition!$F$18,Condition!$D$18,IF(HA13&gt;Condition!$E$19,Condition!$D$19,"")))))</f>
        <v>0</v>
      </c>
      <c r="HB56" s="85">
        <f>IF(HB13&lt;=Condition!$E$16,0,IF(HB13&lt;=Condition!$F$16,Condition!$D$16,IF(HB13&lt;=Condition!$F$17,Condition!$D$17,IF(HB13&lt;=Condition!$F$18,Condition!$D$18,IF(HB13&gt;Condition!$E$19,Condition!$D$19,"")))))</f>
        <v>0</v>
      </c>
      <c r="HC56" s="85">
        <f>IF(HC13&lt;=Condition!$E$16,0,IF(HC13&lt;=Condition!$F$16,Condition!$D$16,IF(HC13&lt;=Condition!$F$17,Condition!$D$17,IF(HC13&lt;=Condition!$F$18,Condition!$D$18,IF(HC13&gt;Condition!$E$19,Condition!$D$19,"")))))</f>
        <v>0</v>
      </c>
      <c r="HD56" s="85">
        <f>IF(HD13&lt;=Condition!$E$16,0,IF(HD13&lt;=Condition!$F$16,Condition!$D$16,IF(HD13&lt;=Condition!$F$17,Condition!$D$17,IF(HD13&lt;=Condition!$F$18,Condition!$D$18,IF(HD13&gt;Condition!$E$19,Condition!$D$19,"")))))</f>
        <v>0</v>
      </c>
      <c r="HE56" s="85">
        <f>IF(HE13&lt;=Condition!$E$16,0,IF(HE13&lt;=Condition!$F$16,Condition!$D$16,IF(HE13&lt;=Condition!$F$17,Condition!$D$17,IF(HE13&lt;=Condition!$F$18,Condition!$D$18,IF(HE13&gt;Condition!$E$19,Condition!$D$19,"")))))</f>
        <v>0</v>
      </c>
      <c r="HF56" s="85">
        <f>IF(HF13&lt;=Condition!$E$16,0,IF(HF13&lt;=Condition!$F$16,Condition!$D$16,IF(HF13&lt;=Condition!$F$17,Condition!$D$17,IF(HF13&lt;=Condition!$F$18,Condition!$D$18,IF(HF13&gt;Condition!$E$19,Condition!$D$19,"")))))</f>
        <v>0</v>
      </c>
      <c r="HG56" s="85">
        <f>IF(HG13&lt;=Condition!$E$16,0,IF(HG13&lt;=Condition!$F$16,Condition!$D$16,IF(HG13&lt;=Condition!$F$17,Condition!$D$17,IF(HG13&lt;=Condition!$F$18,Condition!$D$18,IF(HG13&gt;Condition!$E$19,Condition!$D$19,"")))))</f>
        <v>0</v>
      </c>
      <c r="HH56" s="85">
        <f>IF(HH13&lt;=Condition!$E$16,0,IF(HH13&lt;=Condition!$F$16,Condition!$D$16,IF(HH13&lt;=Condition!$F$17,Condition!$D$17,IF(HH13&lt;=Condition!$F$18,Condition!$D$18,IF(HH13&gt;Condition!$E$19,Condition!$D$19,"")))))</f>
        <v>0</v>
      </c>
      <c r="HI56" s="85">
        <f>IF(HI13&lt;=Condition!$E$16,0,IF(HI13&lt;=Condition!$F$16,Condition!$D$16,IF(HI13&lt;=Condition!$F$17,Condition!$D$17,IF(HI13&lt;=Condition!$F$18,Condition!$D$18,IF(HI13&gt;Condition!$E$19,Condition!$D$19,"")))))</f>
        <v>0</v>
      </c>
      <c r="HJ56" s="85">
        <f>IF(HJ13&lt;=Condition!$E$16,0,IF(HJ13&lt;=Condition!$F$16,Condition!$D$16,IF(HJ13&lt;=Condition!$F$17,Condition!$D$17,IF(HJ13&lt;=Condition!$F$18,Condition!$D$18,IF(HJ13&gt;Condition!$E$19,Condition!$D$19,"")))))</f>
        <v>0</v>
      </c>
      <c r="HK56" s="85">
        <f>IF(HK13&lt;=Condition!$E$16,0,IF(HK13&lt;=Condition!$F$16,Condition!$D$16,IF(HK13&lt;=Condition!$F$17,Condition!$D$17,IF(HK13&lt;=Condition!$F$18,Condition!$D$18,IF(HK13&gt;Condition!$E$19,Condition!$D$19,"")))))</f>
        <v>0</v>
      </c>
      <c r="HL56" s="85">
        <f>IF(HL13&lt;=Condition!$E$16,0,IF(HL13&lt;=Condition!$F$16,Condition!$D$16,IF(HL13&lt;=Condition!$F$17,Condition!$D$17,IF(HL13&lt;=Condition!$F$18,Condition!$D$18,IF(HL13&gt;Condition!$E$19,Condition!$D$19,"")))))</f>
        <v>0</v>
      </c>
      <c r="HM56" s="85">
        <f>IF(HM13&lt;=Condition!$E$16,0,IF(HM13&lt;=Condition!$F$16,Condition!$D$16,IF(HM13&lt;=Condition!$F$17,Condition!$D$17,IF(HM13&lt;=Condition!$F$18,Condition!$D$18,IF(HM13&gt;Condition!$E$19,Condition!$D$19,"")))))</f>
        <v>0</v>
      </c>
      <c r="HN56" s="85">
        <f>IF(HN13&lt;=Condition!$E$16,0,IF(HN13&lt;=Condition!$F$16,Condition!$D$16,IF(HN13&lt;=Condition!$F$17,Condition!$D$17,IF(HN13&lt;=Condition!$F$18,Condition!$D$18,IF(HN13&gt;Condition!$E$19,Condition!$D$19,"")))))</f>
        <v>0</v>
      </c>
      <c r="HO56" s="85">
        <f>IF(HO13&lt;=Condition!$E$16,0,IF(HO13&lt;=Condition!$F$16,Condition!$D$16,IF(HO13&lt;=Condition!$F$17,Condition!$D$17,IF(HO13&lt;=Condition!$F$18,Condition!$D$18,IF(HO13&gt;Condition!$E$19,Condition!$D$19,"")))))</f>
        <v>0</v>
      </c>
      <c r="HP56" s="85">
        <f>IF(HP13&lt;=Condition!$E$16,0,IF(HP13&lt;=Condition!$F$16,Condition!$D$16,IF(HP13&lt;=Condition!$F$17,Condition!$D$17,IF(HP13&lt;=Condition!$F$18,Condition!$D$18,IF(HP13&gt;Condition!$E$19,Condition!$D$19,"")))))</f>
        <v>0</v>
      </c>
      <c r="HQ56" s="85">
        <f>IF(HQ13&lt;=Condition!$E$16,0,IF(HQ13&lt;=Condition!$F$16,Condition!$D$16,IF(HQ13&lt;=Condition!$F$17,Condition!$D$17,IF(HQ13&lt;=Condition!$F$18,Condition!$D$18,IF(HQ13&gt;Condition!$E$19,Condition!$D$19,"")))))</f>
        <v>0</v>
      </c>
      <c r="HR56" s="85">
        <f>IF(HR13&lt;=Condition!$E$16,0,IF(HR13&lt;=Condition!$F$16,Condition!$D$16,IF(HR13&lt;=Condition!$F$17,Condition!$D$17,IF(HR13&lt;=Condition!$F$18,Condition!$D$18,IF(HR13&gt;Condition!$E$19,Condition!$D$19,"")))))</f>
        <v>0</v>
      </c>
      <c r="HS56" s="85">
        <f>IF(HS13&lt;=Condition!$E$16,0,IF(HS13&lt;=Condition!$F$16,Condition!$D$16,IF(HS13&lt;=Condition!$F$17,Condition!$D$17,IF(HS13&lt;=Condition!$F$18,Condition!$D$18,IF(HS13&gt;Condition!$E$19,Condition!$D$19,"")))))</f>
        <v>0</v>
      </c>
      <c r="HT56" s="85">
        <f>IF(HT13&lt;=Condition!$E$16,0,IF(HT13&lt;=Condition!$F$16,Condition!$D$16,IF(HT13&lt;=Condition!$F$17,Condition!$D$17,IF(HT13&lt;=Condition!$F$18,Condition!$D$18,IF(HT13&gt;Condition!$E$19,Condition!$D$19,"")))))</f>
        <v>0</v>
      </c>
      <c r="HU56" s="85">
        <f>IF(HU13&lt;=Condition!$E$16,0,IF(HU13&lt;=Condition!$F$16,Condition!$D$16,IF(HU13&lt;=Condition!$F$17,Condition!$D$17,IF(HU13&lt;=Condition!$F$18,Condition!$D$18,IF(HU13&gt;Condition!$E$19,Condition!$D$19,"")))))</f>
        <v>0</v>
      </c>
      <c r="HV56" s="85">
        <f>IF(HV13&lt;=Condition!$E$16,0,IF(HV13&lt;=Condition!$F$16,Condition!$D$16,IF(HV13&lt;=Condition!$F$17,Condition!$D$17,IF(HV13&lt;=Condition!$F$18,Condition!$D$18,IF(HV13&gt;Condition!$E$19,Condition!$D$19,"")))))</f>
        <v>0</v>
      </c>
      <c r="HW56" s="85">
        <f>IF(HW13&lt;=Condition!$E$16,0,IF(HW13&lt;=Condition!$F$16,Condition!$D$16,IF(HW13&lt;=Condition!$F$17,Condition!$D$17,IF(HW13&lt;=Condition!$F$18,Condition!$D$18,IF(HW13&gt;Condition!$E$19,Condition!$D$19,"")))))</f>
        <v>0</v>
      </c>
      <c r="HX56" s="85">
        <f>IF(HX13&lt;=Condition!$E$16,0,IF(HX13&lt;=Condition!$F$16,Condition!$D$16,IF(HX13&lt;=Condition!$F$17,Condition!$D$17,IF(HX13&lt;=Condition!$F$18,Condition!$D$18,IF(HX13&gt;Condition!$E$19,Condition!$D$19,"")))))</f>
        <v>0</v>
      </c>
      <c r="HY56" s="85">
        <f>IF(HY13&lt;=Condition!$E$16,0,IF(HY13&lt;=Condition!$F$16,Condition!$D$16,IF(HY13&lt;=Condition!$F$17,Condition!$D$17,IF(HY13&lt;=Condition!$F$18,Condition!$D$18,IF(HY13&gt;Condition!$E$19,Condition!$D$19,"")))))</f>
        <v>0</v>
      </c>
      <c r="HZ56" s="85">
        <f>IF(HZ13&lt;=Condition!$E$16,0,IF(HZ13&lt;=Condition!$F$16,Condition!$D$16,IF(HZ13&lt;=Condition!$F$17,Condition!$D$17,IF(HZ13&lt;=Condition!$F$18,Condition!$D$18,IF(HZ13&gt;Condition!$E$19,Condition!$D$19,"")))))</f>
        <v>0</v>
      </c>
      <c r="IA56" s="85">
        <f>IF(IA13&lt;=Condition!$E$16,0,IF(IA13&lt;=Condition!$F$16,Condition!$D$16,IF(IA13&lt;=Condition!$F$17,Condition!$D$17,IF(IA13&lt;=Condition!$F$18,Condition!$D$18,IF(IA13&gt;Condition!$E$19,Condition!$D$19,"")))))</f>
        <v>0</v>
      </c>
      <c r="IB56" s="85">
        <f>IF(IB13&lt;=Condition!$E$16,0,IF(IB13&lt;=Condition!$F$16,Condition!$D$16,IF(IB13&lt;=Condition!$F$17,Condition!$D$17,IF(IB13&lt;=Condition!$F$18,Condition!$D$18,IF(IB13&gt;Condition!$E$19,Condition!$D$19,"")))))</f>
        <v>0</v>
      </c>
      <c r="IC56" s="85">
        <f>IF(IC13&lt;=Condition!$E$16,0,IF(IC13&lt;=Condition!$F$16,Condition!$D$16,IF(IC13&lt;=Condition!$F$17,Condition!$D$17,IF(IC13&lt;=Condition!$F$18,Condition!$D$18,IF(IC13&gt;Condition!$E$19,Condition!$D$19,"")))))</f>
        <v>0</v>
      </c>
      <c r="ID56" s="85">
        <f>IF(ID13&lt;=Condition!$E$16,0,IF(ID13&lt;=Condition!$F$16,Condition!$D$16,IF(ID13&lt;=Condition!$F$17,Condition!$D$17,IF(ID13&lt;=Condition!$F$18,Condition!$D$18,IF(ID13&gt;Condition!$E$19,Condition!$D$19,"")))))</f>
        <v>0</v>
      </c>
      <c r="IE56" s="85">
        <f>IF(IE13&lt;=Condition!$E$16,0,IF(IE13&lt;=Condition!$F$16,Condition!$D$16,IF(IE13&lt;=Condition!$F$17,Condition!$D$17,IF(IE13&lt;=Condition!$F$18,Condition!$D$18,IF(IE13&gt;Condition!$E$19,Condition!$D$19,"")))))</f>
        <v>0</v>
      </c>
      <c r="IF56" s="85">
        <f>IF(IF13&lt;=Condition!$E$16,0,IF(IF13&lt;=Condition!$F$16,Condition!$D$16,IF(IF13&lt;=Condition!$F$17,Condition!$D$17,IF(IF13&lt;=Condition!$F$18,Condition!$D$18,IF(IF13&gt;Condition!$E$19,Condition!$D$19,"")))))</f>
        <v>0</v>
      </c>
      <c r="IG56" s="85">
        <f>IF(IG13&lt;=Condition!$E$16,0,IF(IG13&lt;=Condition!$F$16,Condition!$D$16,IF(IG13&lt;=Condition!$F$17,Condition!$D$17,IF(IG13&lt;=Condition!$F$18,Condition!$D$18,IF(IG13&gt;Condition!$E$19,Condition!$D$19,"")))))</f>
        <v>0</v>
      </c>
      <c r="IH56" s="85">
        <f>IF(IH13&lt;=Condition!$E$16,0,IF(IH13&lt;=Condition!$F$16,Condition!$D$16,IF(IH13&lt;=Condition!$F$17,Condition!$D$17,IF(IH13&lt;=Condition!$F$18,Condition!$D$18,IF(IH13&gt;Condition!$E$19,Condition!$D$19,"")))))</f>
        <v>0</v>
      </c>
      <c r="II56" s="85">
        <f>IF(II13&lt;=Condition!$E$16,0,IF(II13&lt;=Condition!$F$16,Condition!$D$16,IF(II13&lt;=Condition!$F$17,Condition!$D$17,IF(II13&lt;=Condition!$F$18,Condition!$D$18,IF(II13&gt;Condition!$E$19,Condition!$D$19,"")))))</f>
        <v>0</v>
      </c>
      <c r="IJ56" s="85">
        <f>IF(IJ13&lt;=Condition!$E$16,0,IF(IJ13&lt;=Condition!$F$16,Condition!$D$16,IF(IJ13&lt;=Condition!$F$17,Condition!$D$17,IF(IJ13&lt;=Condition!$F$18,Condition!$D$18,IF(IJ13&gt;Condition!$E$19,Condition!$D$19,"")))))</f>
        <v>0</v>
      </c>
      <c r="IK56" s="85">
        <f>IF(IK13&lt;=Condition!$E$16,0,IF(IK13&lt;=Condition!$F$16,Condition!$D$16,IF(IK13&lt;=Condition!$F$17,Condition!$D$17,IF(IK13&lt;=Condition!$F$18,Condition!$D$18,IF(IK13&gt;Condition!$E$19,Condition!$D$19,"")))))</f>
        <v>0</v>
      </c>
      <c r="IL56" s="85">
        <f>IF(IL13&lt;=Condition!$E$16,0,IF(IL13&lt;=Condition!$F$16,Condition!$D$16,IF(IL13&lt;=Condition!$F$17,Condition!$D$17,IF(IL13&lt;=Condition!$F$18,Condition!$D$18,IF(IL13&gt;Condition!$E$19,Condition!$D$19,"")))))</f>
        <v>0</v>
      </c>
      <c r="IM56" s="85">
        <f>IF(IM13&lt;=Condition!$E$16,0,IF(IM13&lt;=Condition!$F$16,Condition!$D$16,IF(IM13&lt;=Condition!$F$17,Condition!$D$17,IF(IM13&lt;=Condition!$F$18,Condition!$D$18,IF(IM13&gt;Condition!$E$19,Condition!$D$19,"")))))</f>
        <v>0</v>
      </c>
      <c r="IN56" s="85">
        <f>IF(IN13&lt;=Condition!$E$16,0,IF(IN13&lt;=Condition!$F$16,Condition!$D$16,IF(IN13&lt;=Condition!$F$17,Condition!$D$17,IF(IN13&lt;=Condition!$F$18,Condition!$D$18,IF(IN13&gt;Condition!$E$19,Condition!$D$19,"")))))</f>
        <v>0</v>
      </c>
      <c r="IO56" s="85">
        <f>IF(IO13&lt;=Condition!$E$16,0,IF(IO13&lt;=Condition!$F$16,Condition!$D$16,IF(IO13&lt;=Condition!$F$17,Condition!$D$17,IF(IO13&lt;=Condition!$F$18,Condition!$D$18,IF(IO13&gt;Condition!$E$19,Condition!$D$19,"")))))</f>
        <v>0</v>
      </c>
      <c r="IP56" s="85">
        <f>IF(IP13&lt;=Condition!$E$16,0,IF(IP13&lt;=Condition!$F$16,Condition!$D$16,IF(IP13&lt;=Condition!$F$17,Condition!$D$17,IF(IP13&lt;=Condition!$F$18,Condition!$D$18,IF(IP13&gt;Condition!$E$19,Condition!$D$19,"")))))</f>
        <v>0</v>
      </c>
      <c r="IQ56" s="85">
        <f>IF(IQ13&lt;=Condition!$E$16,0,IF(IQ13&lt;=Condition!$F$16,Condition!$D$16,IF(IQ13&lt;=Condition!$F$17,Condition!$D$17,IF(IQ13&lt;=Condition!$F$18,Condition!$D$18,IF(IQ13&gt;Condition!$E$19,Condition!$D$19,"")))))</f>
        <v>0</v>
      </c>
      <c r="IR56" s="85">
        <f>IF(IR13&lt;=Condition!$E$16,0,IF(IR13&lt;=Condition!$F$16,Condition!$D$16,IF(IR13&lt;=Condition!$F$17,Condition!$D$17,IF(IR13&lt;=Condition!$F$18,Condition!$D$18,IF(IR13&gt;Condition!$E$19,Condition!$D$19,"")))))</f>
        <v>0</v>
      </c>
      <c r="IS56" s="85">
        <f>IF(IS13&lt;=Condition!$E$16,0,IF(IS13&lt;=Condition!$F$16,Condition!$D$16,IF(IS13&lt;=Condition!$F$17,Condition!$D$17,IF(IS13&lt;=Condition!$F$18,Condition!$D$18,IF(IS13&gt;Condition!$E$19,Condition!$D$19,"")))))</f>
        <v>0</v>
      </c>
      <c r="IT56" s="85">
        <f>IF(IT13&lt;=Condition!$E$16,0,IF(IT13&lt;=Condition!$F$16,Condition!$D$16,IF(IT13&lt;=Condition!$F$17,Condition!$D$17,IF(IT13&lt;=Condition!$F$18,Condition!$D$18,IF(IT13&gt;Condition!$E$19,Condition!$D$19,"")))))</f>
        <v>0</v>
      </c>
      <c r="IU56" s="85">
        <f>IF(IU13&lt;=Condition!$E$16,0,IF(IU13&lt;=Condition!$F$16,Condition!$D$16,IF(IU13&lt;=Condition!$F$17,Condition!$D$17,IF(IU13&lt;=Condition!$F$18,Condition!$D$18,IF(IU13&gt;Condition!$E$19,Condition!$D$19,"")))))</f>
        <v>0</v>
      </c>
      <c r="IV56" s="85">
        <f>IF(IV13&lt;=Condition!$E$16,0,IF(IV13&lt;=Condition!$F$16,Condition!$D$16,IF(IV13&lt;=Condition!$F$17,Condition!$D$17,IF(IV13&lt;=Condition!$F$18,Condition!$D$18,IF(IV13&gt;Condition!$E$19,Condition!$D$19,"")))))</f>
        <v>0</v>
      </c>
      <c r="IW56" s="85">
        <f>IF(IW13&lt;=Condition!$E$16,0,IF(IW13&lt;=Condition!$F$16,Condition!$D$16,IF(IW13&lt;=Condition!$F$17,Condition!$D$17,IF(IW13&lt;=Condition!$F$18,Condition!$D$18,IF(IW13&gt;Condition!$E$19,Condition!$D$19,"")))))</f>
        <v>0</v>
      </c>
      <c r="IX56" s="85">
        <f>IF(IX13&lt;=Condition!$E$16,0,IF(IX13&lt;=Condition!$F$16,Condition!$D$16,IF(IX13&lt;=Condition!$F$17,Condition!$D$17,IF(IX13&lt;=Condition!$F$18,Condition!$D$18,IF(IX13&gt;Condition!$E$19,Condition!$D$19,"")))))</f>
        <v>0</v>
      </c>
      <c r="IY56" s="85">
        <f>IF(IY13&lt;=Condition!$E$16,0,IF(IY13&lt;=Condition!$F$16,Condition!$D$16,IF(IY13&lt;=Condition!$F$17,Condition!$D$17,IF(IY13&lt;=Condition!$F$18,Condition!$D$18,IF(IY13&gt;Condition!$E$19,Condition!$D$19,"")))))</f>
        <v>0</v>
      </c>
      <c r="IZ56" s="85">
        <f>IF(IZ13&lt;=Condition!$E$16,0,IF(IZ13&lt;=Condition!$F$16,Condition!$D$16,IF(IZ13&lt;=Condition!$F$17,Condition!$D$17,IF(IZ13&lt;=Condition!$F$18,Condition!$D$18,IF(IZ13&gt;Condition!$E$19,Condition!$D$19,"")))))</f>
        <v>0</v>
      </c>
      <c r="JA56" s="85">
        <f>IF(JA13&lt;=Condition!$E$16,0,IF(JA13&lt;=Condition!$F$16,Condition!$D$16,IF(JA13&lt;=Condition!$F$17,Condition!$D$17,IF(JA13&lt;=Condition!$F$18,Condition!$D$18,IF(JA13&gt;Condition!$E$19,Condition!$D$19,"")))))</f>
        <v>0</v>
      </c>
      <c r="JB56" s="85">
        <f>IF(JB13&lt;=Condition!$E$16,0,IF(JB13&lt;=Condition!$F$16,Condition!$D$16,IF(JB13&lt;=Condition!$F$17,Condition!$D$17,IF(JB13&lt;=Condition!$F$18,Condition!$D$18,IF(JB13&gt;Condition!$E$19,Condition!$D$19,"")))))</f>
        <v>0</v>
      </c>
      <c r="JC56" s="85">
        <f>IF(JC13&lt;=Condition!$E$16,0,IF(JC13&lt;=Condition!$F$16,Condition!$D$16,IF(JC13&lt;=Condition!$F$17,Condition!$D$17,IF(JC13&lt;=Condition!$F$18,Condition!$D$18,IF(JC13&gt;Condition!$E$19,Condition!$D$19,"")))))</f>
        <v>0</v>
      </c>
      <c r="JD56" s="85">
        <f>IF(JD13&lt;=Condition!$E$16,0,IF(JD13&lt;=Condition!$F$16,Condition!$D$16,IF(JD13&lt;=Condition!$F$17,Condition!$D$17,IF(JD13&lt;=Condition!$F$18,Condition!$D$18,IF(JD13&gt;Condition!$E$19,Condition!$D$19,"")))))</f>
        <v>0</v>
      </c>
      <c r="JE56" s="85">
        <f>IF(JE13&lt;=Condition!$E$16,0,IF(JE13&lt;=Condition!$F$16,Condition!$D$16,IF(JE13&lt;=Condition!$F$17,Condition!$D$17,IF(JE13&lt;=Condition!$F$18,Condition!$D$18,IF(JE13&gt;Condition!$E$19,Condition!$D$19,"")))))</f>
        <v>0</v>
      </c>
      <c r="JF56" s="85">
        <f>IF(JF13&lt;=Condition!$E$16,0,IF(JF13&lt;=Condition!$F$16,Condition!$D$16,IF(JF13&lt;=Condition!$F$17,Condition!$D$17,IF(JF13&lt;=Condition!$F$18,Condition!$D$18,IF(JF13&gt;Condition!$E$19,Condition!$D$19,"")))))</f>
        <v>0</v>
      </c>
      <c r="JG56" s="85">
        <f>IF(JG13&lt;=Condition!$E$16,0,IF(JG13&lt;=Condition!$F$16,Condition!$D$16,IF(JG13&lt;=Condition!$F$17,Condition!$D$17,IF(JG13&lt;=Condition!$F$18,Condition!$D$18,IF(JG13&gt;Condition!$E$19,Condition!$D$19,"")))))</f>
        <v>0</v>
      </c>
      <c r="JH56" s="85">
        <f>IF(JH13&lt;=Condition!$E$16,0,IF(JH13&lt;=Condition!$F$16,Condition!$D$16,IF(JH13&lt;=Condition!$F$17,Condition!$D$17,IF(JH13&lt;=Condition!$F$18,Condition!$D$18,IF(JH13&gt;Condition!$E$19,Condition!$D$19,"")))))</f>
        <v>0</v>
      </c>
      <c r="JI56" s="85">
        <f>IF(JI13&lt;=Condition!$E$16,0,IF(JI13&lt;=Condition!$F$16,Condition!$D$16,IF(JI13&lt;=Condition!$F$17,Condition!$D$17,IF(JI13&lt;=Condition!$F$18,Condition!$D$18,IF(JI13&gt;Condition!$E$19,Condition!$D$19,"")))))</f>
        <v>0</v>
      </c>
      <c r="JJ56" s="85">
        <f>IF(JJ13&lt;=Condition!$E$16,0,IF(JJ13&lt;=Condition!$F$16,Condition!$D$16,IF(JJ13&lt;=Condition!$F$17,Condition!$D$17,IF(JJ13&lt;=Condition!$F$18,Condition!$D$18,IF(JJ13&gt;Condition!$E$19,Condition!$D$19,"")))))</f>
        <v>0</v>
      </c>
      <c r="JK56" s="85">
        <f>IF(JK13&lt;=Condition!$E$16,0,IF(JK13&lt;=Condition!$F$16,Condition!$D$16,IF(JK13&lt;=Condition!$F$17,Condition!$D$17,IF(JK13&lt;=Condition!$F$18,Condition!$D$18,IF(JK13&gt;Condition!$E$19,Condition!$D$19,"")))))</f>
        <v>0</v>
      </c>
      <c r="JL56" s="85">
        <f>IF(JL13&lt;=Condition!$E$16,0,IF(JL13&lt;=Condition!$F$16,Condition!$D$16,IF(JL13&lt;=Condition!$F$17,Condition!$D$17,IF(JL13&lt;=Condition!$F$18,Condition!$D$18,IF(JL13&gt;Condition!$E$19,Condition!$D$19,"")))))</f>
        <v>0</v>
      </c>
      <c r="JM56" s="85">
        <f>IF(JM13&lt;=Condition!$E$16,0,IF(JM13&lt;=Condition!$F$16,Condition!$D$16,IF(JM13&lt;=Condition!$F$17,Condition!$D$17,IF(JM13&lt;=Condition!$F$18,Condition!$D$18,IF(JM13&gt;Condition!$E$19,Condition!$D$19,"")))))</f>
        <v>0</v>
      </c>
      <c r="JN56" s="85">
        <f>IF(JN13&lt;=Condition!$E$16,0,IF(JN13&lt;=Condition!$F$16,Condition!$D$16,IF(JN13&lt;=Condition!$F$17,Condition!$D$17,IF(JN13&lt;=Condition!$F$18,Condition!$D$18,IF(JN13&gt;Condition!$E$19,Condition!$D$19,"")))))</f>
        <v>0</v>
      </c>
      <c r="JO56" s="85">
        <f>IF(JO13&lt;=Condition!$E$16,0,IF(JO13&lt;=Condition!$F$16,Condition!$D$16,IF(JO13&lt;=Condition!$F$17,Condition!$D$17,IF(JO13&lt;=Condition!$F$18,Condition!$D$18,IF(JO13&gt;Condition!$E$19,Condition!$D$19,"")))))</f>
        <v>0</v>
      </c>
      <c r="JP56" s="85">
        <f>IF(JP13&lt;=Condition!$E$16,0,IF(JP13&lt;=Condition!$F$16,Condition!$D$16,IF(JP13&lt;=Condition!$F$17,Condition!$D$17,IF(JP13&lt;=Condition!$F$18,Condition!$D$18,IF(JP13&gt;Condition!$E$19,Condition!$D$19,"")))))</f>
        <v>0</v>
      </c>
      <c r="JQ56" s="85">
        <f>IF(JQ13&lt;=Condition!$E$16,0,IF(JQ13&lt;=Condition!$F$16,Condition!$D$16,IF(JQ13&lt;=Condition!$F$17,Condition!$D$17,IF(JQ13&lt;=Condition!$F$18,Condition!$D$18,IF(JQ13&gt;Condition!$E$19,Condition!$D$19,"")))))</f>
        <v>0</v>
      </c>
      <c r="JR56" s="85">
        <f>IF(JR13&lt;=Condition!$E$16,0,IF(JR13&lt;=Condition!$F$16,Condition!$D$16,IF(JR13&lt;=Condition!$F$17,Condition!$D$17,IF(JR13&lt;=Condition!$F$18,Condition!$D$18,IF(JR13&gt;Condition!$E$19,Condition!$D$19,"")))))</f>
        <v>0</v>
      </c>
      <c r="JS56" s="85">
        <f>IF(JS13&lt;=Condition!$E$16,0,IF(JS13&lt;=Condition!$F$16,Condition!$D$16,IF(JS13&lt;=Condition!$F$17,Condition!$D$17,IF(JS13&lt;=Condition!$F$18,Condition!$D$18,IF(JS13&gt;Condition!$E$19,Condition!$D$19,"")))))</f>
        <v>0</v>
      </c>
      <c r="JT56" s="85">
        <f>IF(JT13&lt;=Condition!$E$16,0,IF(JT13&lt;=Condition!$F$16,Condition!$D$16,IF(JT13&lt;=Condition!$F$17,Condition!$D$17,IF(JT13&lt;=Condition!$F$18,Condition!$D$18,IF(JT13&gt;Condition!$E$19,Condition!$D$19,"")))))</f>
        <v>0</v>
      </c>
      <c r="JU56" s="85">
        <f>IF(JU13&lt;=Condition!$E$16,0,IF(JU13&lt;=Condition!$F$16,Condition!$D$16,IF(JU13&lt;=Condition!$F$17,Condition!$D$17,IF(JU13&lt;=Condition!$F$18,Condition!$D$18,IF(JU13&gt;Condition!$E$19,Condition!$D$19,"")))))</f>
        <v>0</v>
      </c>
      <c r="JV56" s="85">
        <f>IF(JV13&lt;=Condition!$E$16,0,IF(JV13&lt;=Condition!$F$16,Condition!$D$16,IF(JV13&lt;=Condition!$F$17,Condition!$D$17,IF(JV13&lt;=Condition!$F$18,Condition!$D$18,IF(JV13&gt;Condition!$E$19,Condition!$D$19,"")))))</f>
        <v>0</v>
      </c>
      <c r="JW56" s="85">
        <f>IF(JW13&lt;=Condition!$E$16,0,IF(JW13&lt;=Condition!$F$16,Condition!$D$16,IF(JW13&lt;=Condition!$F$17,Condition!$D$17,IF(JW13&lt;=Condition!$F$18,Condition!$D$18,IF(JW13&gt;Condition!$E$19,Condition!$D$19,"")))))</f>
        <v>0</v>
      </c>
      <c r="JX56" s="85">
        <f>IF(JX13&lt;=Condition!$E$16,0,IF(JX13&lt;=Condition!$F$16,Condition!$D$16,IF(JX13&lt;=Condition!$F$17,Condition!$D$17,IF(JX13&lt;=Condition!$F$18,Condition!$D$18,IF(JX13&gt;Condition!$E$19,Condition!$D$19,"")))))</f>
        <v>0</v>
      </c>
      <c r="JY56" s="85">
        <f>IF(JY13&lt;=Condition!$E$16,0,IF(JY13&lt;=Condition!$F$16,Condition!$D$16,IF(JY13&lt;=Condition!$F$17,Condition!$D$17,IF(JY13&lt;=Condition!$F$18,Condition!$D$18,IF(JY13&gt;Condition!$E$19,Condition!$D$19,"")))))</f>
        <v>0</v>
      </c>
      <c r="JZ56" s="85">
        <f>IF(JZ13&lt;=Condition!$E$16,0,IF(JZ13&lt;=Condition!$F$16,Condition!$D$16,IF(JZ13&lt;=Condition!$F$17,Condition!$D$17,IF(JZ13&lt;=Condition!$F$18,Condition!$D$18,IF(JZ13&gt;Condition!$E$19,Condition!$D$19,"")))))</f>
        <v>0</v>
      </c>
      <c r="KA56" s="85">
        <f>IF(KA13&lt;=Condition!$E$16,0,IF(KA13&lt;=Condition!$F$16,Condition!$D$16,IF(KA13&lt;=Condition!$F$17,Condition!$D$17,IF(KA13&lt;=Condition!$F$18,Condition!$D$18,IF(KA13&gt;Condition!$E$19,Condition!$D$19,"")))))</f>
        <v>0</v>
      </c>
      <c r="KB56" s="85">
        <f>IF(KB13&lt;=Condition!$E$16,0,IF(KB13&lt;=Condition!$F$16,Condition!$D$16,IF(KB13&lt;=Condition!$F$17,Condition!$D$17,IF(KB13&lt;=Condition!$F$18,Condition!$D$18,IF(KB13&gt;Condition!$E$19,Condition!$D$19,"")))))</f>
        <v>0</v>
      </c>
      <c r="KC56" s="85">
        <f>IF(KC13&lt;=Condition!$E$16,0,IF(KC13&lt;=Condition!$F$16,Condition!$D$16,IF(KC13&lt;=Condition!$F$17,Condition!$D$17,IF(KC13&lt;=Condition!$F$18,Condition!$D$18,IF(KC13&gt;Condition!$E$19,Condition!$D$19,"")))))</f>
        <v>0</v>
      </c>
      <c r="KD56" s="85">
        <f>IF(KD13&lt;=Condition!$E$16,0,IF(KD13&lt;=Condition!$F$16,Condition!$D$16,IF(KD13&lt;=Condition!$F$17,Condition!$D$17,IF(KD13&lt;=Condition!$F$18,Condition!$D$18,IF(KD13&gt;Condition!$E$19,Condition!$D$19,"")))))</f>
        <v>0</v>
      </c>
      <c r="KE56" s="85">
        <f>IF(KE13&lt;=Condition!$E$16,0,IF(KE13&lt;=Condition!$F$16,Condition!$D$16,IF(KE13&lt;=Condition!$F$17,Condition!$D$17,IF(KE13&lt;=Condition!$F$18,Condition!$D$18,IF(KE13&gt;Condition!$E$19,Condition!$D$19,"")))))</f>
        <v>0</v>
      </c>
      <c r="KF56" s="85">
        <f>IF(KF13&lt;=Condition!$E$16,0,IF(KF13&lt;=Condition!$F$16,Condition!$D$16,IF(KF13&lt;=Condition!$F$17,Condition!$D$17,IF(KF13&lt;=Condition!$F$18,Condition!$D$18,IF(KF13&gt;Condition!$E$19,Condition!$D$19,"")))))</f>
        <v>0</v>
      </c>
      <c r="KG56" s="85">
        <f>IF(KG13&lt;=Condition!$E$16,0,IF(KG13&lt;=Condition!$F$16,Condition!$D$16,IF(KG13&lt;=Condition!$F$17,Condition!$D$17,IF(KG13&lt;=Condition!$F$18,Condition!$D$18,IF(KG13&gt;Condition!$E$19,Condition!$D$19,"")))))</f>
        <v>0</v>
      </c>
      <c r="KH56" s="85">
        <f>IF(KH13&lt;=Condition!$E$16,0,IF(KH13&lt;=Condition!$F$16,Condition!$D$16,IF(KH13&lt;=Condition!$F$17,Condition!$D$17,IF(KH13&lt;=Condition!$F$18,Condition!$D$18,IF(KH13&gt;Condition!$E$19,Condition!$D$19,"")))))</f>
        <v>0</v>
      </c>
      <c r="KI56" s="85">
        <f>IF(KI13&lt;=Condition!$E$16,0,IF(KI13&lt;=Condition!$F$16,Condition!$D$16,IF(KI13&lt;=Condition!$F$17,Condition!$D$17,IF(KI13&lt;=Condition!$F$18,Condition!$D$18,IF(KI13&gt;Condition!$E$19,Condition!$D$19,"")))))</f>
        <v>0</v>
      </c>
    </row>
    <row r="57" spans="2:295" x14ac:dyDescent="0.25">
      <c r="B57" s="15">
        <f t="shared" ref="B57:E57" si="12">B14</f>
        <v>9</v>
      </c>
      <c r="C57" s="25" t="str">
        <f t="shared" si="12"/>
        <v>DSL-DHK</v>
      </c>
      <c r="D57" s="25" t="str">
        <f t="shared" si="12"/>
        <v>Faysal Ahmed</v>
      </c>
      <c r="E57" s="26" t="str">
        <f t="shared" si="12"/>
        <v>3004</v>
      </c>
      <c r="F57" s="112">
        <f t="shared" si="4"/>
        <v>3200</v>
      </c>
      <c r="G57" s="112">
        <f t="shared" si="5"/>
        <v>1800</v>
      </c>
      <c r="H57" s="85">
        <f>IF(H14&lt;=Condition!$E$16,0,IF(H14&lt;=Condition!$F$16,Condition!$D$16,IF(H14&lt;=Condition!$F$17,Condition!$D$17,IF(H14&lt;=Condition!$F$18,Condition!$D$18,IF(H14&gt;Condition!$E$19,Condition!$D$19,"")))))</f>
        <v>400</v>
      </c>
      <c r="I57" s="85">
        <f>IF(I14&lt;=Condition!$E$16,0,IF(I14&lt;=Condition!$F$16,Condition!$D$16,IF(I14&lt;=Condition!$F$17,Condition!$D$17,IF(I14&lt;=Condition!$F$18,Condition!$D$18,IF(I14&gt;Condition!$E$19,Condition!$D$19,"")))))</f>
        <v>0</v>
      </c>
      <c r="J57" s="85">
        <f>IF(J14&lt;=Condition!$E$16,0,IF(J14&lt;=Condition!$F$16,Condition!$D$16,IF(J14&lt;=Condition!$F$17,Condition!$D$17,IF(J14&lt;=Condition!$F$18,Condition!$D$18,IF(J14&gt;Condition!$E$19,Condition!$D$19,"")))))</f>
        <v>500</v>
      </c>
      <c r="K57" s="85">
        <f>IF(K14&lt;=Condition!$E$16,0,IF(K14&lt;=Condition!$F$16,Condition!$D$16,IF(K14&lt;=Condition!$F$17,Condition!$D$17,IF(K14&lt;=Condition!$F$18,Condition!$D$18,IF(K14&gt;Condition!$E$19,Condition!$D$19,"")))))</f>
        <v>0</v>
      </c>
      <c r="L57" s="85">
        <f>IF(L14&lt;=Condition!$E$16,0,IF(L14&lt;=Condition!$F$16,Condition!$D$16,IF(L14&lt;=Condition!$F$17,Condition!$D$17,IF(L14&lt;=Condition!$F$18,Condition!$D$18,IF(L14&gt;Condition!$E$19,Condition!$D$19,"")))))</f>
        <v>500</v>
      </c>
      <c r="M57" s="85">
        <f>IF(M14&lt;=Condition!$E$16,0,IF(M14&lt;=Condition!$F$16,Condition!$D$16,IF(M14&lt;=Condition!$F$17,Condition!$D$17,IF(M14&lt;=Condition!$F$18,Condition!$D$18,IF(M14&gt;Condition!$E$19,Condition!$D$19,"")))))</f>
        <v>0</v>
      </c>
      <c r="N57" s="85">
        <f>IF(N14&lt;=Condition!$E$16,0,IF(N14&lt;=Condition!$F$16,Condition!$D$16,IF(N14&lt;=Condition!$F$17,Condition!$D$17,IF(N14&lt;=Condition!$F$18,Condition!$D$18,IF(N14&gt;Condition!$E$19,Condition!$D$19,"")))))</f>
        <v>500</v>
      </c>
      <c r="O57" s="85">
        <f>IF(O14&lt;=Condition!$E$16,0,IF(O14&lt;=Condition!$F$16,Condition!$D$16,IF(O14&lt;=Condition!$F$17,Condition!$D$17,IF(O14&lt;=Condition!$F$18,Condition!$D$18,IF(O14&gt;Condition!$E$19,Condition!$D$19,"")))))</f>
        <v>0</v>
      </c>
      <c r="P57" s="85">
        <f>IF(P14&lt;=Condition!$E$16,0,IF(P14&lt;=Condition!$F$16,Condition!$D$16,IF(P14&lt;=Condition!$F$17,Condition!$D$17,IF(P14&lt;=Condition!$F$18,Condition!$D$18,IF(P14&gt;Condition!$E$19,Condition!$D$19,"")))))</f>
        <v>500</v>
      </c>
      <c r="Q57" s="85">
        <f>IF(Q14&lt;=Condition!$E$16,0,IF(Q14&lt;=Condition!$F$16,Condition!$D$16,IF(Q14&lt;=Condition!$F$17,Condition!$D$17,IF(Q14&lt;=Condition!$F$18,Condition!$D$18,IF(Q14&gt;Condition!$E$19,Condition!$D$19,"")))))</f>
        <v>0</v>
      </c>
      <c r="R57" s="85">
        <f>IF(R14&lt;=Condition!$E$16,0,IF(R14&lt;=Condition!$F$16,Condition!$D$16,IF(R14&lt;=Condition!$F$17,Condition!$D$17,IF(R14&lt;=Condition!$F$18,Condition!$D$18,IF(R14&gt;Condition!$E$19,Condition!$D$19,"")))))</f>
        <v>500</v>
      </c>
      <c r="S57" s="85">
        <f>IF(S14&lt;=Condition!$E$16,0,IF(S14&lt;=Condition!$F$16,Condition!$D$16,IF(S14&lt;=Condition!$F$17,Condition!$D$17,IF(S14&lt;=Condition!$F$18,Condition!$D$18,IF(S14&gt;Condition!$E$19,Condition!$D$19,"")))))</f>
        <v>0</v>
      </c>
      <c r="T57" s="85">
        <f>IF(T14&lt;=Condition!$E$16,0,IF(T14&lt;=Condition!$F$16,Condition!$D$16,IF(T14&lt;=Condition!$F$17,Condition!$D$17,IF(T14&lt;=Condition!$F$18,Condition!$D$18,IF(T14&gt;Condition!$E$19,Condition!$D$19,"")))))</f>
        <v>300</v>
      </c>
      <c r="U57" s="85">
        <f>IF(U14&lt;=Condition!$E$16,0,IF(U14&lt;=Condition!$F$16,Condition!$D$16,IF(U14&lt;=Condition!$F$17,Condition!$D$17,IF(U14&lt;=Condition!$F$18,Condition!$D$18,IF(U14&gt;Condition!$E$19,Condition!$D$19,"")))))</f>
        <v>500</v>
      </c>
      <c r="V57" s="85">
        <f>IF(V14&lt;=Condition!$E$16,0,IF(V14&lt;=Condition!$F$16,Condition!$D$16,IF(V14&lt;=Condition!$F$17,Condition!$D$17,IF(V14&lt;=Condition!$F$18,Condition!$D$18,IF(V14&gt;Condition!$E$19,Condition!$D$19,"")))))</f>
        <v>0</v>
      </c>
      <c r="W57" s="85">
        <f>IF(W14&lt;=Condition!$E$16,0,IF(W14&lt;=Condition!$F$16,Condition!$D$16,IF(W14&lt;=Condition!$F$17,Condition!$D$17,IF(W14&lt;=Condition!$F$18,Condition!$D$18,IF(W14&gt;Condition!$E$19,Condition!$D$19,"")))))</f>
        <v>500</v>
      </c>
      <c r="X57" s="85">
        <f>IF(X14&lt;=Condition!$E$16,0,IF(X14&lt;=Condition!$F$16,Condition!$D$16,IF(X14&lt;=Condition!$F$17,Condition!$D$17,IF(X14&lt;=Condition!$F$18,Condition!$D$18,IF(X14&gt;Condition!$E$19,Condition!$D$19,"")))))</f>
        <v>0</v>
      </c>
      <c r="Y57" s="85">
        <f>IF(Y14&lt;=Condition!$E$16,0,IF(Y14&lt;=Condition!$F$16,Condition!$D$16,IF(Y14&lt;=Condition!$F$17,Condition!$D$17,IF(Y14&lt;=Condition!$F$18,Condition!$D$18,IF(Y14&gt;Condition!$E$19,Condition!$D$19,"")))))</f>
        <v>500</v>
      </c>
      <c r="Z57" s="85">
        <f>IF(Z14&lt;=Condition!$E$16,0,IF(Z14&lt;=Condition!$F$16,Condition!$D$16,IF(Z14&lt;=Condition!$F$17,Condition!$D$17,IF(Z14&lt;=Condition!$F$18,Condition!$D$18,IF(Z14&gt;Condition!$E$19,Condition!$D$19,"")))))</f>
        <v>0</v>
      </c>
      <c r="AA57" s="85">
        <f>IF(AA14&lt;=Condition!$E$16,0,IF(AA14&lt;=Condition!$F$16,Condition!$D$16,IF(AA14&lt;=Condition!$F$17,Condition!$D$17,IF(AA14&lt;=Condition!$F$18,Condition!$D$18,IF(AA14&gt;Condition!$E$19,Condition!$D$19,"")))))</f>
        <v>150</v>
      </c>
      <c r="AB57" s="85">
        <f>IF(AB14&lt;=Condition!$E$16,0,IF(AB14&lt;=Condition!$F$16,Condition!$D$16,IF(AB14&lt;=Condition!$F$17,Condition!$D$17,IF(AB14&lt;=Condition!$F$18,Condition!$D$18,IF(AB14&gt;Condition!$E$19,Condition!$D$19,"")))))</f>
        <v>0</v>
      </c>
      <c r="AC57" s="85">
        <f>IF(AC14&lt;=Condition!$E$16,0,IF(AC14&lt;=Condition!$F$16,Condition!$D$16,IF(AC14&lt;=Condition!$F$17,Condition!$D$17,IF(AC14&lt;=Condition!$F$18,Condition!$D$18,IF(AC14&gt;Condition!$E$19,Condition!$D$19,"")))))</f>
        <v>150</v>
      </c>
      <c r="AD57" s="85">
        <f>IF(AD14&lt;=Condition!$E$16,0,IF(AD14&lt;=Condition!$F$16,Condition!$D$16,IF(AD14&lt;=Condition!$F$17,Condition!$D$17,IF(AD14&lt;=Condition!$F$18,Condition!$D$18,IF(AD14&gt;Condition!$E$19,Condition!$D$19,"")))))</f>
        <v>0</v>
      </c>
      <c r="AE57" s="85">
        <f>IF(AE14&lt;=Condition!$E$16,0,IF(AE14&lt;=Condition!$F$16,Condition!$D$16,IF(AE14&lt;=Condition!$F$17,Condition!$D$17,IF(AE14&lt;=Condition!$F$18,Condition!$D$18,IF(AE14&gt;Condition!$E$19,Condition!$D$19,"")))))</f>
        <v>0</v>
      </c>
      <c r="AF57" s="85">
        <f>IF(AF14&lt;=Condition!$E$16,0,IF(AF14&lt;=Condition!$F$16,Condition!$D$16,IF(AF14&lt;=Condition!$F$17,Condition!$D$17,IF(AF14&lt;=Condition!$F$18,Condition!$D$18,IF(AF14&gt;Condition!$E$19,Condition!$D$19,"")))))</f>
        <v>0</v>
      </c>
      <c r="AG57" s="85">
        <f>IF(AG14&lt;=Condition!$E$16,0,IF(AG14&lt;=Condition!$F$16,Condition!$D$16,IF(AG14&lt;=Condition!$F$17,Condition!$D$17,IF(AG14&lt;=Condition!$F$18,Condition!$D$18,IF(AG14&gt;Condition!$E$19,Condition!$D$19,"")))))</f>
        <v>0</v>
      </c>
      <c r="AH57" s="85">
        <f>IF(AH14&lt;=Condition!$E$16,0,IF(AH14&lt;=Condition!$F$16,Condition!$D$16,IF(AH14&lt;=Condition!$F$17,Condition!$D$17,IF(AH14&lt;=Condition!$F$18,Condition!$D$18,IF(AH14&gt;Condition!$E$19,Condition!$D$19,"")))))</f>
        <v>0</v>
      </c>
      <c r="AI57" s="85">
        <f>IF(AI14&lt;=Condition!$E$16,0,IF(AI14&lt;=Condition!$F$16,Condition!$D$16,IF(AI14&lt;=Condition!$F$17,Condition!$D$17,IF(AI14&lt;=Condition!$F$18,Condition!$D$18,IF(AI14&gt;Condition!$E$19,Condition!$D$19,"")))))</f>
        <v>0</v>
      </c>
      <c r="AJ57" s="85">
        <f>IF(AJ14&lt;=Condition!$E$16,0,IF(AJ14&lt;=Condition!$F$16,Condition!$D$16,IF(AJ14&lt;=Condition!$F$17,Condition!$D$17,IF(AJ14&lt;=Condition!$F$18,Condition!$D$18,IF(AJ14&gt;Condition!$E$19,Condition!$D$19,"")))))</f>
        <v>0</v>
      </c>
      <c r="AK57" s="85">
        <f>IF(AK14&lt;=Condition!$E$16,0,IF(AK14&lt;=Condition!$F$16,Condition!$D$16,IF(AK14&lt;=Condition!$F$17,Condition!$D$17,IF(AK14&lt;=Condition!$F$18,Condition!$D$18,IF(AK14&gt;Condition!$E$19,Condition!$D$19,"")))))</f>
        <v>0</v>
      </c>
      <c r="AL57" s="85">
        <f>IF(AL14&lt;=Condition!$E$16,0,IF(AL14&lt;=Condition!$F$16,Condition!$D$16,IF(AL14&lt;=Condition!$F$17,Condition!$D$17,IF(AL14&lt;=Condition!$F$18,Condition!$D$18,IF(AL14&gt;Condition!$E$19,Condition!$D$19,"")))))</f>
        <v>0</v>
      </c>
      <c r="AM57" s="85">
        <f>IF(AM14&lt;=Condition!$E$16,0,IF(AM14&lt;=Condition!$F$16,Condition!$D$16,IF(AM14&lt;=Condition!$F$17,Condition!$D$17,IF(AM14&lt;=Condition!$F$18,Condition!$D$18,IF(AM14&gt;Condition!$E$19,Condition!$D$19,"")))))</f>
        <v>0</v>
      </c>
      <c r="AN57" s="85">
        <f>IF(AN14&lt;=Condition!$E$16,0,IF(AN14&lt;=Condition!$F$16,Condition!$D$16,IF(AN14&lt;=Condition!$F$17,Condition!$D$17,IF(AN14&lt;=Condition!$F$18,Condition!$D$18,IF(AN14&gt;Condition!$E$19,Condition!$D$19,"")))))</f>
        <v>0</v>
      </c>
      <c r="AO57" s="85">
        <f>IF(AO14&lt;=Condition!$E$16,0,IF(AO14&lt;=Condition!$F$16,Condition!$D$16,IF(AO14&lt;=Condition!$F$17,Condition!$D$17,IF(AO14&lt;=Condition!$F$18,Condition!$D$18,IF(AO14&gt;Condition!$E$19,Condition!$D$19,"")))))</f>
        <v>0</v>
      </c>
      <c r="AP57" s="85">
        <f>IF(AP14&lt;=Condition!$E$16,0,IF(AP14&lt;=Condition!$F$16,Condition!$D$16,IF(AP14&lt;=Condition!$F$17,Condition!$D$17,IF(AP14&lt;=Condition!$F$18,Condition!$D$18,IF(AP14&gt;Condition!$E$19,Condition!$D$19,"")))))</f>
        <v>0</v>
      </c>
      <c r="AQ57" s="85">
        <f>IF(AQ14&lt;=Condition!$E$16,0,IF(AQ14&lt;=Condition!$F$16,Condition!$D$16,IF(AQ14&lt;=Condition!$F$17,Condition!$D$17,IF(AQ14&lt;=Condition!$F$18,Condition!$D$18,IF(AQ14&gt;Condition!$E$19,Condition!$D$19,"")))))</f>
        <v>0</v>
      </c>
      <c r="AR57" s="85">
        <f>IF(AR14&lt;=Condition!$E$16,0,IF(AR14&lt;=Condition!$F$16,Condition!$D$16,IF(AR14&lt;=Condition!$F$17,Condition!$D$17,IF(AR14&lt;=Condition!$F$18,Condition!$D$18,IF(AR14&gt;Condition!$E$19,Condition!$D$19,"")))))</f>
        <v>0</v>
      </c>
      <c r="AS57" s="85">
        <f>IF(AS14&lt;=Condition!$E$16,0,IF(AS14&lt;=Condition!$F$16,Condition!$D$16,IF(AS14&lt;=Condition!$F$17,Condition!$D$17,IF(AS14&lt;=Condition!$F$18,Condition!$D$18,IF(AS14&gt;Condition!$E$19,Condition!$D$19,"")))))</f>
        <v>0</v>
      </c>
      <c r="AT57" s="85">
        <f>IF(AT14&lt;=Condition!$E$16,0,IF(AT14&lt;=Condition!$F$16,Condition!$D$16,IF(AT14&lt;=Condition!$F$17,Condition!$D$17,IF(AT14&lt;=Condition!$F$18,Condition!$D$18,IF(AT14&gt;Condition!$E$19,Condition!$D$19,"")))))</f>
        <v>0</v>
      </c>
      <c r="AU57" s="85">
        <f>IF(AU14&lt;=Condition!$E$16,0,IF(AU14&lt;=Condition!$F$16,Condition!$D$16,IF(AU14&lt;=Condition!$F$17,Condition!$D$17,IF(AU14&lt;=Condition!$F$18,Condition!$D$18,IF(AU14&gt;Condition!$E$19,Condition!$D$19,"")))))</f>
        <v>0</v>
      </c>
      <c r="AV57" s="85">
        <f>IF(AV14&lt;=Condition!$E$16,0,IF(AV14&lt;=Condition!$F$16,Condition!$D$16,IF(AV14&lt;=Condition!$F$17,Condition!$D$17,IF(AV14&lt;=Condition!$F$18,Condition!$D$18,IF(AV14&gt;Condition!$E$19,Condition!$D$19,"")))))</f>
        <v>0</v>
      </c>
      <c r="AW57" s="85">
        <f>IF(AW14&lt;=Condition!$E$16,0,IF(AW14&lt;=Condition!$F$16,Condition!$D$16,IF(AW14&lt;=Condition!$F$17,Condition!$D$17,IF(AW14&lt;=Condition!$F$18,Condition!$D$18,IF(AW14&gt;Condition!$E$19,Condition!$D$19,"")))))</f>
        <v>0</v>
      </c>
      <c r="AX57" s="85">
        <f>IF(AX14&lt;=Condition!$E$16,0,IF(AX14&lt;=Condition!$F$16,Condition!$D$16,IF(AX14&lt;=Condition!$F$17,Condition!$D$17,IF(AX14&lt;=Condition!$F$18,Condition!$D$18,IF(AX14&gt;Condition!$E$19,Condition!$D$19,"")))))</f>
        <v>0</v>
      </c>
      <c r="AY57" s="85">
        <f>IF(AY14&lt;=Condition!$E$16,0,IF(AY14&lt;=Condition!$F$16,Condition!$D$16,IF(AY14&lt;=Condition!$F$17,Condition!$D$17,IF(AY14&lt;=Condition!$F$18,Condition!$D$18,IF(AY14&gt;Condition!$E$19,Condition!$D$19,"")))))</f>
        <v>0</v>
      </c>
      <c r="AZ57" s="85">
        <f>IF(AZ14&lt;=Condition!$E$16,0,IF(AZ14&lt;=Condition!$F$16,Condition!$D$16,IF(AZ14&lt;=Condition!$F$17,Condition!$D$17,IF(AZ14&lt;=Condition!$F$18,Condition!$D$18,IF(AZ14&gt;Condition!$E$19,Condition!$D$19,"")))))</f>
        <v>0</v>
      </c>
      <c r="BA57" s="85">
        <f>IF(BA14&lt;=Condition!$E$16,0,IF(BA14&lt;=Condition!$F$16,Condition!$D$16,IF(BA14&lt;=Condition!$F$17,Condition!$D$17,IF(BA14&lt;=Condition!$F$18,Condition!$D$18,IF(BA14&gt;Condition!$E$19,Condition!$D$19,"")))))</f>
        <v>0</v>
      </c>
      <c r="BB57" s="85">
        <f>IF(BB14&lt;=Condition!$E$16,0,IF(BB14&lt;=Condition!$F$16,Condition!$D$16,IF(BB14&lt;=Condition!$F$17,Condition!$D$17,IF(BB14&lt;=Condition!$F$18,Condition!$D$18,IF(BB14&gt;Condition!$E$19,Condition!$D$19,"")))))</f>
        <v>0</v>
      </c>
      <c r="BC57" s="85">
        <f>IF(BC14&lt;=Condition!$E$16,0,IF(BC14&lt;=Condition!$F$16,Condition!$D$16,IF(BC14&lt;=Condition!$F$17,Condition!$D$17,IF(BC14&lt;=Condition!$F$18,Condition!$D$18,IF(BC14&gt;Condition!$E$19,Condition!$D$19,"")))))</f>
        <v>0</v>
      </c>
      <c r="BD57" s="85">
        <f>IF(BD14&lt;=Condition!$E$16,0,IF(BD14&lt;=Condition!$F$16,Condition!$D$16,IF(BD14&lt;=Condition!$F$17,Condition!$D$17,IF(BD14&lt;=Condition!$F$18,Condition!$D$18,IF(BD14&gt;Condition!$E$19,Condition!$D$19,"")))))</f>
        <v>0</v>
      </c>
      <c r="BE57" s="85">
        <f>IF(BE14&lt;=Condition!$E$16,0,IF(BE14&lt;=Condition!$F$16,Condition!$D$16,IF(BE14&lt;=Condition!$F$17,Condition!$D$17,IF(BE14&lt;=Condition!$F$18,Condition!$D$18,IF(BE14&gt;Condition!$E$19,Condition!$D$19,"")))))</f>
        <v>0</v>
      </c>
      <c r="BF57" s="85">
        <f>IF(BF14&lt;=Condition!$E$16,0,IF(BF14&lt;=Condition!$F$16,Condition!$D$16,IF(BF14&lt;=Condition!$F$17,Condition!$D$17,IF(BF14&lt;=Condition!$F$18,Condition!$D$18,IF(BF14&gt;Condition!$E$19,Condition!$D$19,"")))))</f>
        <v>0</v>
      </c>
      <c r="BG57" s="85">
        <f>IF(BG14&lt;=Condition!$E$16,0,IF(BG14&lt;=Condition!$F$16,Condition!$D$16,IF(BG14&lt;=Condition!$F$17,Condition!$D$17,IF(BG14&lt;=Condition!$F$18,Condition!$D$18,IF(BG14&gt;Condition!$E$19,Condition!$D$19,"")))))</f>
        <v>0</v>
      </c>
      <c r="BH57" s="85">
        <f>IF(BH14&lt;=Condition!$E$16,0,IF(BH14&lt;=Condition!$F$16,Condition!$D$16,IF(BH14&lt;=Condition!$F$17,Condition!$D$17,IF(BH14&lt;=Condition!$F$18,Condition!$D$18,IF(BH14&gt;Condition!$E$19,Condition!$D$19,"")))))</f>
        <v>0</v>
      </c>
      <c r="BI57" s="85">
        <f>IF(BI14&lt;=Condition!$E$16,0,IF(BI14&lt;=Condition!$F$16,Condition!$D$16,IF(BI14&lt;=Condition!$F$17,Condition!$D$17,IF(BI14&lt;=Condition!$F$18,Condition!$D$18,IF(BI14&gt;Condition!$E$19,Condition!$D$19,"")))))</f>
        <v>0</v>
      </c>
      <c r="BJ57" s="85">
        <f>IF(BJ14&lt;=Condition!$E$16,0,IF(BJ14&lt;=Condition!$F$16,Condition!$D$16,IF(BJ14&lt;=Condition!$F$17,Condition!$D$17,IF(BJ14&lt;=Condition!$F$18,Condition!$D$18,IF(BJ14&gt;Condition!$E$19,Condition!$D$19,"")))))</f>
        <v>0</v>
      </c>
      <c r="BK57" s="85">
        <f>IF(BK14&lt;=Condition!$E$16,0,IF(BK14&lt;=Condition!$F$16,Condition!$D$16,IF(BK14&lt;=Condition!$F$17,Condition!$D$17,IF(BK14&lt;=Condition!$F$18,Condition!$D$18,IF(BK14&gt;Condition!$E$19,Condition!$D$19,"")))))</f>
        <v>0</v>
      </c>
      <c r="BL57" s="85">
        <f>IF(BL14&lt;=Condition!$E$16,0,IF(BL14&lt;=Condition!$F$16,Condition!$D$16,IF(BL14&lt;=Condition!$F$17,Condition!$D$17,IF(BL14&lt;=Condition!$F$18,Condition!$D$18,IF(BL14&gt;Condition!$E$19,Condition!$D$19,"")))))</f>
        <v>0</v>
      </c>
      <c r="BM57" s="85">
        <f>IF(BM14&lt;=Condition!$E$16,0,IF(BM14&lt;=Condition!$F$16,Condition!$D$16,IF(BM14&lt;=Condition!$F$17,Condition!$D$17,IF(BM14&lt;=Condition!$F$18,Condition!$D$18,IF(BM14&gt;Condition!$E$19,Condition!$D$19,"")))))</f>
        <v>0</v>
      </c>
      <c r="BN57" s="85">
        <f>IF(BN14&lt;=Condition!$E$16,0,IF(BN14&lt;=Condition!$F$16,Condition!$D$16,IF(BN14&lt;=Condition!$F$17,Condition!$D$17,IF(BN14&lt;=Condition!$F$18,Condition!$D$18,IF(BN14&gt;Condition!$E$19,Condition!$D$19,"")))))</f>
        <v>0</v>
      </c>
      <c r="BO57" s="85">
        <f>IF(BO14&lt;=Condition!$E$16,0,IF(BO14&lt;=Condition!$F$16,Condition!$D$16,IF(BO14&lt;=Condition!$F$17,Condition!$D$17,IF(BO14&lt;=Condition!$F$18,Condition!$D$18,IF(BO14&gt;Condition!$E$19,Condition!$D$19,"")))))</f>
        <v>0</v>
      </c>
      <c r="BP57" s="85">
        <f>IF(BP14&lt;=Condition!$E$16,0,IF(BP14&lt;=Condition!$F$16,Condition!$D$16,IF(BP14&lt;=Condition!$F$17,Condition!$D$17,IF(BP14&lt;=Condition!$F$18,Condition!$D$18,IF(BP14&gt;Condition!$E$19,Condition!$D$19,"")))))</f>
        <v>0</v>
      </c>
      <c r="BQ57" s="85">
        <f>IF(BQ14&lt;=Condition!$E$16,0,IF(BQ14&lt;=Condition!$F$16,Condition!$D$16,IF(BQ14&lt;=Condition!$F$17,Condition!$D$17,IF(BQ14&lt;=Condition!$F$18,Condition!$D$18,IF(BQ14&gt;Condition!$E$19,Condition!$D$19,"")))))</f>
        <v>0</v>
      </c>
      <c r="BR57" s="85">
        <f>IF(BR14&lt;=Condition!$E$16,0,IF(BR14&lt;=Condition!$F$16,Condition!$D$16,IF(BR14&lt;=Condition!$F$17,Condition!$D$17,IF(BR14&lt;=Condition!$F$18,Condition!$D$18,IF(BR14&gt;Condition!$E$19,Condition!$D$19,"")))))</f>
        <v>0</v>
      </c>
      <c r="BS57" s="85">
        <f>IF(BS14&lt;=Condition!$E$16,0,IF(BS14&lt;=Condition!$F$16,Condition!$D$16,IF(BS14&lt;=Condition!$F$17,Condition!$D$17,IF(BS14&lt;=Condition!$F$18,Condition!$D$18,IF(BS14&gt;Condition!$E$19,Condition!$D$19,"")))))</f>
        <v>0</v>
      </c>
      <c r="BT57" s="85">
        <f>IF(BT14&lt;=Condition!$E$16,0,IF(BT14&lt;=Condition!$F$16,Condition!$D$16,IF(BT14&lt;=Condition!$F$17,Condition!$D$17,IF(BT14&lt;=Condition!$F$18,Condition!$D$18,IF(BT14&gt;Condition!$E$19,Condition!$D$19,"")))))</f>
        <v>0</v>
      </c>
      <c r="BU57" s="85">
        <f>IF(BU14&lt;=Condition!$E$16,0,IF(BU14&lt;=Condition!$F$16,Condition!$D$16,IF(BU14&lt;=Condition!$F$17,Condition!$D$17,IF(BU14&lt;=Condition!$F$18,Condition!$D$18,IF(BU14&gt;Condition!$E$19,Condition!$D$19,"")))))</f>
        <v>0</v>
      </c>
      <c r="BV57" s="85">
        <f>IF(BV14&lt;=Condition!$E$16,0,IF(BV14&lt;=Condition!$F$16,Condition!$D$16,IF(BV14&lt;=Condition!$F$17,Condition!$D$17,IF(BV14&lt;=Condition!$F$18,Condition!$D$18,IF(BV14&gt;Condition!$E$19,Condition!$D$19,"")))))</f>
        <v>0</v>
      </c>
      <c r="BW57" s="85">
        <f>IF(BW14&lt;=Condition!$E$16,0,IF(BW14&lt;=Condition!$F$16,Condition!$D$16,IF(BW14&lt;=Condition!$F$17,Condition!$D$17,IF(BW14&lt;=Condition!$F$18,Condition!$D$18,IF(BW14&gt;Condition!$E$19,Condition!$D$19,"")))))</f>
        <v>0</v>
      </c>
      <c r="BX57" s="85">
        <f>IF(BX14&lt;=Condition!$E$16,0,IF(BX14&lt;=Condition!$F$16,Condition!$D$16,IF(BX14&lt;=Condition!$F$17,Condition!$D$17,IF(BX14&lt;=Condition!$F$18,Condition!$D$18,IF(BX14&gt;Condition!$E$19,Condition!$D$19,"")))))</f>
        <v>0</v>
      </c>
      <c r="BY57" s="85">
        <f>IF(BY14&lt;=Condition!$E$16,0,IF(BY14&lt;=Condition!$F$16,Condition!$D$16,IF(BY14&lt;=Condition!$F$17,Condition!$D$17,IF(BY14&lt;=Condition!$F$18,Condition!$D$18,IF(BY14&gt;Condition!$E$19,Condition!$D$19,"")))))</f>
        <v>0</v>
      </c>
      <c r="BZ57" s="85">
        <f>IF(BZ14&lt;=Condition!$E$16,0,IF(BZ14&lt;=Condition!$F$16,Condition!$D$16,IF(BZ14&lt;=Condition!$F$17,Condition!$D$17,IF(BZ14&lt;=Condition!$F$18,Condition!$D$18,IF(BZ14&gt;Condition!$E$19,Condition!$D$19,"")))))</f>
        <v>0</v>
      </c>
      <c r="CA57" s="85">
        <f>IF(CA14&lt;=Condition!$E$16,0,IF(CA14&lt;=Condition!$F$16,Condition!$D$16,IF(CA14&lt;=Condition!$F$17,Condition!$D$17,IF(CA14&lt;=Condition!$F$18,Condition!$D$18,IF(CA14&gt;Condition!$E$19,Condition!$D$19,"")))))</f>
        <v>0</v>
      </c>
      <c r="CB57" s="85">
        <f>IF(CB14&lt;=Condition!$E$16,0,IF(CB14&lt;=Condition!$F$16,Condition!$D$16,IF(CB14&lt;=Condition!$F$17,Condition!$D$17,IF(CB14&lt;=Condition!$F$18,Condition!$D$18,IF(CB14&gt;Condition!$E$19,Condition!$D$19,"")))))</f>
        <v>0</v>
      </c>
      <c r="CC57" s="85">
        <f>IF(CC14&lt;=Condition!$E$16,0,IF(CC14&lt;=Condition!$F$16,Condition!$D$16,IF(CC14&lt;=Condition!$F$17,Condition!$D$17,IF(CC14&lt;=Condition!$F$18,Condition!$D$18,IF(CC14&gt;Condition!$E$19,Condition!$D$19,"")))))</f>
        <v>0</v>
      </c>
      <c r="CD57" s="85">
        <f>IF(CD14&lt;=Condition!$E$16,0,IF(CD14&lt;=Condition!$F$16,Condition!$D$16,IF(CD14&lt;=Condition!$F$17,Condition!$D$17,IF(CD14&lt;=Condition!$F$18,Condition!$D$18,IF(CD14&gt;Condition!$E$19,Condition!$D$19,"")))))</f>
        <v>0</v>
      </c>
      <c r="CE57" s="85">
        <f>IF(CE14&lt;=Condition!$E$16,0,IF(CE14&lt;=Condition!$F$16,Condition!$D$16,IF(CE14&lt;=Condition!$F$17,Condition!$D$17,IF(CE14&lt;=Condition!$F$18,Condition!$D$18,IF(CE14&gt;Condition!$E$19,Condition!$D$19,"")))))</f>
        <v>0</v>
      </c>
      <c r="CF57" s="85">
        <f>IF(CF14&lt;=Condition!$E$16,0,IF(CF14&lt;=Condition!$F$16,Condition!$D$16,IF(CF14&lt;=Condition!$F$17,Condition!$D$17,IF(CF14&lt;=Condition!$F$18,Condition!$D$18,IF(CF14&gt;Condition!$E$19,Condition!$D$19,"")))))</f>
        <v>0</v>
      </c>
      <c r="CG57" s="85">
        <f>IF(CG14&lt;=Condition!$E$16,0,IF(CG14&lt;=Condition!$F$16,Condition!$D$16,IF(CG14&lt;=Condition!$F$17,Condition!$D$17,IF(CG14&lt;=Condition!$F$18,Condition!$D$18,IF(CG14&gt;Condition!$E$19,Condition!$D$19,"")))))</f>
        <v>0</v>
      </c>
      <c r="CH57" s="85">
        <f>IF(CH14&lt;=Condition!$E$16,0,IF(CH14&lt;=Condition!$F$16,Condition!$D$16,IF(CH14&lt;=Condition!$F$17,Condition!$D$17,IF(CH14&lt;=Condition!$F$18,Condition!$D$18,IF(CH14&gt;Condition!$E$19,Condition!$D$19,"")))))</f>
        <v>0</v>
      </c>
      <c r="CI57" s="85">
        <f>IF(CI14&lt;=Condition!$E$16,0,IF(CI14&lt;=Condition!$F$16,Condition!$D$16,IF(CI14&lt;=Condition!$F$17,Condition!$D$17,IF(CI14&lt;=Condition!$F$18,Condition!$D$18,IF(CI14&gt;Condition!$E$19,Condition!$D$19,"")))))</f>
        <v>0</v>
      </c>
      <c r="CJ57" s="85">
        <f>IF(CJ14&lt;=Condition!$E$16,0,IF(CJ14&lt;=Condition!$F$16,Condition!$D$16,IF(CJ14&lt;=Condition!$F$17,Condition!$D$17,IF(CJ14&lt;=Condition!$F$18,Condition!$D$18,IF(CJ14&gt;Condition!$E$19,Condition!$D$19,"")))))</f>
        <v>0</v>
      </c>
      <c r="CK57" s="85">
        <f>IF(CK14&lt;=Condition!$E$16,0,IF(CK14&lt;=Condition!$F$16,Condition!$D$16,IF(CK14&lt;=Condition!$F$17,Condition!$D$17,IF(CK14&lt;=Condition!$F$18,Condition!$D$18,IF(CK14&gt;Condition!$E$19,Condition!$D$19,"")))))</f>
        <v>0</v>
      </c>
      <c r="CL57" s="85">
        <f>IF(CL14&lt;=Condition!$E$16,0,IF(CL14&lt;=Condition!$F$16,Condition!$D$16,IF(CL14&lt;=Condition!$F$17,Condition!$D$17,IF(CL14&lt;=Condition!$F$18,Condition!$D$18,IF(CL14&gt;Condition!$E$19,Condition!$D$19,"")))))</f>
        <v>0</v>
      </c>
      <c r="CM57" s="85">
        <f>IF(CM14&lt;=Condition!$E$16,0,IF(CM14&lt;=Condition!$F$16,Condition!$D$16,IF(CM14&lt;=Condition!$F$17,Condition!$D$17,IF(CM14&lt;=Condition!$F$18,Condition!$D$18,IF(CM14&gt;Condition!$E$19,Condition!$D$19,"")))))</f>
        <v>0</v>
      </c>
      <c r="CN57" s="85">
        <f>IF(CN14&lt;=Condition!$E$16,0,IF(CN14&lt;=Condition!$F$16,Condition!$D$16,IF(CN14&lt;=Condition!$F$17,Condition!$D$17,IF(CN14&lt;=Condition!$F$18,Condition!$D$18,IF(CN14&gt;Condition!$E$19,Condition!$D$19,"")))))</f>
        <v>0</v>
      </c>
      <c r="CO57" s="85">
        <f>IF(CO14&lt;=Condition!$E$16,0,IF(CO14&lt;=Condition!$F$16,Condition!$D$16,IF(CO14&lt;=Condition!$F$17,Condition!$D$17,IF(CO14&lt;=Condition!$F$18,Condition!$D$18,IF(CO14&gt;Condition!$E$19,Condition!$D$19,"")))))</f>
        <v>0</v>
      </c>
      <c r="CP57" s="85">
        <f>IF(CP14&lt;=Condition!$E$16,0,IF(CP14&lt;=Condition!$F$16,Condition!$D$16,IF(CP14&lt;=Condition!$F$17,Condition!$D$17,IF(CP14&lt;=Condition!$F$18,Condition!$D$18,IF(CP14&gt;Condition!$E$19,Condition!$D$19,"")))))</f>
        <v>0</v>
      </c>
      <c r="CQ57" s="85">
        <f>IF(CQ14&lt;=Condition!$E$16,0,IF(CQ14&lt;=Condition!$F$16,Condition!$D$16,IF(CQ14&lt;=Condition!$F$17,Condition!$D$17,IF(CQ14&lt;=Condition!$F$18,Condition!$D$18,IF(CQ14&gt;Condition!$E$19,Condition!$D$19,"")))))</f>
        <v>0</v>
      </c>
      <c r="CR57" s="85">
        <f>IF(CR14&lt;=Condition!$E$16,0,IF(CR14&lt;=Condition!$F$16,Condition!$D$16,IF(CR14&lt;=Condition!$F$17,Condition!$D$17,IF(CR14&lt;=Condition!$F$18,Condition!$D$18,IF(CR14&gt;Condition!$E$19,Condition!$D$19,"")))))</f>
        <v>0</v>
      </c>
      <c r="CS57" s="85">
        <f>IF(CS14&lt;=Condition!$E$16,0,IF(CS14&lt;=Condition!$F$16,Condition!$D$16,IF(CS14&lt;=Condition!$F$17,Condition!$D$17,IF(CS14&lt;=Condition!$F$18,Condition!$D$18,IF(CS14&gt;Condition!$E$19,Condition!$D$19,"")))))</f>
        <v>0</v>
      </c>
      <c r="CT57" s="85">
        <f>IF(CT14&lt;=Condition!$E$16,0,IF(CT14&lt;=Condition!$F$16,Condition!$D$16,IF(CT14&lt;=Condition!$F$17,Condition!$D$17,IF(CT14&lt;=Condition!$F$18,Condition!$D$18,IF(CT14&gt;Condition!$E$19,Condition!$D$19,"")))))</f>
        <v>0</v>
      </c>
      <c r="CU57" s="85">
        <f>IF(CU14&lt;=Condition!$E$16,0,IF(CU14&lt;=Condition!$F$16,Condition!$D$16,IF(CU14&lt;=Condition!$F$17,Condition!$D$17,IF(CU14&lt;=Condition!$F$18,Condition!$D$18,IF(CU14&gt;Condition!$E$19,Condition!$D$19,"")))))</f>
        <v>0</v>
      </c>
      <c r="CV57" s="85">
        <f>IF(CV14&lt;=Condition!$E$16,0,IF(CV14&lt;=Condition!$F$16,Condition!$D$16,IF(CV14&lt;=Condition!$F$17,Condition!$D$17,IF(CV14&lt;=Condition!$F$18,Condition!$D$18,IF(CV14&gt;Condition!$E$19,Condition!$D$19,"")))))</f>
        <v>0</v>
      </c>
      <c r="CW57" s="85">
        <f>IF(CW14&lt;=Condition!$E$16,0,IF(CW14&lt;=Condition!$F$16,Condition!$D$16,IF(CW14&lt;=Condition!$F$17,Condition!$D$17,IF(CW14&lt;=Condition!$F$18,Condition!$D$18,IF(CW14&gt;Condition!$E$19,Condition!$D$19,"")))))</f>
        <v>0</v>
      </c>
      <c r="CX57" s="85">
        <f>IF(CX14&lt;=Condition!$E$16,0,IF(CX14&lt;=Condition!$F$16,Condition!$D$16,IF(CX14&lt;=Condition!$F$17,Condition!$D$17,IF(CX14&lt;=Condition!$F$18,Condition!$D$18,IF(CX14&gt;Condition!$E$19,Condition!$D$19,"")))))</f>
        <v>0</v>
      </c>
      <c r="CY57" s="85">
        <f>IF(CY14&lt;=Condition!$E$16,0,IF(CY14&lt;=Condition!$F$16,Condition!$D$16,IF(CY14&lt;=Condition!$F$17,Condition!$D$17,IF(CY14&lt;=Condition!$F$18,Condition!$D$18,IF(CY14&gt;Condition!$E$19,Condition!$D$19,"")))))</f>
        <v>0</v>
      </c>
      <c r="CZ57" s="85">
        <f>IF(CZ14&lt;=Condition!$E$16,0,IF(CZ14&lt;=Condition!$F$16,Condition!$D$16,IF(CZ14&lt;=Condition!$F$17,Condition!$D$17,IF(CZ14&lt;=Condition!$F$18,Condition!$D$18,IF(CZ14&gt;Condition!$E$19,Condition!$D$19,"")))))</f>
        <v>0</v>
      </c>
      <c r="DA57" s="85">
        <f>IF(DA14&lt;=Condition!$E$16,0,IF(DA14&lt;=Condition!$F$16,Condition!$D$16,IF(DA14&lt;=Condition!$F$17,Condition!$D$17,IF(DA14&lt;=Condition!$F$18,Condition!$D$18,IF(DA14&gt;Condition!$E$19,Condition!$D$19,"")))))</f>
        <v>0</v>
      </c>
      <c r="DB57" s="85">
        <f>IF(DB14&lt;=Condition!$E$16,0,IF(DB14&lt;=Condition!$F$16,Condition!$D$16,IF(DB14&lt;=Condition!$F$17,Condition!$D$17,IF(DB14&lt;=Condition!$F$18,Condition!$D$18,IF(DB14&gt;Condition!$E$19,Condition!$D$19,"")))))</f>
        <v>0</v>
      </c>
      <c r="DC57" s="85">
        <f>IF(DC14&lt;=Condition!$E$16,0,IF(DC14&lt;=Condition!$F$16,Condition!$D$16,IF(DC14&lt;=Condition!$F$17,Condition!$D$17,IF(DC14&lt;=Condition!$F$18,Condition!$D$18,IF(DC14&gt;Condition!$E$19,Condition!$D$19,"")))))</f>
        <v>0</v>
      </c>
      <c r="DD57" s="85">
        <f>IF(DD14&lt;=Condition!$E$16,0,IF(DD14&lt;=Condition!$F$16,Condition!$D$16,IF(DD14&lt;=Condition!$F$17,Condition!$D$17,IF(DD14&lt;=Condition!$F$18,Condition!$D$18,IF(DD14&gt;Condition!$E$19,Condition!$D$19,"")))))</f>
        <v>0</v>
      </c>
      <c r="DE57" s="85">
        <f>IF(DE14&lt;=Condition!$E$16,0,IF(DE14&lt;=Condition!$F$16,Condition!$D$16,IF(DE14&lt;=Condition!$F$17,Condition!$D$17,IF(DE14&lt;=Condition!$F$18,Condition!$D$18,IF(DE14&gt;Condition!$E$19,Condition!$D$19,"")))))</f>
        <v>0</v>
      </c>
      <c r="DF57" s="85">
        <f>IF(DF14&lt;=Condition!$E$16,0,IF(DF14&lt;=Condition!$F$16,Condition!$D$16,IF(DF14&lt;=Condition!$F$17,Condition!$D$17,IF(DF14&lt;=Condition!$F$18,Condition!$D$18,IF(DF14&gt;Condition!$E$19,Condition!$D$19,"")))))</f>
        <v>0</v>
      </c>
      <c r="DG57" s="85">
        <f>IF(DG14&lt;=Condition!$E$16,0,IF(DG14&lt;=Condition!$F$16,Condition!$D$16,IF(DG14&lt;=Condition!$F$17,Condition!$D$17,IF(DG14&lt;=Condition!$F$18,Condition!$D$18,IF(DG14&gt;Condition!$E$19,Condition!$D$19,"")))))</f>
        <v>0</v>
      </c>
      <c r="DH57" s="85">
        <f>IF(DH14&lt;=Condition!$E$16,0,IF(DH14&lt;=Condition!$F$16,Condition!$D$16,IF(DH14&lt;=Condition!$F$17,Condition!$D$17,IF(DH14&lt;=Condition!$F$18,Condition!$D$18,IF(DH14&gt;Condition!$E$19,Condition!$D$19,"")))))</f>
        <v>0</v>
      </c>
      <c r="DI57" s="85">
        <f>IF(DI14&lt;=Condition!$E$16,0,IF(DI14&lt;=Condition!$F$16,Condition!$D$16,IF(DI14&lt;=Condition!$F$17,Condition!$D$17,IF(DI14&lt;=Condition!$F$18,Condition!$D$18,IF(DI14&gt;Condition!$E$19,Condition!$D$19,"")))))</f>
        <v>0</v>
      </c>
      <c r="DJ57" s="85">
        <f>IF(DJ14&lt;=Condition!$E$16,0,IF(DJ14&lt;=Condition!$F$16,Condition!$D$16,IF(DJ14&lt;=Condition!$F$17,Condition!$D$17,IF(DJ14&lt;=Condition!$F$18,Condition!$D$18,IF(DJ14&gt;Condition!$E$19,Condition!$D$19,"")))))</f>
        <v>0</v>
      </c>
      <c r="DK57" s="85">
        <f>IF(DK14&lt;=Condition!$E$16,0,IF(DK14&lt;=Condition!$F$16,Condition!$D$16,IF(DK14&lt;=Condition!$F$17,Condition!$D$17,IF(DK14&lt;=Condition!$F$18,Condition!$D$18,IF(DK14&gt;Condition!$E$19,Condition!$D$19,"")))))</f>
        <v>0</v>
      </c>
      <c r="DL57" s="85">
        <f>IF(DL14&lt;=Condition!$E$16,0,IF(DL14&lt;=Condition!$F$16,Condition!$D$16,IF(DL14&lt;=Condition!$F$17,Condition!$D$17,IF(DL14&lt;=Condition!$F$18,Condition!$D$18,IF(DL14&gt;Condition!$E$19,Condition!$D$19,"")))))</f>
        <v>0</v>
      </c>
      <c r="DM57" s="85">
        <f>IF(DM14&lt;=Condition!$E$16,0,IF(DM14&lt;=Condition!$F$16,Condition!$D$16,IF(DM14&lt;=Condition!$F$17,Condition!$D$17,IF(DM14&lt;=Condition!$F$18,Condition!$D$18,IF(DM14&gt;Condition!$E$19,Condition!$D$19,"")))))</f>
        <v>0</v>
      </c>
      <c r="DN57" s="85">
        <f>IF(DN14&lt;=Condition!$E$16,0,IF(DN14&lt;=Condition!$F$16,Condition!$D$16,IF(DN14&lt;=Condition!$F$17,Condition!$D$17,IF(DN14&lt;=Condition!$F$18,Condition!$D$18,IF(DN14&gt;Condition!$E$19,Condition!$D$19,"")))))</f>
        <v>0</v>
      </c>
      <c r="DO57" s="85">
        <f>IF(DO14&lt;=Condition!$E$16,0,IF(DO14&lt;=Condition!$F$16,Condition!$D$16,IF(DO14&lt;=Condition!$F$17,Condition!$D$17,IF(DO14&lt;=Condition!$F$18,Condition!$D$18,IF(DO14&gt;Condition!$E$19,Condition!$D$19,"")))))</f>
        <v>0</v>
      </c>
      <c r="DP57" s="85">
        <f>IF(DP14&lt;=Condition!$E$16,0,IF(DP14&lt;=Condition!$F$16,Condition!$D$16,IF(DP14&lt;=Condition!$F$17,Condition!$D$17,IF(DP14&lt;=Condition!$F$18,Condition!$D$18,IF(DP14&gt;Condition!$E$19,Condition!$D$19,"")))))</f>
        <v>0</v>
      </c>
      <c r="DQ57" s="85">
        <f>IF(DQ14&lt;=Condition!$E$16,0,IF(DQ14&lt;=Condition!$F$16,Condition!$D$16,IF(DQ14&lt;=Condition!$F$17,Condition!$D$17,IF(DQ14&lt;=Condition!$F$18,Condition!$D$18,IF(DQ14&gt;Condition!$E$19,Condition!$D$19,"")))))</f>
        <v>0</v>
      </c>
      <c r="DR57" s="85">
        <f>IF(DR14&lt;=Condition!$E$16,0,IF(DR14&lt;=Condition!$F$16,Condition!$D$16,IF(DR14&lt;=Condition!$F$17,Condition!$D$17,IF(DR14&lt;=Condition!$F$18,Condition!$D$18,IF(DR14&gt;Condition!$E$19,Condition!$D$19,"")))))</f>
        <v>0</v>
      </c>
      <c r="DS57" s="85">
        <f>IF(DS14&lt;=Condition!$E$16,0,IF(DS14&lt;=Condition!$F$16,Condition!$D$16,IF(DS14&lt;=Condition!$F$17,Condition!$D$17,IF(DS14&lt;=Condition!$F$18,Condition!$D$18,IF(DS14&gt;Condition!$E$19,Condition!$D$19,"")))))</f>
        <v>0</v>
      </c>
      <c r="DT57" s="85">
        <f>IF(DT14&lt;=Condition!$E$16,0,IF(DT14&lt;=Condition!$F$16,Condition!$D$16,IF(DT14&lt;=Condition!$F$17,Condition!$D$17,IF(DT14&lt;=Condition!$F$18,Condition!$D$18,IF(DT14&gt;Condition!$E$19,Condition!$D$19,"")))))</f>
        <v>0</v>
      </c>
      <c r="DU57" s="85">
        <f>IF(DU14&lt;=Condition!$E$16,0,IF(DU14&lt;=Condition!$F$16,Condition!$D$16,IF(DU14&lt;=Condition!$F$17,Condition!$D$17,IF(DU14&lt;=Condition!$F$18,Condition!$D$18,IF(DU14&gt;Condition!$E$19,Condition!$D$19,"")))))</f>
        <v>0</v>
      </c>
      <c r="DV57" s="85">
        <f>IF(DV14&lt;=Condition!$E$16,0,IF(DV14&lt;=Condition!$F$16,Condition!$D$16,IF(DV14&lt;=Condition!$F$17,Condition!$D$17,IF(DV14&lt;=Condition!$F$18,Condition!$D$18,IF(DV14&gt;Condition!$E$19,Condition!$D$19,"")))))</f>
        <v>0</v>
      </c>
      <c r="DW57" s="85">
        <f>IF(DW14&lt;=Condition!$E$16,0,IF(DW14&lt;=Condition!$F$16,Condition!$D$16,IF(DW14&lt;=Condition!$F$17,Condition!$D$17,IF(DW14&lt;=Condition!$F$18,Condition!$D$18,IF(DW14&gt;Condition!$E$19,Condition!$D$19,"")))))</f>
        <v>0</v>
      </c>
      <c r="DX57" s="85">
        <f>IF(DX14&lt;=Condition!$E$16,0,IF(DX14&lt;=Condition!$F$16,Condition!$D$16,IF(DX14&lt;=Condition!$F$17,Condition!$D$17,IF(DX14&lt;=Condition!$F$18,Condition!$D$18,IF(DX14&gt;Condition!$E$19,Condition!$D$19,"")))))</f>
        <v>0</v>
      </c>
      <c r="DY57" s="85">
        <f>IF(DY14&lt;=Condition!$E$16,0,IF(DY14&lt;=Condition!$F$16,Condition!$D$16,IF(DY14&lt;=Condition!$F$17,Condition!$D$17,IF(DY14&lt;=Condition!$F$18,Condition!$D$18,IF(DY14&gt;Condition!$E$19,Condition!$D$19,"")))))</f>
        <v>0</v>
      </c>
      <c r="DZ57" s="85">
        <f>IF(DZ14&lt;=Condition!$E$16,0,IF(DZ14&lt;=Condition!$F$16,Condition!$D$16,IF(DZ14&lt;=Condition!$F$17,Condition!$D$17,IF(DZ14&lt;=Condition!$F$18,Condition!$D$18,IF(DZ14&gt;Condition!$E$19,Condition!$D$19,"")))))</f>
        <v>0</v>
      </c>
      <c r="EA57" s="85">
        <f>IF(EA14&lt;=Condition!$E$16,0,IF(EA14&lt;=Condition!$F$16,Condition!$D$16,IF(EA14&lt;=Condition!$F$17,Condition!$D$17,IF(EA14&lt;=Condition!$F$18,Condition!$D$18,IF(EA14&gt;Condition!$E$19,Condition!$D$19,"")))))</f>
        <v>0</v>
      </c>
      <c r="EB57" s="85">
        <f>IF(EB14&lt;=Condition!$E$16,0,IF(EB14&lt;=Condition!$F$16,Condition!$D$16,IF(EB14&lt;=Condition!$F$17,Condition!$D$17,IF(EB14&lt;=Condition!$F$18,Condition!$D$18,IF(EB14&gt;Condition!$E$19,Condition!$D$19,"")))))</f>
        <v>0</v>
      </c>
      <c r="EC57" s="85">
        <f>IF(EC14&lt;=Condition!$E$16,0,IF(EC14&lt;=Condition!$F$16,Condition!$D$16,IF(EC14&lt;=Condition!$F$17,Condition!$D$17,IF(EC14&lt;=Condition!$F$18,Condition!$D$18,IF(EC14&gt;Condition!$E$19,Condition!$D$19,"")))))</f>
        <v>0</v>
      </c>
      <c r="ED57" s="85">
        <f>IF(ED14&lt;=Condition!$E$16,0,IF(ED14&lt;=Condition!$F$16,Condition!$D$16,IF(ED14&lt;=Condition!$F$17,Condition!$D$17,IF(ED14&lt;=Condition!$F$18,Condition!$D$18,IF(ED14&gt;Condition!$E$19,Condition!$D$19,"")))))</f>
        <v>0</v>
      </c>
      <c r="EE57" s="85">
        <f>IF(EE14&lt;=Condition!$E$16,0,IF(EE14&lt;=Condition!$F$16,Condition!$D$16,IF(EE14&lt;=Condition!$F$17,Condition!$D$17,IF(EE14&lt;=Condition!$F$18,Condition!$D$18,IF(EE14&gt;Condition!$E$19,Condition!$D$19,"")))))</f>
        <v>0</v>
      </c>
      <c r="EF57" s="85">
        <f>IF(EF14&lt;=Condition!$E$16,0,IF(EF14&lt;=Condition!$F$16,Condition!$D$16,IF(EF14&lt;=Condition!$F$17,Condition!$D$17,IF(EF14&lt;=Condition!$F$18,Condition!$D$18,IF(EF14&gt;Condition!$E$19,Condition!$D$19,"")))))</f>
        <v>0</v>
      </c>
      <c r="EG57" s="85">
        <f>IF(EG14&lt;=Condition!$E$16,0,IF(EG14&lt;=Condition!$F$16,Condition!$D$16,IF(EG14&lt;=Condition!$F$17,Condition!$D$17,IF(EG14&lt;=Condition!$F$18,Condition!$D$18,IF(EG14&gt;Condition!$E$19,Condition!$D$19,"")))))</f>
        <v>0</v>
      </c>
      <c r="EH57" s="85">
        <f>IF(EH14&lt;=Condition!$E$16,0,IF(EH14&lt;=Condition!$F$16,Condition!$D$16,IF(EH14&lt;=Condition!$F$17,Condition!$D$17,IF(EH14&lt;=Condition!$F$18,Condition!$D$18,IF(EH14&gt;Condition!$E$19,Condition!$D$19,"")))))</f>
        <v>0</v>
      </c>
      <c r="EI57" s="85">
        <f>IF(EI14&lt;=Condition!$E$16,0,IF(EI14&lt;=Condition!$F$16,Condition!$D$16,IF(EI14&lt;=Condition!$F$17,Condition!$D$17,IF(EI14&lt;=Condition!$F$18,Condition!$D$18,IF(EI14&gt;Condition!$E$19,Condition!$D$19,"")))))</f>
        <v>0</v>
      </c>
      <c r="EJ57" s="85">
        <f>IF(EJ14&lt;=Condition!$E$16,0,IF(EJ14&lt;=Condition!$F$16,Condition!$D$16,IF(EJ14&lt;=Condition!$F$17,Condition!$D$17,IF(EJ14&lt;=Condition!$F$18,Condition!$D$18,IF(EJ14&gt;Condition!$E$19,Condition!$D$19,"")))))</f>
        <v>0</v>
      </c>
      <c r="EK57" s="85">
        <f>IF(EK14&lt;=Condition!$E$16,0,IF(EK14&lt;=Condition!$F$16,Condition!$D$16,IF(EK14&lt;=Condition!$F$17,Condition!$D$17,IF(EK14&lt;=Condition!$F$18,Condition!$D$18,IF(EK14&gt;Condition!$E$19,Condition!$D$19,"")))))</f>
        <v>0</v>
      </c>
      <c r="EL57" s="85">
        <f>IF(EL14&lt;=Condition!$E$16,0,IF(EL14&lt;=Condition!$F$16,Condition!$D$16,IF(EL14&lt;=Condition!$F$17,Condition!$D$17,IF(EL14&lt;=Condition!$F$18,Condition!$D$18,IF(EL14&gt;Condition!$E$19,Condition!$D$19,"")))))</f>
        <v>0</v>
      </c>
      <c r="EM57" s="85">
        <f>IF(EM14&lt;=Condition!$E$16,0,IF(EM14&lt;=Condition!$F$16,Condition!$D$16,IF(EM14&lt;=Condition!$F$17,Condition!$D$17,IF(EM14&lt;=Condition!$F$18,Condition!$D$18,IF(EM14&gt;Condition!$E$19,Condition!$D$19,"")))))</f>
        <v>0</v>
      </c>
      <c r="EN57" s="85">
        <f>IF(EN14&lt;=Condition!$E$16,0,IF(EN14&lt;=Condition!$F$16,Condition!$D$16,IF(EN14&lt;=Condition!$F$17,Condition!$D$17,IF(EN14&lt;=Condition!$F$18,Condition!$D$18,IF(EN14&gt;Condition!$E$19,Condition!$D$19,"")))))</f>
        <v>0</v>
      </c>
      <c r="EO57" s="85">
        <f>IF(EO14&lt;=Condition!$E$16,0,IF(EO14&lt;=Condition!$F$16,Condition!$D$16,IF(EO14&lt;=Condition!$F$17,Condition!$D$17,IF(EO14&lt;=Condition!$F$18,Condition!$D$18,IF(EO14&gt;Condition!$E$19,Condition!$D$19,"")))))</f>
        <v>0</v>
      </c>
      <c r="EP57" s="85">
        <f>IF(EP14&lt;=Condition!$E$16,0,IF(EP14&lt;=Condition!$F$16,Condition!$D$16,IF(EP14&lt;=Condition!$F$17,Condition!$D$17,IF(EP14&lt;=Condition!$F$18,Condition!$D$18,IF(EP14&gt;Condition!$E$19,Condition!$D$19,"")))))</f>
        <v>0</v>
      </c>
      <c r="EQ57" s="85">
        <f>IF(EQ14&lt;=Condition!$E$16,0,IF(EQ14&lt;=Condition!$F$16,Condition!$D$16,IF(EQ14&lt;=Condition!$F$17,Condition!$D$17,IF(EQ14&lt;=Condition!$F$18,Condition!$D$18,IF(EQ14&gt;Condition!$E$19,Condition!$D$19,"")))))</f>
        <v>0</v>
      </c>
      <c r="ER57" s="85">
        <f>IF(ER14&lt;=Condition!$E$16,0,IF(ER14&lt;=Condition!$F$16,Condition!$D$16,IF(ER14&lt;=Condition!$F$17,Condition!$D$17,IF(ER14&lt;=Condition!$F$18,Condition!$D$18,IF(ER14&gt;Condition!$E$19,Condition!$D$19,"")))))</f>
        <v>0</v>
      </c>
      <c r="ES57" s="85">
        <f>IF(ES14&lt;=Condition!$E$16,0,IF(ES14&lt;=Condition!$F$16,Condition!$D$16,IF(ES14&lt;=Condition!$F$17,Condition!$D$17,IF(ES14&lt;=Condition!$F$18,Condition!$D$18,IF(ES14&gt;Condition!$E$19,Condition!$D$19,"")))))</f>
        <v>0</v>
      </c>
      <c r="ET57" s="85">
        <f>IF(ET14&lt;=Condition!$E$16,0,IF(ET14&lt;=Condition!$F$16,Condition!$D$16,IF(ET14&lt;=Condition!$F$17,Condition!$D$17,IF(ET14&lt;=Condition!$F$18,Condition!$D$18,IF(ET14&gt;Condition!$E$19,Condition!$D$19,"")))))</f>
        <v>0</v>
      </c>
      <c r="EU57" s="85">
        <f>IF(EU14&lt;=Condition!$E$16,0,IF(EU14&lt;=Condition!$F$16,Condition!$D$16,IF(EU14&lt;=Condition!$F$17,Condition!$D$17,IF(EU14&lt;=Condition!$F$18,Condition!$D$18,IF(EU14&gt;Condition!$E$19,Condition!$D$19,"")))))</f>
        <v>0</v>
      </c>
      <c r="EV57" s="85">
        <f>IF(EV14&lt;=Condition!$E$16,0,IF(EV14&lt;=Condition!$F$16,Condition!$D$16,IF(EV14&lt;=Condition!$F$17,Condition!$D$17,IF(EV14&lt;=Condition!$F$18,Condition!$D$18,IF(EV14&gt;Condition!$E$19,Condition!$D$19,"")))))</f>
        <v>0</v>
      </c>
      <c r="EW57" s="85">
        <f>IF(EW14&lt;=Condition!$E$16,0,IF(EW14&lt;=Condition!$F$16,Condition!$D$16,IF(EW14&lt;=Condition!$F$17,Condition!$D$17,IF(EW14&lt;=Condition!$F$18,Condition!$D$18,IF(EW14&gt;Condition!$E$19,Condition!$D$19,"")))))</f>
        <v>0</v>
      </c>
      <c r="EX57" s="85">
        <f>IF(EX14&lt;=Condition!$E$16,0,IF(EX14&lt;=Condition!$F$16,Condition!$D$16,IF(EX14&lt;=Condition!$F$17,Condition!$D$17,IF(EX14&lt;=Condition!$F$18,Condition!$D$18,IF(EX14&gt;Condition!$E$19,Condition!$D$19,"")))))</f>
        <v>0</v>
      </c>
      <c r="EY57" s="85">
        <f>IF(EY14&lt;=Condition!$E$16,0,IF(EY14&lt;=Condition!$F$16,Condition!$D$16,IF(EY14&lt;=Condition!$F$17,Condition!$D$17,IF(EY14&lt;=Condition!$F$18,Condition!$D$18,IF(EY14&gt;Condition!$E$19,Condition!$D$19,"")))))</f>
        <v>0</v>
      </c>
      <c r="EZ57" s="85">
        <f>IF(EZ14&lt;=Condition!$E$16,0,IF(EZ14&lt;=Condition!$F$16,Condition!$D$16,IF(EZ14&lt;=Condition!$F$17,Condition!$D$17,IF(EZ14&lt;=Condition!$F$18,Condition!$D$18,IF(EZ14&gt;Condition!$E$19,Condition!$D$19,"")))))</f>
        <v>0</v>
      </c>
      <c r="FA57" s="85">
        <f>IF(FA14&lt;=Condition!$E$16,0,IF(FA14&lt;=Condition!$F$16,Condition!$D$16,IF(FA14&lt;=Condition!$F$17,Condition!$D$17,IF(FA14&lt;=Condition!$F$18,Condition!$D$18,IF(FA14&gt;Condition!$E$19,Condition!$D$19,"")))))</f>
        <v>0</v>
      </c>
      <c r="FB57" s="85">
        <f>IF(FB14&lt;=Condition!$E$16,0,IF(FB14&lt;=Condition!$F$16,Condition!$D$16,IF(FB14&lt;=Condition!$F$17,Condition!$D$17,IF(FB14&lt;=Condition!$F$18,Condition!$D$18,IF(FB14&gt;Condition!$E$19,Condition!$D$19,"")))))</f>
        <v>0</v>
      </c>
      <c r="FC57" s="85">
        <f>IF(FC14&lt;=Condition!$E$16,0,IF(FC14&lt;=Condition!$F$16,Condition!$D$16,IF(FC14&lt;=Condition!$F$17,Condition!$D$17,IF(FC14&lt;=Condition!$F$18,Condition!$D$18,IF(FC14&gt;Condition!$E$19,Condition!$D$19,"")))))</f>
        <v>0</v>
      </c>
      <c r="FD57" s="85">
        <f>IF(FD14&lt;=Condition!$E$16,0,IF(FD14&lt;=Condition!$F$16,Condition!$D$16,IF(FD14&lt;=Condition!$F$17,Condition!$D$17,IF(FD14&lt;=Condition!$F$18,Condition!$D$18,IF(FD14&gt;Condition!$E$19,Condition!$D$19,"")))))</f>
        <v>0</v>
      </c>
      <c r="FE57" s="85">
        <f>IF(FE14&lt;=Condition!$E$16,0,IF(FE14&lt;=Condition!$F$16,Condition!$D$16,IF(FE14&lt;=Condition!$F$17,Condition!$D$17,IF(FE14&lt;=Condition!$F$18,Condition!$D$18,IF(FE14&gt;Condition!$E$19,Condition!$D$19,"")))))</f>
        <v>0</v>
      </c>
      <c r="FF57" s="85">
        <f>IF(FF14&lt;=Condition!$E$16,0,IF(FF14&lt;=Condition!$F$16,Condition!$D$16,IF(FF14&lt;=Condition!$F$17,Condition!$D$17,IF(FF14&lt;=Condition!$F$18,Condition!$D$18,IF(FF14&gt;Condition!$E$19,Condition!$D$19,"")))))</f>
        <v>0</v>
      </c>
      <c r="FG57" s="85">
        <f>IF(FG14&lt;=Condition!$E$16,0,IF(FG14&lt;=Condition!$F$16,Condition!$D$16,IF(FG14&lt;=Condition!$F$17,Condition!$D$17,IF(FG14&lt;=Condition!$F$18,Condition!$D$18,IF(FG14&gt;Condition!$E$19,Condition!$D$19,"")))))</f>
        <v>0</v>
      </c>
      <c r="FH57" s="85">
        <f>IF(FH14&lt;=Condition!$E$16,0,IF(FH14&lt;=Condition!$F$16,Condition!$D$16,IF(FH14&lt;=Condition!$F$17,Condition!$D$17,IF(FH14&lt;=Condition!$F$18,Condition!$D$18,IF(FH14&gt;Condition!$E$19,Condition!$D$19,"")))))</f>
        <v>0</v>
      </c>
      <c r="FI57" s="85">
        <f>IF(FI14&lt;=Condition!$E$16,0,IF(FI14&lt;=Condition!$F$16,Condition!$D$16,IF(FI14&lt;=Condition!$F$17,Condition!$D$17,IF(FI14&lt;=Condition!$F$18,Condition!$D$18,IF(FI14&gt;Condition!$E$19,Condition!$D$19,"")))))</f>
        <v>0</v>
      </c>
      <c r="FJ57" s="85">
        <f>IF(FJ14&lt;=Condition!$E$16,0,IF(FJ14&lt;=Condition!$F$16,Condition!$D$16,IF(FJ14&lt;=Condition!$F$17,Condition!$D$17,IF(FJ14&lt;=Condition!$F$18,Condition!$D$18,IF(FJ14&gt;Condition!$E$19,Condition!$D$19,"")))))</f>
        <v>0</v>
      </c>
      <c r="FK57" s="85">
        <f>IF(FK14&lt;=Condition!$E$16,0,IF(FK14&lt;=Condition!$F$16,Condition!$D$16,IF(FK14&lt;=Condition!$F$17,Condition!$D$17,IF(FK14&lt;=Condition!$F$18,Condition!$D$18,IF(FK14&gt;Condition!$E$19,Condition!$D$19,"")))))</f>
        <v>0</v>
      </c>
      <c r="FL57" s="85">
        <f>IF(FL14&lt;=Condition!$E$16,0,IF(FL14&lt;=Condition!$F$16,Condition!$D$16,IF(FL14&lt;=Condition!$F$17,Condition!$D$17,IF(FL14&lt;=Condition!$F$18,Condition!$D$18,IF(FL14&gt;Condition!$E$19,Condition!$D$19,"")))))</f>
        <v>0</v>
      </c>
      <c r="FM57" s="85">
        <f>IF(FM14&lt;=Condition!$E$16,0,IF(FM14&lt;=Condition!$F$16,Condition!$D$16,IF(FM14&lt;=Condition!$F$17,Condition!$D$17,IF(FM14&lt;=Condition!$F$18,Condition!$D$18,IF(FM14&gt;Condition!$E$19,Condition!$D$19,"")))))</f>
        <v>0</v>
      </c>
      <c r="FN57" s="85">
        <f>IF(FN14&lt;=Condition!$E$16,0,IF(FN14&lt;=Condition!$F$16,Condition!$D$16,IF(FN14&lt;=Condition!$F$17,Condition!$D$17,IF(FN14&lt;=Condition!$F$18,Condition!$D$18,IF(FN14&gt;Condition!$E$19,Condition!$D$19,"")))))</f>
        <v>0</v>
      </c>
      <c r="FO57" s="85">
        <f>IF(FO14&lt;=Condition!$E$16,0,IF(FO14&lt;=Condition!$F$16,Condition!$D$16,IF(FO14&lt;=Condition!$F$17,Condition!$D$17,IF(FO14&lt;=Condition!$F$18,Condition!$D$18,IF(FO14&gt;Condition!$E$19,Condition!$D$19,"")))))</f>
        <v>0</v>
      </c>
      <c r="FP57" s="85">
        <f>IF(FP14&lt;=Condition!$E$16,0,IF(FP14&lt;=Condition!$F$16,Condition!$D$16,IF(FP14&lt;=Condition!$F$17,Condition!$D$17,IF(FP14&lt;=Condition!$F$18,Condition!$D$18,IF(FP14&gt;Condition!$E$19,Condition!$D$19,"")))))</f>
        <v>0</v>
      </c>
      <c r="FQ57" s="85">
        <f>IF(FQ14&lt;=Condition!$E$16,0,IF(FQ14&lt;=Condition!$F$16,Condition!$D$16,IF(FQ14&lt;=Condition!$F$17,Condition!$D$17,IF(FQ14&lt;=Condition!$F$18,Condition!$D$18,IF(FQ14&gt;Condition!$E$19,Condition!$D$19,"")))))</f>
        <v>0</v>
      </c>
      <c r="FR57" s="85">
        <f>IF(FR14&lt;=Condition!$E$16,0,IF(FR14&lt;=Condition!$F$16,Condition!$D$16,IF(FR14&lt;=Condition!$F$17,Condition!$D$17,IF(FR14&lt;=Condition!$F$18,Condition!$D$18,IF(FR14&gt;Condition!$E$19,Condition!$D$19,"")))))</f>
        <v>0</v>
      </c>
      <c r="FS57" s="85">
        <f>IF(FS14&lt;=Condition!$E$16,0,IF(FS14&lt;=Condition!$F$16,Condition!$D$16,IF(FS14&lt;=Condition!$F$17,Condition!$D$17,IF(FS14&lt;=Condition!$F$18,Condition!$D$18,IF(FS14&gt;Condition!$E$19,Condition!$D$19,"")))))</f>
        <v>0</v>
      </c>
      <c r="FT57" s="85">
        <f>IF(FT14&lt;=Condition!$E$16,0,IF(FT14&lt;=Condition!$F$16,Condition!$D$16,IF(FT14&lt;=Condition!$F$17,Condition!$D$17,IF(FT14&lt;=Condition!$F$18,Condition!$D$18,IF(FT14&gt;Condition!$E$19,Condition!$D$19,"")))))</f>
        <v>0</v>
      </c>
      <c r="FU57" s="85">
        <f>IF(FU14&lt;=Condition!$E$16,0,IF(FU14&lt;=Condition!$F$16,Condition!$D$16,IF(FU14&lt;=Condition!$F$17,Condition!$D$17,IF(FU14&lt;=Condition!$F$18,Condition!$D$18,IF(FU14&gt;Condition!$E$19,Condition!$D$19,"")))))</f>
        <v>0</v>
      </c>
      <c r="FV57" s="85">
        <f>IF(FV14&lt;=Condition!$E$16,0,IF(FV14&lt;=Condition!$F$16,Condition!$D$16,IF(FV14&lt;=Condition!$F$17,Condition!$D$17,IF(FV14&lt;=Condition!$F$18,Condition!$D$18,IF(FV14&gt;Condition!$E$19,Condition!$D$19,"")))))</f>
        <v>0</v>
      </c>
      <c r="FW57" s="85">
        <f>IF(FW14&lt;=Condition!$E$16,0,IF(FW14&lt;=Condition!$F$16,Condition!$D$16,IF(FW14&lt;=Condition!$F$17,Condition!$D$17,IF(FW14&lt;=Condition!$F$18,Condition!$D$18,IF(FW14&gt;Condition!$E$19,Condition!$D$19,"")))))</f>
        <v>0</v>
      </c>
      <c r="FX57" s="85">
        <f>IF(FX14&lt;=Condition!$E$16,0,IF(FX14&lt;=Condition!$F$16,Condition!$D$16,IF(FX14&lt;=Condition!$F$17,Condition!$D$17,IF(FX14&lt;=Condition!$F$18,Condition!$D$18,IF(FX14&gt;Condition!$E$19,Condition!$D$19,"")))))</f>
        <v>0</v>
      </c>
      <c r="FY57" s="85">
        <f>IF(FY14&lt;=Condition!$E$16,0,IF(FY14&lt;=Condition!$F$16,Condition!$D$16,IF(FY14&lt;=Condition!$F$17,Condition!$D$17,IF(FY14&lt;=Condition!$F$18,Condition!$D$18,IF(FY14&gt;Condition!$E$19,Condition!$D$19,"")))))</f>
        <v>0</v>
      </c>
      <c r="FZ57" s="85">
        <f>IF(FZ14&lt;=Condition!$E$16,0,IF(FZ14&lt;=Condition!$F$16,Condition!$D$16,IF(FZ14&lt;=Condition!$F$17,Condition!$D$17,IF(FZ14&lt;=Condition!$F$18,Condition!$D$18,IF(FZ14&gt;Condition!$E$19,Condition!$D$19,"")))))</f>
        <v>0</v>
      </c>
      <c r="GA57" s="85">
        <f>IF(GA14&lt;=Condition!$E$16,0,IF(GA14&lt;=Condition!$F$16,Condition!$D$16,IF(GA14&lt;=Condition!$F$17,Condition!$D$17,IF(GA14&lt;=Condition!$F$18,Condition!$D$18,IF(GA14&gt;Condition!$E$19,Condition!$D$19,"")))))</f>
        <v>0</v>
      </c>
      <c r="GB57" s="85">
        <f>IF(GB14&lt;=Condition!$E$16,0,IF(GB14&lt;=Condition!$F$16,Condition!$D$16,IF(GB14&lt;=Condition!$F$17,Condition!$D$17,IF(GB14&lt;=Condition!$F$18,Condition!$D$18,IF(GB14&gt;Condition!$E$19,Condition!$D$19,"")))))</f>
        <v>0</v>
      </c>
      <c r="GC57" s="85">
        <f>IF(GC14&lt;=Condition!$E$16,0,IF(GC14&lt;=Condition!$F$16,Condition!$D$16,IF(GC14&lt;=Condition!$F$17,Condition!$D$17,IF(GC14&lt;=Condition!$F$18,Condition!$D$18,IF(GC14&gt;Condition!$E$19,Condition!$D$19,"")))))</f>
        <v>0</v>
      </c>
      <c r="GD57" s="85">
        <f>IF(GD14&lt;=Condition!$E$16,0,IF(GD14&lt;=Condition!$F$16,Condition!$D$16,IF(GD14&lt;=Condition!$F$17,Condition!$D$17,IF(GD14&lt;=Condition!$F$18,Condition!$D$18,IF(GD14&gt;Condition!$E$19,Condition!$D$19,"")))))</f>
        <v>0</v>
      </c>
      <c r="GE57" s="85">
        <f>IF(GE14&lt;=Condition!$E$16,0,IF(GE14&lt;=Condition!$F$16,Condition!$D$16,IF(GE14&lt;=Condition!$F$17,Condition!$D$17,IF(GE14&lt;=Condition!$F$18,Condition!$D$18,IF(GE14&gt;Condition!$E$19,Condition!$D$19,"")))))</f>
        <v>0</v>
      </c>
      <c r="GF57" s="85">
        <f>IF(GF14&lt;=Condition!$E$16,0,IF(GF14&lt;=Condition!$F$16,Condition!$D$16,IF(GF14&lt;=Condition!$F$17,Condition!$D$17,IF(GF14&lt;=Condition!$F$18,Condition!$D$18,IF(GF14&gt;Condition!$E$19,Condition!$D$19,"")))))</f>
        <v>0</v>
      </c>
      <c r="GG57" s="85">
        <f>IF(GG14&lt;=Condition!$E$16,0,IF(GG14&lt;=Condition!$F$16,Condition!$D$16,IF(GG14&lt;=Condition!$F$17,Condition!$D$17,IF(GG14&lt;=Condition!$F$18,Condition!$D$18,IF(GG14&gt;Condition!$E$19,Condition!$D$19,"")))))</f>
        <v>0</v>
      </c>
      <c r="GH57" s="85">
        <f>IF(GH14&lt;=Condition!$E$16,0,IF(GH14&lt;=Condition!$F$16,Condition!$D$16,IF(GH14&lt;=Condition!$F$17,Condition!$D$17,IF(GH14&lt;=Condition!$F$18,Condition!$D$18,IF(GH14&gt;Condition!$E$19,Condition!$D$19,"")))))</f>
        <v>0</v>
      </c>
      <c r="GI57" s="85">
        <f>IF(GI14&lt;=Condition!$E$16,0,IF(GI14&lt;=Condition!$F$16,Condition!$D$16,IF(GI14&lt;=Condition!$F$17,Condition!$D$17,IF(GI14&lt;=Condition!$F$18,Condition!$D$18,IF(GI14&gt;Condition!$E$19,Condition!$D$19,"")))))</f>
        <v>0</v>
      </c>
      <c r="GJ57" s="85">
        <f>IF(GJ14&lt;=Condition!$E$16,0,IF(GJ14&lt;=Condition!$F$16,Condition!$D$16,IF(GJ14&lt;=Condition!$F$17,Condition!$D$17,IF(GJ14&lt;=Condition!$F$18,Condition!$D$18,IF(GJ14&gt;Condition!$E$19,Condition!$D$19,"")))))</f>
        <v>0</v>
      </c>
      <c r="GK57" s="85">
        <f>IF(GK14&lt;=Condition!$E$16,0,IF(GK14&lt;=Condition!$F$16,Condition!$D$16,IF(GK14&lt;=Condition!$F$17,Condition!$D$17,IF(GK14&lt;=Condition!$F$18,Condition!$D$18,IF(GK14&gt;Condition!$E$19,Condition!$D$19,"")))))</f>
        <v>0</v>
      </c>
      <c r="GL57" s="85">
        <f>IF(GL14&lt;=Condition!$E$16,0,IF(GL14&lt;=Condition!$F$16,Condition!$D$16,IF(GL14&lt;=Condition!$F$17,Condition!$D$17,IF(GL14&lt;=Condition!$F$18,Condition!$D$18,IF(GL14&gt;Condition!$E$19,Condition!$D$19,"")))))</f>
        <v>0</v>
      </c>
      <c r="GM57" s="85">
        <f>IF(GM14&lt;=Condition!$E$16,0,IF(GM14&lt;=Condition!$F$16,Condition!$D$16,IF(GM14&lt;=Condition!$F$17,Condition!$D$17,IF(GM14&lt;=Condition!$F$18,Condition!$D$18,IF(GM14&gt;Condition!$E$19,Condition!$D$19,"")))))</f>
        <v>0</v>
      </c>
      <c r="GN57" s="85">
        <f>IF(GN14&lt;=Condition!$E$16,0,IF(GN14&lt;=Condition!$F$16,Condition!$D$16,IF(GN14&lt;=Condition!$F$17,Condition!$D$17,IF(GN14&lt;=Condition!$F$18,Condition!$D$18,IF(GN14&gt;Condition!$E$19,Condition!$D$19,"")))))</f>
        <v>0</v>
      </c>
      <c r="GO57" s="85">
        <f>IF(GO14&lt;=Condition!$E$16,0,IF(GO14&lt;=Condition!$F$16,Condition!$D$16,IF(GO14&lt;=Condition!$F$17,Condition!$D$17,IF(GO14&lt;=Condition!$F$18,Condition!$D$18,IF(GO14&gt;Condition!$E$19,Condition!$D$19,"")))))</f>
        <v>0</v>
      </c>
      <c r="GP57" s="85">
        <f>IF(GP14&lt;=Condition!$E$16,0,IF(GP14&lt;=Condition!$F$16,Condition!$D$16,IF(GP14&lt;=Condition!$F$17,Condition!$D$17,IF(GP14&lt;=Condition!$F$18,Condition!$D$18,IF(GP14&gt;Condition!$E$19,Condition!$D$19,"")))))</f>
        <v>0</v>
      </c>
      <c r="GQ57" s="85">
        <f>IF(GQ14&lt;=Condition!$E$16,0,IF(GQ14&lt;=Condition!$F$16,Condition!$D$16,IF(GQ14&lt;=Condition!$F$17,Condition!$D$17,IF(GQ14&lt;=Condition!$F$18,Condition!$D$18,IF(GQ14&gt;Condition!$E$19,Condition!$D$19,"")))))</f>
        <v>0</v>
      </c>
      <c r="GR57" s="85">
        <f>IF(GR14&lt;=Condition!$E$16,0,IF(GR14&lt;=Condition!$F$16,Condition!$D$16,IF(GR14&lt;=Condition!$F$17,Condition!$D$17,IF(GR14&lt;=Condition!$F$18,Condition!$D$18,IF(GR14&gt;Condition!$E$19,Condition!$D$19,"")))))</f>
        <v>0</v>
      </c>
      <c r="GS57" s="85">
        <f>IF(GS14&lt;=Condition!$E$16,0,IF(GS14&lt;=Condition!$F$16,Condition!$D$16,IF(GS14&lt;=Condition!$F$17,Condition!$D$17,IF(GS14&lt;=Condition!$F$18,Condition!$D$18,IF(GS14&gt;Condition!$E$19,Condition!$D$19,"")))))</f>
        <v>0</v>
      </c>
      <c r="GT57" s="85">
        <f>IF(GT14&lt;=Condition!$E$16,0,IF(GT14&lt;=Condition!$F$16,Condition!$D$16,IF(GT14&lt;=Condition!$F$17,Condition!$D$17,IF(GT14&lt;=Condition!$F$18,Condition!$D$18,IF(GT14&gt;Condition!$E$19,Condition!$D$19,"")))))</f>
        <v>0</v>
      </c>
      <c r="GU57" s="85">
        <f>IF(GU14&lt;=Condition!$E$16,0,IF(GU14&lt;=Condition!$F$16,Condition!$D$16,IF(GU14&lt;=Condition!$F$17,Condition!$D$17,IF(GU14&lt;=Condition!$F$18,Condition!$D$18,IF(GU14&gt;Condition!$E$19,Condition!$D$19,"")))))</f>
        <v>0</v>
      </c>
      <c r="GV57" s="85">
        <f>IF(GV14&lt;=Condition!$E$16,0,IF(GV14&lt;=Condition!$F$16,Condition!$D$16,IF(GV14&lt;=Condition!$F$17,Condition!$D$17,IF(GV14&lt;=Condition!$F$18,Condition!$D$18,IF(GV14&gt;Condition!$E$19,Condition!$D$19,"")))))</f>
        <v>0</v>
      </c>
      <c r="GW57" s="85">
        <f>IF(GW14&lt;=Condition!$E$16,0,IF(GW14&lt;=Condition!$F$16,Condition!$D$16,IF(GW14&lt;=Condition!$F$17,Condition!$D$17,IF(GW14&lt;=Condition!$F$18,Condition!$D$18,IF(GW14&gt;Condition!$E$19,Condition!$D$19,"")))))</f>
        <v>0</v>
      </c>
      <c r="GX57" s="85">
        <f>IF(GX14&lt;=Condition!$E$16,0,IF(GX14&lt;=Condition!$F$16,Condition!$D$16,IF(GX14&lt;=Condition!$F$17,Condition!$D$17,IF(GX14&lt;=Condition!$F$18,Condition!$D$18,IF(GX14&gt;Condition!$E$19,Condition!$D$19,"")))))</f>
        <v>0</v>
      </c>
      <c r="GY57" s="85">
        <f>IF(GY14&lt;=Condition!$E$16,0,IF(GY14&lt;=Condition!$F$16,Condition!$D$16,IF(GY14&lt;=Condition!$F$17,Condition!$D$17,IF(GY14&lt;=Condition!$F$18,Condition!$D$18,IF(GY14&gt;Condition!$E$19,Condition!$D$19,"")))))</f>
        <v>0</v>
      </c>
      <c r="GZ57" s="85">
        <f>IF(GZ14&lt;=Condition!$E$16,0,IF(GZ14&lt;=Condition!$F$16,Condition!$D$16,IF(GZ14&lt;=Condition!$F$17,Condition!$D$17,IF(GZ14&lt;=Condition!$F$18,Condition!$D$18,IF(GZ14&gt;Condition!$E$19,Condition!$D$19,"")))))</f>
        <v>0</v>
      </c>
      <c r="HA57" s="85">
        <f>IF(HA14&lt;=Condition!$E$16,0,IF(HA14&lt;=Condition!$F$16,Condition!$D$16,IF(HA14&lt;=Condition!$F$17,Condition!$D$17,IF(HA14&lt;=Condition!$F$18,Condition!$D$18,IF(HA14&gt;Condition!$E$19,Condition!$D$19,"")))))</f>
        <v>0</v>
      </c>
      <c r="HB57" s="85">
        <f>IF(HB14&lt;=Condition!$E$16,0,IF(HB14&lt;=Condition!$F$16,Condition!$D$16,IF(HB14&lt;=Condition!$F$17,Condition!$D$17,IF(HB14&lt;=Condition!$F$18,Condition!$D$18,IF(HB14&gt;Condition!$E$19,Condition!$D$19,"")))))</f>
        <v>0</v>
      </c>
      <c r="HC57" s="85">
        <f>IF(HC14&lt;=Condition!$E$16,0,IF(HC14&lt;=Condition!$F$16,Condition!$D$16,IF(HC14&lt;=Condition!$F$17,Condition!$D$17,IF(HC14&lt;=Condition!$F$18,Condition!$D$18,IF(HC14&gt;Condition!$E$19,Condition!$D$19,"")))))</f>
        <v>0</v>
      </c>
      <c r="HD57" s="85">
        <f>IF(HD14&lt;=Condition!$E$16,0,IF(HD14&lt;=Condition!$F$16,Condition!$D$16,IF(HD14&lt;=Condition!$F$17,Condition!$D$17,IF(HD14&lt;=Condition!$F$18,Condition!$D$18,IF(HD14&gt;Condition!$E$19,Condition!$D$19,"")))))</f>
        <v>0</v>
      </c>
      <c r="HE57" s="85">
        <f>IF(HE14&lt;=Condition!$E$16,0,IF(HE14&lt;=Condition!$F$16,Condition!$D$16,IF(HE14&lt;=Condition!$F$17,Condition!$D$17,IF(HE14&lt;=Condition!$F$18,Condition!$D$18,IF(HE14&gt;Condition!$E$19,Condition!$D$19,"")))))</f>
        <v>0</v>
      </c>
      <c r="HF57" s="85">
        <f>IF(HF14&lt;=Condition!$E$16,0,IF(HF14&lt;=Condition!$F$16,Condition!$D$16,IF(HF14&lt;=Condition!$F$17,Condition!$D$17,IF(HF14&lt;=Condition!$F$18,Condition!$D$18,IF(HF14&gt;Condition!$E$19,Condition!$D$19,"")))))</f>
        <v>0</v>
      </c>
      <c r="HG57" s="85">
        <f>IF(HG14&lt;=Condition!$E$16,0,IF(HG14&lt;=Condition!$F$16,Condition!$D$16,IF(HG14&lt;=Condition!$F$17,Condition!$D$17,IF(HG14&lt;=Condition!$F$18,Condition!$D$18,IF(HG14&gt;Condition!$E$19,Condition!$D$19,"")))))</f>
        <v>0</v>
      </c>
      <c r="HH57" s="85">
        <f>IF(HH14&lt;=Condition!$E$16,0,IF(HH14&lt;=Condition!$F$16,Condition!$D$16,IF(HH14&lt;=Condition!$F$17,Condition!$D$17,IF(HH14&lt;=Condition!$F$18,Condition!$D$18,IF(HH14&gt;Condition!$E$19,Condition!$D$19,"")))))</f>
        <v>0</v>
      </c>
      <c r="HI57" s="85">
        <f>IF(HI14&lt;=Condition!$E$16,0,IF(HI14&lt;=Condition!$F$16,Condition!$D$16,IF(HI14&lt;=Condition!$F$17,Condition!$D$17,IF(HI14&lt;=Condition!$F$18,Condition!$D$18,IF(HI14&gt;Condition!$E$19,Condition!$D$19,"")))))</f>
        <v>0</v>
      </c>
      <c r="HJ57" s="85">
        <f>IF(HJ14&lt;=Condition!$E$16,0,IF(HJ14&lt;=Condition!$F$16,Condition!$D$16,IF(HJ14&lt;=Condition!$F$17,Condition!$D$17,IF(HJ14&lt;=Condition!$F$18,Condition!$D$18,IF(HJ14&gt;Condition!$E$19,Condition!$D$19,"")))))</f>
        <v>0</v>
      </c>
      <c r="HK57" s="85">
        <f>IF(HK14&lt;=Condition!$E$16,0,IF(HK14&lt;=Condition!$F$16,Condition!$D$16,IF(HK14&lt;=Condition!$F$17,Condition!$D$17,IF(HK14&lt;=Condition!$F$18,Condition!$D$18,IF(HK14&gt;Condition!$E$19,Condition!$D$19,"")))))</f>
        <v>0</v>
      </c>
      <c r="HL57" s="85">
        <f>IF(HL14&lt;=Condition!$E$16,0,IF(HL14&lt;=Condition!$F$16,Condition!$D$16,IF(HL14&lt;=Condition!$F$17,Condition!$D$17,IF(HL14&lt;=Condition!$F$18,Condition!$D$18,IF(HL14&gt;Condition!$E$19,Condition!$D$19,"")))))</f>
        <v>0</v>
      </c>
      <c r="HM57" s="85">
        <f>IF(HM14&lt;=Condition!$E$16,0,IF(HM14&lt;=Condition!$F$16,Condition!$D$16,IF(HM14&lt;=Condition!$F$17,Condition!$D$17,IF(HM14&lt;=Condition!$F$18,Condition!$D$18,IF(HM14&gt;Condition!$E$19,Condition!$D$19,"")))))</f>
        <v>0</v>
      </c>
      <c r="HN57" s="85">
        <f>IF(HN14&lt;=Condition!$E$16,0,IF(HN14&lt;=Condition!$F$16,Condition!$D$16,IF(HN14&lt;=Condition!$F$17,Condition!$D$17,IF(HN14&lt;=Condition!$F$18,Condition!$D$18,IF(HN14&gt;Condition!$E$19,Condition!$D$19,"")))))</f>
        <v>0</v>
      </c>
      <c r="HO57" s="85">
        <f>IF(HO14&lt;=Condition!$E$16,0,IF(HO14&lt;=Condition!$F$16,Condition!$D$16,IF(HO14&lt;=Condition!$F$17,Condition!$D$17,IF(HO14&lt;=Condition!$F$18,Condition!$D$18,IF(HO14&gt;Condition!$E$19,Condition!$D$19,"")))))</f>
        <v>0</v>
      </c>
      <c r="HP57" s="85">
        <f>IF(HP14&lt;=Condition!$E$16,0,IF(HP14&lt;=Condition!$F$16,Condition!$D$16,IF(HP14&lt;=Condition!$F$17,Condition!$D$17,IF(HP14&lt;=Condition!$F$18,Condition!$D$18,IF(HP14&gt;Condition!$E$19,Condition!$D$19,"")))))</f>
        <v>0</v>
      </c>
      <c r="HQ57" s="85">
        <f>IF(HQ14&lt;=Condition!$E$16,0,IF(HQ14&lt;=Condition!$F$16,Condition!$D$16,IF(HQ14&lt;=Condition!$F$17,Condition!$D$17,IF(HQ14&lt;=Condition!$F$18,Condition!$D$18,IF(HQ14&gt;Condition!$E$19,Condition!$D$19,"")))))</f>
        <v>0</v>
      </c>
      <c r="HR57" s="85">
        <f>IF(HR14&lt;=Condition!$E$16,0,IF(HR14&lt;=Condition!$F$16,Condition!$D$16,IF(HR14&lt;=Condition!$F$17,Condition!$D$17,IF(HR14&lt;=Condition!$F$18,Condition!$D$18,IF(HR14&gt;Condition!$E$19,Condition!$D$19,"")))))</f>
        <v>0</v>
      </c>
      <c r="HS57" s="85">
        <f>IF(HS14&lt;=Condition!$E$16,0,IF(HS14&lt;=Condition!$F$16,Condition!$D$16,IF(HS14&lt;=Condition!$F$17,Condition!$D$17,IF(HS14&lt;=Condition!$F$18,Condition!$D$18,IF(HS14&gt;Condition!$E$19,Condition!$D$19,"")))))</f>
        <v>0</v>
      </c>
      <c r="HT57" s="85">
        <f>IF(HT14&lt;=Condition!$E$16,0,IF(HT14&lt;=Condition!$F$16,Condition!$D$16,IF(HT14&lt;=Condition!$F$17,Condition!$D$17,IF(HT14&lt;=Condition!$F$18,Condition!$D$18,IF(HT14&gt;Condition!$E$19,Condition!$D$19,"")))))</f>
        <v>0</v>
      </c>
      <c r="HU57" s="85">
        <f>IF(HU14&lt;=Condition!$E$16,0,IF(HU14&lt;=Condition!$F$16,Condition!$D$16,IF(HU14&lt;=Condition!$F$17,Condition!$D$17,IF(HU14&lt;=Condition!$F$18,Condition!$D$18,IF(HU14&gt;Condition!$E$19,Condition!$D$19,"")))))</f>
        <v>0</v>
      </c>
      <c r="HV57" s="85">
        <f>IF(HV14&lt;=Condition!$E$16,0,IF(HV14&lt;=Condition!$F$16,Condition!$D$16,IF(HV14&lt;=Condition!$F$17,Condition!$D$17,IF(HV14&lt;=Condition!$F$18,Condition!$D$18,IF(HV14&gt;Condition!$E$19,Condition!$D$19,"")))))</f>
        <v>0</v>
      </c>
      <c r="HW57" s="85">
        <f>IF(HW14&lt;=Condition!$E$16,0,IF(HW14&lt;=Condition!$F$16,Condition!$D$16,IF(HW14&lt;=Condition!$F$17,Condition!$D$17,IF(HW14&lt;=Condition!$F$18,Condition!$D$18,IF(HW14&gt;Condition!$E$19,Condition!$D$19,"")))))</f>
        <v>0</v>
      </c>
      <c r="HX57" s="85">
        <f>IF(HX14&lt;=Condition!$E$16,0,IF(HX14&lt;=Condition!$F$16,Condition!$D$16,IF(HX14&lt;=Condition!$F$17,Condition!$D$17,IF(HX14&lt;=Condition!$F$18,Condition!$D$18,IF(HX14&gt;Condition!$E$19,Condition!$D$19,"")))))</f>
        <v>0</v>
      </c>
      <c r="HY57" s="85">
        <f>IF(HY14&lt;=Condition!$E$16,0,IF(HY14&lt;=Condition!$F$16,Condition!$D$16,IF(HY14&lt;=Condition!$F$17,Condition!$D$17,IF(HY14&lt;=Condition!$F$18,Condition!$D$18,IF(HY14&gt;Condition!$E$19,Condition!$D$19,"")))))</f>
        <v>0</v>
      </c>
      <c r="HZ57" s="85">
        <f>IF(HZ14&lt;=Condition!$E$16,0,IF(HZ14&lt;=Condition!$F$16,Condition!$D$16,IF(HZ14&lt;=Condition!$F$17,Condition!$D$17,IF(HZ14&lt;=Condition!$F$18,Condition!$D$18,IF(HZ14&gt;Condition!$E$19,Condition!$D$19,"")))))</f>
        <v>0</v>
      </c>
      <c r="IA57" s="85">
        <f>IF(IA14&lt;=Condition!$E$16,0,IF(IA14&lt;=Condition!$F$16,Condition!$D$16,IF(IA14&lt;=Condition!$F$17,Condition!$D$17,IF(IA14&lt;=Condition!$F$18,Condition!$D$18,IF(IA14&gt;Condition!$E$19,Condition!$D$19,"")))))</f>
        <v>0</v>
      </c>
      <c r="IB57" s="85">
        <f>IF(IB14&lt;=Condition!$E$16,0,IF(IB14&lt;=Condition!$F$16,Condition!$D$16,IF(IB14&lt;=Condition!$F$17,Condition!$D$17,IF(IB14&lt;=Condition!$F$18,Condition!$D$18,IF(IB14&gt;Condition!$E$19,Condition!$D$19,"")))))</f>
        <v>0</v>
      </c>
      <c r="IC57" s="85">
        <f>IF(IC14&lt;=Condition!$E$16,0,IF(IC14&lt;=Condition!$F$16,Condition!$D$16,IF(IC14&lt;=Condition!$F$17,Condition!$D$17,IF(IC14&lt;=Condition!$F$18,Condition!$D$18,IF(IC14&gt;Condition!$E$19,Condition!$D$19,"")))))</f>
        <v>0</v>
      </c>
      <c r="ID57" s="85">
        <f>IF(ID14&lt;=Condition!$E$16,0,IF(ID14&lt;=Condition!$F$16,Condition!$D$16,IF(ID14&lt;=Condition!$F$17,Condition!$D$17,IF(ID14&lt;=Condition!$F$18,Condition!$D$18,IF(ID14&gt;Condition!$E$19,Condition!$D$19,"")))))</f>
        <v>0</v>
      </c>
      <c r="IE57" s="85">
        <f>IF(IE14&lt;=Condition!$E$16,0,IF(IE14&lt;=Condition!$F$16,Condition!$D$16,IF(IE14&lt;=Condition!$F$17,Condition!$D$17,IF(IE14&lt;=Condition!$F$18,Condition!$D$18,IF(IE14&gt;Condition!$E$19,Condition!$D$19,"")))))</f>
        <v>0</v>
      </c>
      <c r="IF57" s="85">
        <f>IF(IF14&lt;=Condition!$E$16,0,IF(IF14&lt;=Condition!$F$16,Condition!$D$16,IF(IF14&lt;=Condition!$F$17,Condition!$D$17,IF(IF14&lt;=Condition!$F$18,Condition!$D$18,IF(IF14&gt;Condition!$E$19,Condition!$D$19,"")))))</f>
        <v>0</v>
      </c>
      <c r="IG57" s="85">
        <f>IF(IG14&lt;=Condition!$E$16,0,IF(IG14&lt;=Condition!$F$16,Condition!$D$16,IF(IG14&lt;=Condition!$F$17,Condition!$D$17,IF(IG14&lt;=Condition!$F$18,Condition!$D$18,IF(IG14&gt;Condition!$E$19,Condition!$D$19,"")))))</f>
        <v>0</v>
      </c>
      <c r="IH57" s="85">
        <f>IF(IH14&lt;=Condition!$E$16,0,IF(IH14&lt;=Condition!$F$16,Condition!$D$16,IF(IH14&lt;=Condition!$F$17,Condition!$D$17,IF(IH14&lt;=Condition!$F$18,Condition!$D$18,IF(IH14&gt;Condition!$E$19,Condition!$D$19,"")))))</f>
        <v>0</v>
      </c>
      <c r="II57" s="85">
        <f>IF(II14&lt;=Condition!$E$16,0,IF(II14&lt;=Condition!$F$16,Condition!$D$16,IF(II14&lt;=Condition!$F$17,Condition!$D$17,IF(II14&lt;=Condition!$F$18,Condition!$D$18,IF(II14&gt;Condition!$E$19,Condition!$D$19,"")))))</f>
        <v>0</v>
      </c>
      <c r="IJ57" s="85">
        <f>IF(IJ14&lt;=Condition!$E$16,0,IF(IJ14&lt;=Condition!$F$16,Condition!$D$16,IF(IJ14&lt;=Condition!$F$17,Condition!$D$17,IF(IJ14&lt;=Condition!$F$18,Condition!$D$18,IF(IJ14&gt;Condition!$E$19,Condition!$D$19,"")))))</f>
        <v>0</v>
      </c>
      <c r="IK57" s="85">
        <f>IF(IK14&lt;=Condition!$E$16,0,IF(IK14&lt;=Condition!$F$16,Condition!$D$16,IF(IK14&lt;=Condition!$F$17,Condition!$D$17,IF(IK14&lt;=Condition!$F$18,Condition!$D$18,IF(IK14&gt;Condition!$E$19,Condition!$D$19,"")))))</f>
        <v>0</v>
      </c>
      <c r="IL57" s="85">
        <f>IF(IL14&lt;=Condition!$E$16,0,IF(IL14&lt;=Condition!$F$16,Condition!$D$16,IF(IL14&lt;=Condition!$F$17,Condition!$D$17,IF(IL14&lt;=Condition!$F$18,Condition!$D$18,IF(IL14&gt;Condition!$E$19,Condition!$D$19,"")))))</f>
        <v>0</v>
      </c>
      <c r="IM57" s="85">
        <f>IF(IM14&lt;=Condition!$E$16,0,IF(IM14&lt;=Condition!$F$16,Condition!$D$16,IF(IM14&lt;=Condition!$F$17,Condition!$D$17,IF(IM14&lt;=Condition!$F$18,Condition!$D$18,IF(IM14&gt;Condition!$E$19,Condition!$D$19,"")))))</f>
        <v>0</v>
      </c>
      <c r="IN57" s="85">
        <f>IF(IN14&lt;=Condition!$E$16,0,IF(IN14&lt;=Condition!$F$16,Condition!$D$16,IF(IN14&lt;=Condition!$F$17,Condition!$D$17,IF(IN14&lt;=Condition!$F$18,Condition!$D$18,IF(IN14&gt;Condition!$E$19,Condition!$D$19,"")))))</f>
        <v>0</v>
      </c>
      <c r="IO57" s="85">
        <f>IF(IO14&lt;=Condition!$E$16,0,IF(IO14&lt;=Condition!$F$16,Condition!$D$16,IF(IO14&lt;=Condition!$F$17,Condition!$D$17,IF(IO14&lt;=Condition!$F$18,Condition!$D$18,IF(IO14&gt;Condition!$E$19,Condition!$D$19,"")))))</f>
        <v>0</v>
      </c>
      <c r="IP57" s="85">
        <f>IF(IP14&lt;=Condition!$E$16,0,IF(IP14&lt;=Condition!$F$16,Condition!$D$16,IF(IP14&lt;=Condition!$F$17,Condition!$D$17,IF(IP14&lt;=Condition!$F$18,Condition!$D$18,IF(IP14&gt;Condition!$E$19,Condition!$D$19,"")))))</f>
        <v>0</v>
      </c>
      <c r="IQ57" s="85">
        <f>IF(IQ14&lt;=Condition!$E$16,0,IF(IQ14&lt;=Condition!$F$16,Condition!$D$16,IF(IQ14&lt;=Condition!$F$17,Condition!$D$17,IF(IQ14&lt;=Condition!$F$18,Condition!$D$18,IF(IQ14&gt;Condition!$E$19,Condition!$D$19,"")))))</f>
        <v>0</v>
      </c>
      <c r="IR57" s="85">
        <f>IF(IR14&lt;=Condition!$E$16,0,IF(IR14&lt;=Condition!$F$16,Condition!$D$16,IF(IR14&lt;=Condition!$F$17,Condition!$D$17,IF(IR14&lt;=Condition!$F$18,Condition!$D$18,IF(IR14&gt;Condition!$E$19,Condition!$D$19,"")))))</f>
        <v>0</v>
      </c>
      <c r="IS57" s="85">
        <f>IF(IS14&lt;=Condition!$E$16,0,IF(IS14&lt;=Condition!$F$16,Condition!$D$16,IF(IS14&lt;=Condition!$F$17,Condition!$D$17,IF(IS14&lt;=Condition!$F$18,Condition!$D$18,IF(IS14&gt;Condition!$E$19,Condition!$D$19,"")))))</f>
        <v>0</v>
      </c>
      <c r="IT57" s="85">
        <f>IF(IT14&lt;=Condition!$E$16,0,IF(IT14&lt;=Condition!$F$16,Condition!$D$16,IF(IT14&lt;=Condition!$F$17,Condition!$D$17,IF(IT14&lt;=Condition!$F$18,Condition!$D$18,IF(IT14&gt;Condition!$E$19,Condition!$D$19,"")))))</f>
        <v>0</v>
      </c>
      <c r="IU57" s="85">
        <f>IF(IU14&lt;=Condition!$E$16,0,IF(IU14&lt;=Condition!$F$16,Condition!$D$16,IF(IU14&lt;=Condition!$F$17,Condition!$D$17,IF(IU14&lt;=Condition!$F$18,Condition!$D$18,IF(IU14&gt;Condition!$E$19,Condition!$D$19,"")))))</f>
        <v>0</v>
      </c>
      <c r="IV57" s="85">
        <f>IF(IV14&lt;=Condition!$E$16,0,IF(IV14&lt;=Condition!$F$16,Condition!$D$16,IF(IV14&lt;=Condition!$F$17,Condition!$D$17,IF(IV14&lt;=Condition!$F$18,Condition!$D$18,IF(IV14&gt;Condition!$E$19,Condition!$D$19,"")))))</f>
        <v>0</v>
      </c>
      <c r="IW57" s="85">
        <f>IF(IW14&lt;=Condition!$E$16,0,IF(IW14&lt;=Condition!$F$16,Condition!$D$16,IF(IW14&lt;=Condition!$F$17,Condition!$D$17,IF(IW14&lt;=Condition!$F$18,Condition!$D$18,IF(IW14&gt;Condition!$E$19,Condition!$D$19,"")))))</f>
        <v>0</v>
      </c>
      <c r="IX57" s="85">
        <f>IF(IX14&lt;=Condition!$E$16,0,IF(IX14&lt;=Condition!$F$16,Condition!$D$16,IF(IX14&lt;=Condition!$F$17,Condition!$D$17,IF(IX14&lt;=Condition!$F$18,Condition!$D$18,IF(IX14&gt;Condition!$E$19,Condition!$D$19,"")))))</f>
        <v>0</v>
      </c>
      <c r="IY57" s="85">
        <f>IF(IY14&lt;=Condition!$E$16,0,IF(IY14&lt;=Condition!$F$16,Condition!$D$16,IF(IY14&lt;=Condition!$F$17,Condition!$D$17,IF(IY14&lt;=Condition!$F$18,Condition!$D$18,IF(IY14&gt;Condition!$E$19,Condition!$D$19,"")))))</f>
        <v>0</v>
      </c>
      <c r="IZ57" s="85">
        <f>IF(IZ14&lt;=Condition!$E$16,0,IF(IZ14&lt;=Condition!$F$16,Condition!$D$16,IF(IZ14&lt;=Condition!$F$17,Condition!$D$17,IF(IZ14&lt;=Condition!$F$18,Condition!$D$18,IF(IZ14&gt;Condition!$E$19,Condition!$D$19,"")))))</f>
        <v>0</v>
      </c>
      <c r="JA57" s="85">
        <f>IF(JA14&lt;=Condition!$E$16,0,IF(JA14&lt;=Condition!$F$16,Condition!$D$16,IF(JA14&lt;=Condition!$F$17,Condition!$D$17,IF(JA14&lt;=Condition!$F$18,Condition!$D$18,IF(JA14&gt;Condition!$E$19,Condition!$D$19,"")))))</f>
        <v>0</v>
      </c>
      <c r="JB57" s="85">
        <f>IF(JB14&lt;=Condition!$E$16,0,IF(JB14&lt;=Condition!$F$16,Condition!$D$16,IF(JB14&lt;=Condition!$F$17,Condition!$D$17,IF(JB14&lt;=Condition!$F$18,Condition!$D$18,IF(JB14&gt;Condition!$E$19,Condition!$D$19,"")))))</f>
        <v>0</v>
      </c>
      <c r="JC57" s="85">
        <f>IF(JC14&lt;=Condition!$E$16,0,IF(JC14&lt;=Condition!$F$16,Condition!$D$16,IF(JC14&lt;=Condition!$F$17,Condition!$D$17,IF(JC14&lt;=Condition!$F$18,Condition!$D$18,IF(JC14&gt;Condition!$E$19,Condition!$D$19,"")))))</f>
        <v>0</v>
      </c>
      <c r="JD57" s="85">
        <f>IF(JD14&lt;=Condition!$E$16,0,IF(JD14&lt;=Condition!$F$16,Condition!$D$16,IF(JD14&lt;=Condition!$F$17,Condition!$D$17,IF(JD14&lt;=Condition!$F$18,Condition!$D$18,IF(JD14&gt;Condition!$E$19,Condition!$D$19,"")))))</f>
        <v>0</v>
      </c>
      <c r="JE57" s="85">
        <f>IF(JE14&lt;=Condition!$E$16,0,IF(JE14&lt;=Condition!$F$16,Condition!$D$16,IF(JE14&lt;=Condition!$F$17,Condition!$D$17,IF(JE14&lt;=Condition!$F$18,Condition!$D$18,IF(JE14&gt;Condition!$E$19,Condition!$D$19,"")))))</f>
        <v>0</v>
      </c>
      <c r="JF57" s="85">
        <f>IF(JF14&lt;=Condition!$E$16,0,IF(JF14&lt;=Condition!$F$16,Condition!$D$16,IF(JF14&lt;=Condition!$F$17,Condition!$D$17,IF(JF14&lt;=Condition!$F$18,Condition!$D$18,IF(JF14&gt;Condition!$E$19,Condition!$D$19,"")))))</f>
        <v>0</v>
      </c>
      <c r="JG57" s="85">
        <f>IF(JG14&lt;=Condition!$E$16,0,IF(JG14&lt;=Condition!$F$16,Condition!$D$16,IF(JG14&lt;=Condition!$F$17,Condition!$D$17,IF(JG14&lt;=Condition!$F$18,Condition!$D$18,IF(JG14&gt;Condition!$E$19,Condition!$D$19,"")))))</f>
        <v>0</v>
      </c>
      <c r="JH57" s="85">
        <f>IF(JH14&lt;=Condition!$E$16,0,IF(JH14&lt;=Condition!$F$16,Condition!$D$16,IF(JH14&lt;=Condition!$F$17,Condition!$D$17,IF(JH14&lt;=Condition!$F$18,Condition!$D$18,IF(JH14&gt;Condition!$E$19,Condition!$D$19,"")))))</f>
        <v>0</v>
      </c>
      <c r="JI57" s="85">
        <f>IF(JI14&lt;=Condition!$E$16,0,IF(JI14&lt;=Condition!$F$16,Condition!$D$16,IF(JI14&lt;=Condition!$F$17,Condition!$D$17,IF(JI14&lt;=Condition!$F$18,Condition!$D$18,IF(JI14&gt;Condition!$E$19,Condition!$D$19,"")))))</f>
        <v>0</v>
      </c>
      <c r="JJ57" s="85">
        <f>IF(JJ14&lt;=Condition!$E$16,0,IF(JJ14&lt;=Condition!$F$16,Condition!$D$16,IF(JJ14&lt;=Condition!$F$17,Condition!$D$17,IF(JJ14&lt;=Condition!$F$18,Condition!$D$18,IF(JJ14&gt;Condition!$E$19,Condition!$D$19,"")))))</f>
        <v>0</v>
      </c>
      <c r="JK57" s="85">
        <f>IF(JK14&lt;=Condition!$E$16,0,IF(JK14&lt;=Condition!$F$16,Condition!$D$16,IF(JK14&lt;=Condition!$F$17,Condition!$D$17,IF(JK14&lt;=Condition!$F$18,Condition!$D$18,IF(JK14&gt;Condition!$E$19,Condition!$D$19,"")))))</f>
        <v>0</v>
      </c>
      <c r="JL57" s="85">
        <f>IF(JL14&lt;=Condition!$E$16,0,IF(JL14&lt;=Condition!$F$16,Condition!$D$16,IF(JL14&lt;=Condition!$F$17,Condition!$D$17,IF(JL14&lt;=Condition!$F$18,Condition!$D$18,IF(JL14&gt;Condition!$E$19,Condition!$D$19,"")))))</f>
        <v>0</v>
      </c>
      <c r="JM57" s="85">
        <f>IF(JM14&lt;=Condition!$E$16,0,IF(JM14&lt;=Condition!$F$16,Condition!$D$16,IF(JM14&lt;=Condition!$F$17,Condition!$D$17,IF(JM14&lt;=Condition!$F$18,Condition!$D$18,IF(JM14&gt;Condition!$E$19,Condition!$D$19,"")))))</f>
        <v>0</v>
      </c>
      <c r="JN57" s="85">
        <f>IF(JN14&lt;=Condition!$E$16,0,IF(JN14&lt;=Condition!$F$16,Condition!$D$16,IF(JN14&lt;=Condition!$F$17,Condition!$D$17,IF(JN14&lt;=Condition!$F$18,Condition!$D$18,IF(JN14&gt;Condition!$E$19,Condition!$D$19,"")))))</f>
        <v>0</v>
      </c>
      <c r="JO57" s="85">
        <f>IF(JO14&lt;=Condition!$E$16,0,IF(JO14&lt;=Condition!$F$16,Condition!$D$16,IF(JO14&lt;=Condition!$F$17,Condition!$D$17,IF(JO14&lt;=Condition!$F$18,Condition!$D$18,IF(JO14&gt;Condition!$E$19,Condition!$D$19,"")))))</f>
        <v>0</v>
      </c>
      <c r="JP57" s="85">
        <f>IF(JP14&lt;=Condition!$E$16,0,IF(JP14&lt;=Condition!$F$16,Condition!$D$16,IF(JP14&lt;=Condition!$F$17,Condition!$D$17,IF(JP14&lt;=Condition!$F$18,Condition!$D$18,IF(JP14&gt;Condition!$E$19,Condition!$D$19,"")))))</f>
        <v>0</v>
      </c>
      <c r="JQ57" s="85">
        <f>IF(JQ14&lt;=Condition!$E$16,0,IF(JQ14&lt;=Condition!$F$16,Condition!$D$16,IF(JQ14&lt;=Condition!$F$17,Condition!$D$17,IF(JQ14&lt;=Condition!$F$18,Condition!$D$18,IF(JQ14&gt;Condition!$E$19,Condition!$D$19,"")))))</f>
        <v>0</v>
      </c>
      <c r="JR57" s="85">
        <f>IF(JR14&lt;=Condition!$E$16,0,IF(JR14&lt;=Condition!$F$16,Condition!$D$16,IF(JR14&lt;=Condition!$F$17,Condition!$D$17,IF(JR14&lt;=Condition!$F$18,Condition!$D$18,IF(JR14&gt;Condition!$E$19,Condition!$D$19,"")))))</f>
        <v>0</v>
      </c>
      <c r="JS57" s="85">
        <f>IF(JS14&lt;=Condition!$E$16,0,IF(JS14&lt;=Condition!$F$16,Condition!$D$16,IF(JS14&lt;=Condition!$F$17,Condition!$D$17,IF(JS14&lt;=Condition!$F$18,Condition!$D$18,IF(JS14&gt;Condition!$E$19,Condition!$D$19,"")))))</f>
        <v>0</v>
      </c>
      <c r="JT57" s="85">
        <f>IF(JT14&lt;=Condition!$E$16,0,IF(JT14&lt;=Condition!$F$16,Condition!$D$16,IF(JT14&lt;=Condition!$F$17,Condition!$D$17,IF(JT14&lt;=Condition!$F$18,Condition!$D$18,IF(JT14&gt;Condition!$E$19,Condition!$D$19,"")))))</f>
        <v>0</v>
      </c>
      <c r="JU57" s="85">
        <f>IF(JU14&lt;=Condition!$E$16,0,IF(JU14&lt;=Condition!$F$16,Condition!$D$16,IF(JU14&lt;=Condition!$F$17,Condition!$D$17,IF(JU14&lt;=Condition!$F$18,Condition!$D$18,IF(JU14&gt;Condition!$E$19,Condition!$D$19,"")))))</f>
        <v>0</v>
      </c>
      <c r="JV57" s="85">
        <f>IF(JV14&lt;=Condition!$E$16,0,IF(JV14&lt;=Condition!$F$16,Condition!$D$16,IF(JV14&lt;=Condition!$F$17,Condition!$D$17,IF(JV14&lt;=Condition!$F$18,Condition!$D$18,IF(JV14&gt;Condition!$E$19,Condition!$D$19,"")))))</f>
        <v>0</v>
      </c>
      <c r="JW57" s="85">
        <f>IF(JW14&lt;=Condition!$E$16,0,IF(JW14&lt;=Condition!$F$16,Condition!$D$16,IF(JW14&lt;=Condition!$F$17,Condition!$D$17,IF(JW14&lt;=Condition!$F$18,Condition!$D$18,IF(JW14&gt;Condition!$E$19,Condition!$D$19,"")))))</f>
        <v>0</v>
      </c>
      <c r="JX57" s="85">
        <f>IF(JX14&lt;=Condition!$E$16,0,IF(JX14&lt;=Condition!$F$16,Condition!$D$16,IF(JX14&lt;=Condition!$F$17,Condition!$D$17,IF(JX14&lt;=Condition!$F$18,Condition!$D$18,IF(JX14&gt;Condition!$E$19,Condition!$D$19,"")))))</f>
        <v>0</v>
      </c>
      <c r="JY57" s="85">
        <f>IF(JY14&lt;=Condition!$E$16,0,IF(JY14&lt;=Condition!$F$16,Condition!$D$16,IF(JY14&lt;=Condition!$F$17,Condition!$D$17,IF(JY14&lt;=Condition!$F$18,Condition!$D$18,IF(JY14&gt;Condition!$E$19,Condition!$D$19,"")))))</f>
        <v>0</v>
      </c>
      <c r="JZ57" s="85">
        <f>IF(JZ14&lt;=Condition!$E$16,0,IF(JZ14&lt;=Condition!$F$16,Condition!$D$16,IF(JZ14&lt;=Condition!$F$17,Condition!$D$17,IF(JZ14&lt;=Condition!$F$18,Condition!$D$18,IF(JZ14&gt;Condition!$E$19,Condition!$D$19,"")))))</f>
        <v>0</v>
      </c>
      <c r="KA57" s="85">
        <f>IF(KA14&lt;=Condition!$E$16,0,IF(KA14&lt;=Condition!$F$16,Condition!$D$16,IF(KA14&lt;=Condition!$F$17,Condition!$D$17,IF(KA14&lt;=Condition!$F$18,Condition!$D$18,IF(KA14&gt;Condition!$E$19,Condition!$D$19,"")))))</f>
        <v>0</v>
      </c>
      <c r="KB57" s="85">
        <f>IF(KB14&lt;=Condition!$E$16,0,IF(KB14&lt;=Condition!$F$16,Condition!$D$16,IF(KB14&lt;=Condition!$F$17,Condition!$D$17,IF(KB14&lt;=Condition!$F$18,Condition!$D$18,IF(KB14&gt;Condition!$E$19,Condition!$D$19,"")))))</f>
        <v>0</v>
      </c>
      <c r="KC57" s="85">
        <f>IF(KC14&lt;=Condition!$E$16,0,IF(KC14&lt;=Condition!$F$16,Condition!$D$16,IF(KC14&lt;=Condition!$F$17,Condition!$D$17,IF(KC14&lt;=Condition!$F$18,Condition!$D$18,IF(KC14&gt;Condition!$E$19,Condition!$D$19,"")))))</f>
        <v>0</v>
      </c>
      <c r="KD57" s="85">
        <f>IF(KD14&lt;=Condition!$E$16,0,IF(KD14&lt;=Condition!$F$16,Condition!$D$16,IF(KD14&lt;=Condition!$F$17,Condition!$D$17,IF(KD14&lt;=Condition!$F$18,Condition!$D$18,IF(KD14&gt;Condition!$E$19,Condition!$D$19,"")))))</f>
        <v>0</v>
      </c>
      <c r="KE57" s="85">
        <f>IF(KE14&lt;=Condition!$E$16,0,IF(KE14&lt;=Condition!$F$16,Condition!$D$16,IF(KE14&lt;=Condition!$F$17,Condition!$D$17,IF(KE14&lt;=Condition!$F$18,Condition!$D$18,IF(KE14&gt;Condition!$E$19,Condition!$D$19,"")))))</f>
        <v>0</v>
      </c>
      <c r="KF57" s="85">
        <f>IF(KF14&lt;=Condition!$E$16,0,IF(KF14&lt;=Condition!$F$16,Condition!$D$16,IF(KF14&lt;=Condition!$F$17,Condition!$D$17,IF(KF14&lt;=Condition!$F$18,Condition!$D$18,IF(KF14&gt;Condition!$E$19,Condition!$D$19,"")))))</f>
        <v>0</v>
      </c>
      <c r="KG57" s="85">
        <f>IF(KG14&lt;=Condition!$E$16,0,IF(KG14&lt;=Condition!$F$16,Condition!$D$16,IF(KG14&lt;=Condition!$F$17,Condition!$D$17,IF(KG14&lt;=Condition!$F$18,Condition!$D$18,IF(KG14&gt;Condition!$E$19,Condition!$D$19,"")))))</f>
        <v>0</v>
      </c>
      <c r="KH57" s="85">
        <f>IF(KH14&lt;=Condition!$E$16,0,IF(KH14&lt;=Condition!$F$16,Condition!$D$16,IF(KH14&lt;=Condition!$F$17,Condition!$D$17,IF(KH14&lt;=Condition!$F$18,Condition!$D$18,IF(KH14&gt;Condition!$E$19,Condition!$D$19,"")))))</f>
        <v>0</v>
      </c>
      <c r="KI57" s="85">
        <f>IF(KI14&lt;=Condition!$E$16,0,IF(KI14&lt;=Condition!$F$16,Condition!$D$16,IF(KI14&lt;=Condition!$F$17,Condition!$D$17,IF(KI14&lt;=Condition!$F$18,Condition!$D$18,IF(KI14&gt;Condition!$E$19,Condition!$D$19,"")))))</f>
        <v>0</v>
      </c>
    </row>
    <row r="58" spans="2:295" x14ac:dyDescent="0.25">
      <c r="B58" s="15">
        <f t="shared" ref="B58:E58" si="13">B15</f>
        <v>10</v>
      </c>
      <c r="C58" s="25" t="str">
        <f t="shared" si="13"/>
        <v>DSL-DHK</v>
      </c>
      <c r="D58" s="25" t="str">
        <f t="shared" si="13"/>
        <v>Rakibul Islam Razib</v>
      </c>
      <c r="E58" s="26" t="str">
        <f t="shared" si="13"/>
        <v>3006</v>
      </c>
      <c r="F58" s="112">
        <f t="shared" si="4"/>
        <v>6450</v>
      </c>
      <c r="G58" s="112">
        <f t="shared" si="5"/>
        <v>0</v>
      </c>
      <c r="H58" s="85">
        <f>IF(H15&lt;=Condition!$E$16,0,IF(H15&lt;=Condition!$F$16,Condition!$D$16,IF(H15&lt;=Condition!$F$17,Condition!$D$17,IF(H15&lt;=Condition!$F$18,Condition!$D$18,IF(H15&gt;Condition!$E$19,Condition!$D$19,"")))))</f>
        <v>300</v>
      </c>
      <c r="I58" s="85">
        <f>IF(I15&lt;=Condition!$E$16,0,IF(I15&lt;=Condition!$F$16,Condition!$D$16,IF(I15&lt;=Condition!$F$17,Condition!$D$17,IF(I15&lt;=Condition!$F$18,Condition!$D$18,IF(I15&gt;Condition!$E$19,Condition!$D$19,"")))))</f>
        <v>0</v>
      </c>
      <c r="J58" s="85">
        <f>IF(J15&lt;=Condition!$E$16,0,IF(J15&lt;=Condition!$F$16,Condition!$D$16,IF(J15&lt;=Condition!$F$17,Condition!$D$17,IF(J15&lt;=Condition!$F$18,Condition!$D$18,IF(J15&gt;Condition!$E$19,Condition!$D$19,"")))))</f>
        <v>300</v>
      </c>
      <c r="K58" s="85">
        <f>IF(K15&lt;=Condition!$E$16,0,IF(K15&lt;=Condition!$F$16,Condition!$D$16,IF(K15&lt;=Condition!$F$17,Condition!$D$17,IF(K15&lt;=Condition!$F$18,Condition!$D$18,IF(K15&gt;Condition!$E$19,Condition!$D$19,"")))))</f>
        <v>0</v>
      </c>
      <c r="L58" s="85">
        <f>IF(L15&lt;=Condition!$E$16,0,IF(L15&lt;=Condition!$F$16,Condition!$D$16,IF(L15&lt;=Condition!$F$17,Condition!$D$17,IF(L15&lt;=Condition!$F$18,Condition!$D$18,IF(L15&gt;Condition!$E$19,Condition!$D$19,"")))))</f>
        <v>300</v>
      </c>
      <c r="M58" s="85">
        <f>IF(M15&lt;=Condition!$E$16,0,IF(M15&lt;=Condition!$F$16,Condition!$D$16,IF(M15&lt;=Condition!$F$17,Condition!$D$17,IF(M15&lt;=Condition!$F$18,Condition!$D$18,IF(M15&gt;Condition!$E$19,Condition!$D$19,"")))))</f>
        <v>0</v>
      </c>
      <c r="N58" s="85">
        <f>IF(N15&lt;=Condition!$E$16,0,IF(N15&lt;=Condition!$F$16,Condition!$D$16,IF(N15&lt;=Condition!$F$17,Condition!$D$17,IF(N15&lt;=Condition!$F$18,Condition!$D$18,IF(N15&gt;Condition!$E$19,Condition!$D$19,"")))))</f>
        <v>150</v>
      </c>
      <c r="O58" s="85">
        <f>IF(O15&lt;=Condition!$E$16,0,IF(O15&lt;=Condition!$F$16,Condition!$D$16,IF(O15&lt;=Condition!$F$17,Condition!$D$17,IF(O15&lt;=Condition!$F$18,Condition!$D$18,IF(O15&gt;Condition!$E$19,Condition!$D$19,"")))))</f>
        <v>0</v>
      </c>
      <c r="P58" s="85">
        <f>IF(P15&lt;=Condition!$E$16,0,IF(P15&lt;=Condition!$F$16,Condition!$D$16,IF(P15&lt;=Condition!$F$17,Condition!$D$17,IF(P15&lt;=Condition!$F$18,Condition!$D$18,IF(P15&gt;Condition!$E$19,Condition!$D$19,"")))))</f>
        <v>150</v>
      </c>
      <c r="Q58" s="85">
        <f>IF(Q15&lt;=Condition!$E$16,0,IF(Q15&lt;=Condition!$F$16,Condition!$D$16,IF(Q15&lt;=Condition!$F$17,Condition!$D$17,IF(Q15&lt;=Condition!$F$18,Condition!$D$18,IF(Q15&gt;Condition!$E$19,Condition!$D$19,"")))))</f>
        <v>0</v>
      </c>
      <c r="R58" s="85">
        <f>IF(R15&lt;=Condition!$E$16,0,IF(R15&lt;=Condition!$F$16,Condition!$D$16,IF(R15&lt;=Condition!$F$17,Condition!$D$17,IF(R15&lt;=Condition!$F$18,Condition!$D$18,IF(R15&gt;Condition!$E$19,Condition!$D$19,"")))))</f>
        <v>150</v>
      </c>
      <c r="S58" s="85">
        <f>IF(S15&lt;=Condition!$E$16,0,IF(S15&lt;=Condition!$F$16,Condition!$D$16,IF(S15&lt;=Condition!$F$17,Condition!$D$17,IF(S15&lt;=Condition!$F$18,Condition!$D$18,IF(S15&gt;Condition!$E$19,Condition!$D$19,"")))))</f>
        <v>0</v>
      </c>
      <c r="T58" s="85">
        <f>IF(T15&lt;=Condition!$E$16,0,IF(T15&lt;=Condition!$F$16,Condition!$D$16,IF(T15&lt;=Condition!$F$17,Condition!$D$17,IF(T15&lt;=Condition!$F$18,Condition!$D$18,IF(T15&gt;Condition!$E$19,Condition!$D$19,"")))))</f>
        <v>150</v>
      </c>
      <c r="U58" s="85">
        <f>IF(U15&lt;=Condition!$E$16,0,IF(U15&lt;=Condition!$F$16,Condition!$D$16,IF(U15&lt;=Condition!$F$17,Condition!$D$17,IF(U15&lt;=Condition!$F$18,Condition!$D$18,IF(U15&gt;Condition!$E$19,Condition!$D$19,"")))))</f>
        <v>0</v>
      </c>
      <c r="V58" s="85">
        <f>IF(V15&lt;=Condition!$E$16,0,IF(V15&lt;=Condition!$F$16,Condition!$D$16,IF(V15&lt;=Condition!$F$17,Condition!$D$17,IF(V15&lt;=Condition!$F$18,Condition!$D$18,IF(V15&gt;Condition!$E$19,Condition!$D$19,"")))))</f>
        <v>150</v>
      </c>
      <c r="W58" s="85">
        <f>IF(W15&lt;=Condition!$E$16,0,IF(W15&lt;=Condition!$F$16,Condition!$D$16,IF(W15&lt;=Condition!$F$17,Condition!$D$17,IF(W15&lt;=Condition!$F$18,Condition!$D$18,IF(W15&gt;Condition!$E$19,Condition!$D$19,"")))))</f>
        <v>0</v>
      </c>
      <c r="X58" s="85">
        <f>IF(X15&lt;=Condition!$E$16,0,IF(X15&lt;=Condition!$F$16,Condition!$D$16,IF(X15&lt;=Condition!$F$17,Condition!$D$17,IF(X15&lt;=Condition!$F$18,Condition!$D$18,IF(X15&gt;Condition!$E$19,Condition!$D$19,"")))))</f>
        <v>150</v>
      </c>
      <c r="Y58" s="85">
        <f>IF(Y15&lt;=Condition!$E$16,0,IF(Y15&lt;=Condition!$F$16,Condition!$D$16,IF(Y15&lt;=Condition!$F$17,Condition!$D$17,IF(Y15&lt;=Condition!$F$18,Condition!$D$18,IF(Y15&gt;Condition!$E$19,Condition!$D$19,"")))))</f>
        <v>0</v>
      </c>
      <c r="Z58" s="85">
        <f>IF(Z15&lt;=Condition!$E$16,0,IF(Z15&lt;=Condition!$F$16,Condition!$D$16,IF(Z15&lt;=Condition!$F$17,Condition!$D$17,IF(Z15&lt;=Condition!$F$18,Condition!$D$18,IF(Z15&gt;Condition!$E$19,Condition!$D$19,"")))))</f>
        <v>150</v>
      </c>
      <c r="AA58" s="85">
        <f>IF(AA15&lt;=Condition!$E$16,0,IF(AA15&lt;=Condition!$F$16,Condition!$D$16,IF(AA15&lt;=Condition!$F$17,Condition!$D$17,IF(AA15&lt;=Condition!$F$18,Condition!$D$18,IF(AA15&gt;Condition!$E$19,Condition!$D$19,"")))))</f>
        <v>0</v>
      </c>
      <c r="AB58" s="85">
        <f>IF(AB15&lt;=Condition!$E$16,0,IF(AB15&lt;=Condition!$F$16,Condition!$D$16,IF(AB15&lt;=Condition!$F$17,Condition!$D$17,IF(AB15&lt;=Condition!$F$18,Condition!$D$18,IF(AB15&gt;Condition!$E$19,Condition!$D$19,"")))))</f>
        <v>150</v>
      </c>
      <c r="AC58" s="85">
        <f>IF(AC15&lt;=Condition!$E$16,0,IF(AC15&lt;=Condition!$F$16,Condition!$D$16,IF(AC15&lt;=Condition!$F$17,Condition!$D$17,IF(AC15&lt;=Condition!$F$18,Condition!$D$18,IF(AC15&gt;Condition!$E$19,Condition!$D$19,"")))))</f>
        <v>0</v>
      </c>
      <c r="AD58" s="85">
        <f>IF(AD15&lt;=Condition!$E$16,0,IF(AD15&lt;=Condition!$F$16,Condition!$D$16,IF(AD15&lt;=Condition!$F$17,Condition!$D$17,IF(AD15&lt;=Condition!$F$18,Condition!$D$18,IF(AD15&gt;Condition!$E$19,Condition!$D$19,"")))))</f>
        <v>150</v>
      </c>
      <c r="AE58" s="85">
        <f>IF(AE15&lt;=Condition!$E$16,0,IF(AE15&lt;=Condition!$F$16,Condition!$D$16,IF(AE15&lt;=Condition!$F$17,Condition!$D$17,IF(AE15&lt;=Condition!$F$18,Condition!$D$18,IF(AE15&gt;Condition!$E$19,Condition!$D$19,"")))))</f>
        <v>0</v>
      </c>
      <c r="AF58" s="85">
        <f>IF(AF15&lt;=Condition!$E$16,0,IF(AF15&lt;=Condition!$F$16,Condition!$D$16,IF(AF15&lt;=Condition!$F$17,Condition!$D$17,IF(AF15&lt;=Condition!$F$18,Condition!$D$18,IF(AF15&gt;Condition!$E$19,Condition!$D$19,"")))))</f>
        <v>400</v>
      </c>
      <c r="AG58" s="85">
        <f>IF(AG15&lt;=Condition!$E$16,0,IF(AG15&lt;=Condition!$F$16,Condition!$D$16,IF(AG15&lt;=Condition!$F$17,Condition!$D$17,IF(AG15&lt;=Condition!$F$18,Condition!$D$18,IF(AG15&gt;Condition!$E$19,Condition!$D$19,"")))))</f>
        <v>0</v>
      </c>
      <c r="AH58" s="85">
        <f>IF(AH15&lt;=Condition!$E$16,0,IF(AH15&lt;=Condition!$F$16,Condition!$D$16,IF(AH15&lt;=Condition!$F$17,Condition!$D$17,IF(AH15&lt;=Condition!$F$18,Condition!$D$18,IF(AH15&gt;Condition!$E$19,Condition!$D$19,"")))))</f>
        <v>400</v>
      </c>
      <c r="AI58" s="85">
        <f>IF(AI15&lt;=Condition!$E$16,0,IF(AI15&lt;=Condition!$F$16,Condition!$D$16,IF(AI15&lt;=Condition!$F$17,Condition!$D$17,IF(AI15&lt;=Condition!$F$18,Condition!$D$18,IF(AI15&gt;Condition!$E$19,Condition!$D$19,"")))))</f>
        <v>0</v>
      </c>
      <c r="AJ58" s="85">
        <f>IF(AJ15&lt;=Condition!$E$16,0,IF(AJ15&lt;=Condition!$F$16,Condition!$D$16,IF(AJ15&lt;=Condition!$F$17,Condition!$D$17,IF(AJ15&lt;=Condition!$F$18,Condition!$D$18,IF(AJ15&gt;Condition!$E$19,Condition!$D$19,"")))))</f>
        <v>150</v>
      </c>
      <c r="AK58" s="85">
        <f>IF(AK15&lt;=Condition!$E$16,0,IF(AK15&lt;=Condition!$F$16,Condition!$D$16,IF(AK15&lt;=Condition!$F$17,Condition!$D$17,IF(AK15&lt;=Condition!$F$18,Condition!$D$18,IF(AK15&gt;Condition!$E$19,Condition!$D$19,"")))))</f>
        <v>0</v>
      </c>
      <c r="AL58" s="85">
        <f>IF(AL15&lt;=Condition!$E$16,0,IF(AL15&lt;=Condition!$F$16,Condition!$D$16,IF(AL15&lt;=Condition!$F$17,Condition!$D$17,IF(AL15&lt;=Condition!$F$18,Condition!$D$18,IF(AL15&gt;Condition!$E$19,Condition!$D$19,"")))))</f>
        <v>150</v>
      </c>
      <c r="AM58" s="85">
        <f>IF(AM15&lt;=Condition!$E$16,0,IF(AM15&lt;=Condition!$F$16,Condition!$D$16,IF(AM15&lt;=Condition!$F$17,Condition!$D$17,IF(AM15&lt;=Condition!$F$18,Condition!$D$18,IF(AM15&gt;Condition!$E$19,Condition!$D$19,"")))))</f>
        <v>0</v>
      </c>
      <c r="AN58" s="85">
        <f>IF(AN15&lt;=Condition!$E$16,0,IF(AN15&lt;=Condition!$F$16,Condition!$D$16,IF(AN15&lt;=Condition!$F$17,Condition!$D$17,IF(AN15&lt;=Condition!$F$18,Condition!$D$18,IF(AN15&gt;Condition!$E$19,Condition!$D$19,"")))))</f>
        <v>150</v>
      </c>
      <c r="AO58" s="85">
        <f>IF(AO15&lt;=Condition!$E$16,0,IF(AO15&lt;=Condition!$F$16,Condition!$D$16,IF(AO15&lt;=Condition!$F$17,Condition!$D$17,IF(AO15&lt;=Condition!$F$18,Condition!$D$18,IF(AO15&gt;Condition!$E$19,Condition!$D$19,"")))))</f>
        <v>0</v>
      </c>
      <c r="AP58" s="85">
        <f>IF(AP15&lt;=Condition!$E$16,0,IF(AP15&lt;=Condition!$F$16,Condition!$D$16,IF(AP15&lt;=Condition!$F$17,Condition!$D$17,IF(AP15&lt;=Condition!$F$18,Condition!$D$18,IF(AP15&gt;Condition!$E$19,Condition!$D$19,"")))))</f>
        <v>150</v>
      </c>
      <c r="AQ58" s="85">
        <f>IF(AQ15&lt;=Condition!$E$16,0,IF(AQ15&lt;=Condition!$F$16,Condition!$D$16,IF(AQ15&lt;=Condition!$F$17,Condition!$D$17,IF(AQ15&lt;=Condition!$F$18,Condition!$D$18,IF(AQ15&gt;Condition!$E$19,Condition!$D$19,"")))))</f>
        <v>0</v>
      </c>
      <c r="AR58" s="85">
        <f>IF(AR15&lt;=Condition!$E$16,0,IF(AR15&lt;=Condition!$F$16,Condition!$D$16,IF(AR15&lt;=Condition!$F$17,Condition!$D$17,IF(AR15&lt;=Condition!$F$18,Condition!$D$18,IF(AR15&gt;Condition!$E$19,Condition!$D$19,"")))))</f>
        <v>150</v>
      </c>
      <c r="AS58" s="85">
        <f>IF(AS15&lt;=Condition!$E$16,0,IF(AS15&lt;=Condition!$F$16,Condition!$D$16,IF(AS15&lt;=Condition!$F$17,Condition!$D$17,IF(AS15&lt;=Condition!$F$18,Condition!$D$18,IF(AS15&gt;Condition!$E$19,Condition!$D$19,"")))))</f>
        <v>0</v>
      </c>
      <c r="AT58" s="85">
        <f>IF(AT15&lt;=Condition!$E$16,0,IF(AT15&lt;=Condition!$F$16,Condition!$D$16,IF(AT15&lt;=Condition!$F$17,Condition!$D$17,IF(AT15&lt;=Condition!$F$18,Condition!$D$18,IF(AT15&gt;Condition!$E$19,Condition!$D$19,"")))))</f>
        <v>150</v>
      </c>
      <c r="AU58" s="85">
        <f>IF(AU15&lt;=Condition!$E$16,0,IF(AU15&lt;=Condition!$F$16,Condition!$D$16,IF(AU15&lt;=Condition!$F$17,Condition!$D$17,IF(AU15&lt;=Condition!$F$18,Condition!$D$18,IF(AU15&gt;Condition!$E$19,Condition!$D$19,"")))))</f>
        <v>0</v>
      </c>
      <c r="AV58" s="85">
        <f>IF(AV15&lt;=Condition!$E$16,0,IF(AV15&lt;=Condition!$F$16,Condition!$D$16,IF(AV15&lt;=Condition!$F$17,Condition!$D$17,IF(AV15&lt;=Condition!$F$18,Condition!$D$18,IF(AV15&gt;Condition!$E$19,Condition!$D$19,"")))))</f>
        <v>150</v>
      </c>
      <c r="AW58" s="85">
        <f>IF(AW15&lt;=Condition!$E$16,0,IF(AW15&lt;=Condition!$F$16,Condition!$D$16,IF(AW15&lt;=Condition!$F$17,Condition!$D$17,IF(AW15&lt;=Condition!$F$18,Condition!$D$18,IF(AW15&gt;Condition!$E$19,Condition!$D$19,"")))))</f>
        <v>0</v>
      </c>
      <c r="AX58" s="85">
        <f>IF(AX15&lt;=Condition!$E$16,0,IF(AX15&lt;=Condition!$F$16,Condition!$D$16,IF(AX15&lt;=Condition!$F$17,Condition!$D$17,IF(AX15&lt;=Condition!$F$18,Condition!$D$18,IF(AX15&gt;Condition!$E$19,Condition!$D$19,"")))))</f>
        <v>150</v>
      </c>
      <c r="AY58" s="85">
        <f>IF(AY15&lt;=Condition!$E$16,0,IF(AY15&lt;=Condition!$F$16,Condition!$D$16,IF(AY15&lt;=Condition!$F$17,Condition!$D$17,IF(AY15&lt;=Condition!$F$18,Condition!$D$18,IF(AY15&gt;Condition!$E$19,Condition!$D$19,"")))))</f>
        <v>0</v>
      </c>
      <c r="AZ58" s="85">
        <f>IF(AZ15&lt;=Condition!$E$16,0,IF(AZ15&lt;=Condition!$F$16,Condition!$D$16,IF(AZ15&lt;=Condition!$F$17,Condition!$D$17,IF(AZ15&lt;=Condition!$F$18,Condition!$D$18,IF(AZ15&gt;Condition!$E$19,Condition!$D$19,"")))))</f>
        <v>150</v>
      </c>
      <c r="BA58" s="85">
        <f>IF(BA15&lt;=Condition!$E$16,0,IF(BA15&lt;=Condition!$F$16,Condition!$D$16,IF(BA15&lt;=Condition!$F$17,Condition!$D$17,IF(BA15&lt;=Condition!$F$18,Condition!$D$18,IF(BA15&gt;Condition!$E$19,Condition!$D$19,"")))))</f>
        <v>0</v>
      </c>
      <c r="BB58" s="85">
        <f>IF(BB15&lt;=Condition!$E$16,0,IF(BB15&lt;=Condition!$F$16,Condition!$D$16,IF(BB15&lt;=Condition!$F$17,Condition!$D$17,IF(BB15&lt;=Condition!$F$18,Condition!$D$18,IF(BB15&gt;Condition!$E$19,Condition!$D$19,"")))))</f>
        <v>150</v>
      </c>
      <c r="BC58" s="85">
        <f>IF(BC15&lt;=Condition!$E$16,0,IF(BC15&lt;=Condition!$F$16,Condition!$D$16,IF(BC15&lt;=Condition!$F$17,Condition!$D$17,IF(BC15&lt;=Condition!$F$18,Condition!$D$18,IF(BC15&gt;Condition!$E$19,Condition!$D$19,"")))))</f>
        <v>0</v>
      </c>
      <c r="BD58" s="85">
        <f>IF(BD15&lt;=Condition!$E$16,0,IF(BD15&lt;=Condition!$F$16,Condition!$D$16,IF(BD15&lt;=Condition!$F$17,Condition!$D$17,IF(BD15&lt;=Condition!$F$18,Condition!$D$18,IF(BD15&gt;Condition!$E$19,Condition!$D$19,"")))))</f>
        <v>150</v>
      </c>
      <c r="BE58" s="85">
        <f>IF(BE15&lt;=Condition!$E$16,0,IF(BE15&lt;=Condition!$F$16,Condition!$D$16,IF(BE15&lt;=Condition!$F$17,Condition!$D$17,IF(BE15&lt;=Condition!$F$18,Condition!$D$18,IF(BE15&gt;Condition!$E$19,Condition!$D$19,"")))))</f>
        <v>0</v>
      </c>
      <c r="BF58" s="85">
        <f>IF(BF15&lt;=Condition!$E$16,0,IF(BF15&lt;=Condition!$F$16,Condition!$D$16,IF(BF15&lt;=Condition!$F$17,Condition!$D$17,IF(BF15&lt;=Condition!$F$18,Condition!$D$18,IF(BF15&gt;Condition!$E$19,Condition!$D$19,"")))))</f>
        <v>150</v>
      </c>
      <c r="BG58" s="85">
        <f>IF(BG15&lt;=Condition!$E$16,0,IF(BG15&lt;=Condition!$F$16,Condition!$D$16,IF(BG15&lt;=Condition!$F$17,Condition!$D$17,IF(BG15&lt;=Condition!$F$18,Condition!$D$18,IF(BG15&gt;Condition!$E$19,Condition!$D$19,"")))))</f>
        <v>0</v>
      </c>
      <c r="BH58" s="85">
        <f>IF(BH15&lt;=Condition!$E$16,0,IF(BH15&lt;=Condition!$F$16,Condition!$D$16,IF(BH15&lt;=Condition!$F$17,Condition!$D$17,IF(BH15&lt;=Condition!$F$18,Condition!$D$18,IF(BH15&gt;Condition!$E$19,Condition!$D$19,"")))))</f>
        <v>150</v>
      </c>
      <c r="BI58" s="85">
        <f>IF(BI15&lt;=Condition!$E$16,0,IF(BI15&lt;=Condition!$F$16,Condition!$D$16,IF(BI15&lt;=Condition!$F$17,Condition!$D$17,IF(BI15&lt;=Condition!$F$18,Condition!$D$18,IF(BI15&gt;Condition!$E$19,Condition!$D$19,"")))))</f>
        <v>0</v>
      </c>
      <c r="BJ58" s="85">
        <f>IF(BJ15&lt;=Condition!$E$16,0,IF(BJ15&lt;=Condition!$F$16,Condition!$D$16,IF(BJ15&lt;=Condition!$F$17,Condition!$D$17,IF(BJ15&lt;=Condition!$F$18,Condition!$D$18,IF(BJ15&gt;Condition!$E$19,Condition!$D$19,"")))))</f>
        <v>150</v>
      </c>
      <c r="BK58" s="85">
        <f>IF(BK15&lt;=Condition!$E$16,0,IF(BK15&lt;=Condition!$F$16,Condition!$D$16,IF(BK15&lt;=Condition!$F$17,Condition!$D$17,IF(BK15&lt;=Condition!$F$18,Condition!$D$18,IF(BK15&gt;Condition!$E$19,Condition!$D$19,"")))))</f>
        <v>0</v>
      </c>
      <c r="BL58" s="85">
        <f>IF(BL15&lt;=Condition!$E$16,0,IF(BL15&lt;=Condition!$F$16,Condition!$D$16,IF(BL15&lt;=Condition!$F$17,Condition!$D$17,IF(BL15&lt;=Condition!$F$18,Condition!$D$18,IF(BL15&gt;Condition!$E$19,Condition!$D$19,"")))))</f>
        <v>500</v>
      </c>
      <c r="BM58" s="85">
        <f>IF(BM15&lt;=Condition!$E$16,0,IF(BM15&lt;=Condition!$F$16,Condition!$D$16,IF(BM15&lt;=Condition!$F$17,Condition!$D$17,IF(BM15&lt;=Condition!$F$18,Condition!$D$18,IF(BM15&gt;Condition!$E$19,Condition!$D$19,"")))))</f>
        <v>0</v>
      </c>
      <c r="BN58" s="85">
        <f>IF(BN15&lt;=Condition!$E$16,0,IF(BN15&lt;=Condition!$F$16,Condition!$D$16,IF(BN15&lt;=Condition!$F$17,Condition!$D$17,IF(BN15&lt;=Condition!$F$18,Condition!$D$18,IF(BN15&gt;Condition!$E$19,Condition!$D$19,"")))))</f>
        <v>400</v>
      </c>
      <c r="BO58" s="85">
        <f>IF(BO15&lt;=Condition!$E$16,0,IF(BO15&lt;=Condition!$F$16,Condition!$D$16,IF(BO15&lt;=Condition!$F$17,Condition!$D$17,IF(BO15&lt;=Condition!$F$18,Condition!$D$18,IF(BO15&gt;Condition!$E$19,Condition!$D$19,"")))))</f>
        <v>0</v>
      </c>
      <c r="BP58" s="85">
        <f>IF(BP15&lt;=Condition!$E$16,0,IF(BP15&lt;=Condition!$F$16,Condition!$D$16,IF(BP15&lt;=Condition!$F$17,Condition!$D$17,IF(BP15&lt;=Condition!$F$18,Condition!$D$18,IF(BP15&gt;Condition!$E$19,Condition!$D$19,"")))))</f>
        <v>400</v>
      </c>
      <c r="BQ58" s="85">
        <f>IF(BQ15&lt;=Condition!$E$16,0,IF(BQ15&lt;=Condition!$F$16,Condition!$D$16,IF(BQ15&lt;=Condition!$F$17,Condition!$D$17,IF(BQ15&lt;=Condition!$F$18,Condition!$D$18,IF(BQ15&gt;Condition!$E$19,Condition!$D$19,"")))))</f>
        <v>0</v>
      </c>
      <c r="BR58" s="85">
        <f>IF(BR15&lt;=Condition!$E$16,0,IF(BR15&lt;=Condition!$F$16,Condition!$D$16,IF(BR15&lt;=Condition!$F$17,Condition!$D$17,IF(BR15&lt;=Condition!$F$18,Condition!$D$18,IF(BR15&gt;Condition!$E$19,Condition!$D$19,"")))))</f>
        <v>0</v>
      </c>
      <c r="BS58" s="85">
        <f>IF(BS15&lt;=Condition!$E$16,0,IF(BS15&lt;=Condition!$F$16,Condition!$D$16,IF(BS15&lt;=Condition!$F$17,Condition!$D$17,IF(BS15&lt;=Condition!$F$18,Condition!$D$18,IF(BS15&gt;Condition!$E$19,Condition!$D$19,"")))))</f>
        <v>0</v>
      </c>
      <c r="BT58" s="85">
        <f>IF(BT15&lt;=Condition!$E$16,0,IF(BT15&lt;=Condition!$F$16,Condition!$D$16,IF(BT15&lt;=Condition!$F$17,Condition!$D$17,IF(BT15&lt;=Condition!$F$18,Condition!$D$18,IF(BT15&gt;Condition!$E$19,Condition!$D$19,"")))))</f>
        <v>0</v>
      </c>
      <c r="BU58" s="85">
        <f>IF(BU15&lt;=Condition!$E$16,0,IF(BU15&lt;=Condition!$F$16,Condition!$D$16,IF(BU15&lt;=Condition!$F$17,Condition!$D$17,IF(BU15&lt;=Condition!$F$18,Condition!$D$18,IF(BU15&gt;Condition!$E$19,Condition!$D$19,"")))))</f>
        <v>0</v>
      </c>
      <c r="BV58" s="85">
        <f>IF(BV15&lt;=Condition!$E$16,0,IF(BV15&lt;=Condition!$F$16,Condition!$D$16,IF(BV15&lt;=Condition!$F$17,Condition!$D$17,IF(BV15&lt;=Condition!$F$18,Condition!$D$18,IF(BV15&gt;Condition!$E$19,Condition!$D$19,"")))))</f>
        <v>0</v>
      </c>
      <c r="BW58" s="85">
        <f>IF(BW15&lt;=Condition!$E$16,0,IF(BW15&lt;=Condition!$F$16,Condition!$D$16,IF(BW15&lt;=Condition!$F$17,Condition!$D$17,IF(BW15&lt;=Condition!$F$18,Condition!$D$18,IF(BW15&gt;Condition!$E$19,Condition!$D$19,"")))))</f>
        <v>0</v>
      </c>
      <c r="BX58" s="85">
        <f>IF(BX15&lt;=Condition!$E$16,0,IF(BX15&lt;=Condition!$F$16,Condition!$D$16,IF(BX15&lt;=Condition!$F$17,Condition!$D$17,IF(BX15&lt;=Condition!$F$18,Condition!$D$18,IF(BX15&gt;Condition!$E$19,Condition!$D$19,"")))))</f>
        <v>0</v>
      </c>
      <c r="BY58" s="85">
        <f>IF(BY15&lt;=Condition!$E$16,0,IF(BY15&lt;=Condition!$F$16,Condition!$D$16,IF(BY15&lt;=Condition!$F$17,Condition!$D$17,IF(BY15&lt;=Condition!$F$18,Condition!$D$18,IF(BY15&gt;Condition!$E$19,Condition!$D$19,"")))))</f>
        <v>0</v>
      </c>
      <c r="BZ58" s="85">
        <f>IF(BZ15&lt;=Condition!$E$16,0,IF(BZ15&lt;=Condition!$F$16,Condition!$D$16,IF(BZ15&lt;=Condition!$F$17,Condition!$D$17,IF(BZ15&lt;=Condition!$F$18,Condition!$D$18,IF(BZ15&gt;Condition!$E$19,Condition!$D$19,"")))))</f>
        <v>0</v>
      </c>
      <c r="CA58" s="85">
        <f>IF(CA15&lt;=Condition!$E$16,0,IF(CA15&lt;=Condition!$F$16,Condition!$D$16,IF(CA15&lt;=Condition!$F$17,Condition!$D$17,IF(CA15&lt;=Condition!$F$18,Condition!$D$18,IF(CA15&gt;Condition!$E$19,Condition!$D$19,"")))))</f>
        <v>0</v>
      </c>
      <c r="CB58" s="85">
        <f>IF(CB15&lt;=Condition!$E$16,0,IF(CB15&lt;=Condition!$F$16,Condition!$D$16,IF(CB15&lt;=Condition!$F$17,Condition!$D$17,IF(CB15&lt;=Condition!$F$18,Condition!$D$18,IF(CB15&gt;Condition!$E$19,Condition!$D$19,"")))))</f>
        <v>0</v>
      </c>
      <c r="CC58" s="85">
        <f>IF(CC15&lt;=Condition!$E$16,0,IF(CC15&lt;=Condition!$F$16,Condition!$D$16,IF(CC15&lt;=Condition!$F$17,Condition!$D$17,IF(CC15&lt;=Condition!$F$18,Condition!$D$18,IF(CC15&gt;Condition!$E$19,Condition!$D$19,"")))))</f>
        <v>0</v>
      </c>
      <c r="CD58" s="85">
        <f>IF(CD15&lt;=Condition!$E$16,0,IF(CD15&lt;=Condition!$F$16,Condition!$D$16,IF(CD15&lt;=Condition!$F$17,Condition!$D$17,IF(CD15&lt;=Condition!$F$18,Condition!$D$18,IF(CD15&gt;Condition!$E$19,Condition!$D$19,"")))))</f>
        <v>0</v>
      </c>
      <c r="CE58" s="85">
        <f>IF(CE15&lt;=Condition!$E$16,0,IF(CE15&lt;=Condition!$F$16,Condition!$D$16,IF(CE15&lt;=Condition!$F$17,Condition!$D$17,IF(CE15&lt;=Condition!$F$18,Condition!$D$18,IF(CE15&gt;Condition!$E$19,Condition!$D$19,"")))))</f>
        <v>0</v>
      </c>
      <c r="CF58" s="85">
        <f>IF(CF15&lt;=Condition!$E$16,0,IF(CF15&lt;=Condition!$F$16,Condition!$D$16,IF(CF15&lt;=Condition!$F$17,Condition!$D$17,IF(CF15&lt;=Condition!$F$18,Condition!$D$18,IF(CF15&gt;Condition!$E$19,Condition!$D$19,"")))))</f>
        <v>0</v>
      </c>
      <c r="CG58" s="85">
        <f>IF(CG15&lt;=Condition!$E$16,0,IF(CG15&lt;=Condition!$F$16,Condition!$D$16,IF(CG15&lt;=Condition!$F$17,Condition!$D$17,IF(CG15&lt;=Condition!$F$18,Condition!$D$18,IF(CG15&gt;Condition!$E$19,Condition!$D$19,"")))))</f>
        <v>0</v>
      </c>
      <c r="CH58" s="85">
        <f>IF(CH15&lt;=Condition!$E$16,0,IF(CH15&lt;=Condition!$F$16,Condition!$D$16,IF(CH15&lt;=Condition!$F$17,Condition!$D$17,IF(CH15&lt;=Condition!$F$18,Condition!$D$18,IF(CH15&gt;Condition!$E$19,Condition!$D$19,"")))))</f>
        <v>0</v>
      </c>
      <c r="CI58" s="85">
        <f>IF(CI15&lt;=Condition!$E$16,0,IF(CI15&lt;=Condition!$F$16,Condition!$D$16,IF(CI15&lt;=Condition!$F$17,Condition!$D$17,IF(CI15&lt;=Condition!$F$18,Condition!$D$18,IF(CI15&gt;Condition!$E$19,Condition!$D$19,"")))))</f>
        <v>0</v>
      </c>
      <c r="CJ58" s="85">
        <f>IF(CJ15&lt;=Condition!$E$16,0,IF(CJ15&lt;=Condition!$F$16,Condition!$D$16,IF(CJ15&lt;=Condition!$F$17,Condition!$D$17,IF(CJ15&lt;=Condition!$F$18,Condition!$D$18,IF(CJ15&gt;Condition!$E$19,Condition!$D$19,"")))))</f>
        <v>0</v>
      </c>
      <c r="CK58" s="85">
        <f>IF(CK15&lt;=Condition!$E$16,0,IF(CK15&lt;=Condition!$F$16,Condition!$D$16,IF(CK15&lt;=Condition!$F$17,Condition!$D$17,IF(CK15&lt;=Condition!$F$18,Condition!$D$18,IF(CK15&gt;Condition!$E$19,Condition!$D$19,"")))))</f>
        <v>0</v>
      </c>
      <c r="CL58" s="85">
        <f>IF(CL15&lt;=Condition!$E$16,0,IF(CL15&lt;=Condition!$F$16,Condition!$D$16,IF(CL15&lt;=Condition!$F$17,Condition!$D$17,IF(CL15&lt;=Condition!$F$18,Condition!$D$18,IF(CL15&gt;Condition!$E$19,Condition!$D$19,"")))))</f>
        <v>0</v>
      </c>
      <c r="CM58" s="85">
        <f>IF(CM15&lt;=Condition!$E$16,0,IF(CM15&lt;=Condition!$F$16,Condition!$D$16,IF(CM15&lt;=Condition!$F$17,Condition!$D$17,IF(CM15&lt;=Condition!$F$18,Condition!$D$18,IF(CM15&gt;Condition!$E$19,Condition!$D$19,"")))))</f>
        <v>0</v>
      </c>
      <c r="CN58" s="85">
        <f>IF(CN15&lt;=Condition!$E$16,0,IF(CN15&lt;=Condition!$F$16,Condition!$D$16,IF(CN15&lt;=Condition!$F$17,Condition!$D$17,IF(CN15&lt;=Condition!$F$18,Condition!$D$18,IF(CN15&gt;Condition!$E$19,Condition!$D$19,"")))))</f>
        <v>0</v>
      </c>
      <c r="CO58" s="85">
        <f>IF(CO15&lt;=Condition!$E$16,0,IF(CO15&lt;=Condition!$F$16,Condition!$D$16,IF(CO15&lt;=Condition!$F$17,Condition!$D$17,IF(CO15&lt;=Condition!$F$18,Condition!$D$18,IF(CO15&gt;Condition!$E$19,Condition!$D$19,"")))))</f>
        <v>0</v>
      </c>
      <c r="CP58" s="85">
        <f>IF(CP15&lt;=Condition!$E$16,0,IF(CP15&lt;=Condition!$F$16,Condition!$D$16,IF(CP15&lt;=Condition!$F$17,Condition!$D$17,IF(CP15&lt;=Condition!$F$18,Condition!$D$18,IF(CP15&gt;Condition!$E$19,Condition!$D$19,"")))))</f>
        <v>0</v>
      </c>
      <c r="CQ58" s="85">
        <f>IF(CQ15&lt;=Condition!$E$16,0,IF(CQ15&lt;=Condition!$F$16,Condition!$D$16,IF(CQ15&lt;=Condition!$F$17,Condition!$D$17,IF(CQ15&lt;=Condition!$F$18,Condition!$D$18,IF(CQ15&gt;Condition!$E$19,Condition!$D$19,"")))))</f>
        <v>0</v>
      </c>
      <c r="CR58" s="85">
        <f>IF(CR15&lt;=Condition!$E$16,0,IF(CR15&lt;=Condition!$F$16,Condition!$D$16,IF(CR15&lt;=Condition!$F$17,Condition!$D$17,IF(CR15&lt;=Condition!$F$18,Condition!$D$18,IF(CR15&gt;Condition!$E$19,Condition!$D$19,"")))))</f>
        <v>0</v>
      </c>
      <c r="CS58" s="85">
        <f>IF(CS15&lt;=Condition!$E$16,0,IF(CS15&lt;=Condition!$F$16,Condition!$D$16,IF(CS15&lt;=Condition!$F$17,Condition!$D$17,IF(CS15&lt;=Condition!$F$18,Condition!$D$18,IF(CS15&gt;Condition!$E$19,Condition!$D$19,"")))))</f>
        <v>0</v>
      </c>
      <c r="CT58" s="85">
        <f>IF(CT15&lt;=Condition!$E$16,0,IF(CT15&lt;=Condition!$F$16,Condition!$D$16,IF(CT15&lt;=Condition!$F$17,Condition!$D$17,IF(CT15&lt;=Condition!$F$18,Condition!$D$18,IF(CT15&gt;Condition!$E$19,Condition!$D$19,"")))))</f>
        <v>0</v>
      </c>
      <c r="CU58" s="85">
        <f>IF(CU15&lt;=Condition!$E$16,0,IF(CU15&lt;=Condition!$F$16,Condition!$D$16,IF(CU15&lt;=Condition!$F$17,Condition!$D$17,IF(CU15&lt;=Condition!$F$18,Condition!$D$18,IF(CU15&gt;Condition!$E$19,Condition!$D$19,"")))))</f>
        <v>0</v>
      </c>
      <c r="CV58" s="85">
        <f>IF(CV15&lt;=Condition!$E$16,0,IF(CV15&lt;=Condition!$F$16,Condition!$D$16,IF(CV15&lt;=Condition!$F$17,Condition!$D$17,IF(CV15&lt;=Condition!$F$18,Condition!$D$18,IF(CV15&gt;Condition!$E$19,Condition!$D$19,"")))))</f>
        <v>0</v>
      </c>
      <c r="CW58" s="85">
        <f>IF(CW15&lt;=Condition!$E$16,0,IF(CW15&lt;=Condition!$F$16,Condition!$D$16,IF(CW15&lt;=Condition!$F$17,Condition!$D$17,IF(CW15&lt;=Condition!$F$18,Condition!$D$18,IF(CW15&gt;Condition!$E$19,Condition!$D$19,"")))))</f>
        <v>0</v>
      </c>
      <c r="CX58" s="85">
        <f>IF(CX15&lt;=Condition!$E$16,0,IF(CX15&lt;=Condition!$F$16,Condition!$D$16,IF(CX15&lt;=Condition!$F$17,Condition!$D$17,IF(CX15&lt;=Condition!$F$18,Condition!$D$18,IF(CX15&gt;Condition!$E$19,Condition!$D$19,"")))))</f>
        <v>0</v>
      </c>
      <c r="CY58" s="85">
        <f>IF(CY15&lt;=Condition!$E$16,0,IF(CY15&lt;=Condition!$F$16,Condition!$D$16,IF(CY15&lt;=Condition!$F$17,Condition!$D$17,IF(CY15&lt;=Condition!$F$18,Condition!$D$18,IF(CY15&gt;Condition!$E$19,Condition!$D$19,"")))))</f>
        <v>0</v>
      </c>
      <c r="CZ58" s="85">
        <f>IF(CZ15&lt;=Condition!$E$16,0,IF(CZ15&lt;=Condition!$F$16,Condition!$D$16,IF(CZ15&lt;=Condition!$F$17,Condition!$D$17,IF(CZ15&lt;=Condition!$F$18,Condition!$D$18,IF(CZ15&gt;Condition!$E$19,Condition!$D$19,"")))))</f>
        <v>0</v>
      </c>
      <c r="DA58" s="85">
        <f>IF(DA15&lt;=Condition!$E$16,0,IF(DA15&lt;=Condition!$F$16,Condition!$D$16,IF(DA15&lt;=Condition!$F$17,Condition!$D$17,IF(DA15&lt;=Condition!$F$18,Condition!$D$18,IF(DA15&gt;Condition!$E$19,Condition!$D$19,"")))))</f>
        <v>0</v>
      </c>
      <c r="DB58" s="85">
        <f>IF(DB15&lt;=Condition!$E$16,0,IF(DB15&lt;=Condition!$F$16,Condition!$D$16,IF(DB15&lt;=Condition!$F$17,Condition!$D$17,IF(DB15&lt;=Condition!$F$18,Condition!$D$18,IF(DB15&gt;Condition!$E$19,Condition!$D$19,"")))))</f>
        <v>0</v>
      </c>
      <c r="DC58" s="85">
        <f>IF(DC15&lt;=Condition!$E$16,0,IF(DC15&lt;=Condition!$F$16,Condition!$D$16,IF(DC15&lt;=Condition!$F$17,Condition!$D$17,IF(DC15&lt;=Condition!$F$18,Condition!$D$18,IF(DC15&gt;Condition!$E$19,Condition!$D$19,"")))))</f>
        <v>0</v>
      </c>
      <c r="DD58" s="85">
        <f>IF(DD15&lt;=Condition!$E$16,0,IF(DD15&lt;=Condition!$F$16,Condition!$D$16,IF(DD15&lt;=Condition!$F$17,Condition!$D$17,IF(DD15&lt;=Condition!$F$18,Condition!$D$18,IF(DD15&gt;Condition!$E$19,Condition!$D$19,"")))))</f>
        <v>0</v>
      </c>
      <c r="DE58" s="85">
        <f>IF(DE15&lt;=Condition!$E$16,0,IF(DE15&lt;=Condition!$F$16,Condition!$D$16,IF(DE15&lt;=Condition!$F$17,Condition!$D$17,IF(DE15&lt;=Condition!$F$18,Condition!$D$18,IF(DE15&gt;Condition!$E$19,Condition!$D$19,"")))))</f>
        <v>0</v>
      </c>
      <c r="DF58" s="85">
        <f>IF(DF15&lt;=Condition!$E$16,0,IF(DF15&lt;=Condition!$F$16,Condition!$D$16,IF(DF15&lt;=Condition!$F$17,Condition!$D$17,IF(DF15&lt;=Condition!$F$18,Condition!$D$18,IF(DF15&gt;Condition!$E$19,Condition!$D$19,"")))))</f>
        <v>0</v>
      </c>
      <c r="DG58" s="85">
        <f>IF(DG15&lt;=Condition!$E$16,0,IF(DG15&lt;=Condition!$F$16,Condition!$D$16,IF(DG15&lt;=Condition!$F$17,Condition!$D$17,IF(DG15&lt;=Condition!$F$18,Condition!$D$18,IF(DG15&gt;Condition!$E$19,Condition!$D$19,"")))))</f>
        <v>0</v>
      </c>
      <c r="DH58" s="85">
        <f>IF(DH15&lt;=Condition!$E$16,0,IF(DH15&lt;=Condition!$F$16,Condition!$D$16,IF(DH15&lt;=Condition!$F$17,Condition!$D$17,IF(DH15&lt;=Condition!$F$18,Condition!$D$18,IF(DH15&gt;Condition!$E$19,Condition!$D$19,"")))))</f>
        <v>0</v>
      </c>
      <c r="DI58" s="85">
        <f>IF(DI15&lt;=Condition!$E$16,0,IF(DI15&lt;=Condition!$F$16,Condition!$D$16,IF(DI15&lt;=Condition!$F$17,Condition!$D$17,IF(DI15&lt;=Condition!$F$18,Condition!$D$18,IF(DI15&gt;Condition!$E$19,Condition!$D$19,"")))))</f>
        <v>0</v>
      </c>
      <c r="DJ58" s="85">
        <f>IF(DJ15&lt;=Condition!$E$16,0,IF(DJ15&lt;=Condition!$F$16,Condition!$D$16,IF(DJ15&lt;=Condition!$F$17,Condition!$D$17,IF(DJ15&lt;=Condition!$F$18,Condition!$D$18,IF(DJ15&gt;Condition!$E$19,Condition!$D$19,"")))))</f>
        <v>0</v>
      </c>
      <c r="DK58" s="85">
        <f>IF(DK15&lt;=Condition!$E$16,0,IF(DK15&lt;=Condition!$F$16,Condition!$D$16,IF(DK15&lt;=Condition!$F$17,Condition!$D$17,IF(DK15&lt;=Condition!$F$18,Condition!$D$18,IF(DK15&gt;Condition!$E$19,Condition!$D$19,"")))))</f>
        <v>0</v>
      </c>
      <c r="DL58" s="85">
        <f>IF(DL15&lt;=Condition!$E$16,0,IF(DL15&lt;=Condition!$F$16,Condition!$D$16,IF(DL15&lt;=Condition!$F$17,Condition!$D$17,IF(DL15&lt;=Condition!$F$18,Condition!$D$18,IF(DL15&gt;Condition!$E$19,Condition!$D$19,"")))))</f>
        <v>0</v>
      </c>
      <c r="DM58" s="85">
        <f>IF(DM15&lt;=Condition!$E$16,0,IF(DM15&lt;=Condition!$F$16,Condition!$D$16,IF(DM15&lt;=Condition!$F$17,Condition!$D$17,IF(DM15&lt;=Condition!$F$18,Condition!$D$18,IF(DM15&gt;Condition!$E$19,Condition!$D$19,"")))))</f>
        <v>0</v>
      </c>
      <c r="DN58" s="85">
        <f>IF(DN15&lt;=Condition!$E$16,0,IF(DN15&lt;=Condition!$F$16,Condition!$D$16,IF(DN15&lt;=Condition!$F$17,Condition!$D$17,IF(DN15&lt;=Condition!$F$18,Condition!$D$18,IF(DN15&gt;Condition!$E$19,Condition!$D$19,"")))))</f>
        <v>0</v>
      </c>
      <c r="DO58" s="85">
        <f>IF(DO15&lt;=Condition!$E$16,0,IF(DO15&lt;=Condition!$F$16,Condition!$D$16,IF(DO15&lt;=Condition!$F$17,Condition!$D$17,IF(DO15&lt;=Condition!$F$18,Condition!$D$18,IF(DO15&gt;Condition!$E$19,Condition!$D$19,"")))))</f>
        <v>0</v>
      </c>
      <c r="DP58" s="85">
        <f>IF(DP15&lt;=Condition!$E$16,0,IF(DP15&lt;=Condition!$F$16,Condition!$D$16,IF(DP15&lt;=Condition!$F$17,Condition!$D$17,IF(DP15&lt;=Condition!$F$18,Condition!$D$18,IF(DP15&gt;Condition!$E$19,Condition!$D$19,"")))))</f>
        <v>0</v>
      </c>
      <c r="DQ58" s="85">
        <f>IF(DQ15&lt;=Condition!$E$16,0,IF(DQ15&lt;=Condition!$F$16,Condition!$D$16,IF(DQ15&lt;=Condition!$F$17,Condition!$D$17,IF(DQ15&lt;=Condition!$F$18,Condition!$D$18,IF(DQ15&gt;Condition!$E$19,Condition!$D$19,"")))))</f>
        <v>0</v>
      </c>
      <c r="DR58" s="85">
        <f>IF(DR15&lt;=Condition!$E$16,0,IF(DR15&lt;=Condition!$F$16,Condition!$D$16,IF(DR15&lt;=Condition!$F$17,Condition!$D$17,IF(DR15&lt;=Condition!$F$18,Condition!$D$18,IF(DR15&gt;Condition!$E$19,Condition!$D$19,"")))))</f>
        <v>0</v>
      </c>
      <c r="DS58" s="85">
        <f>IF(DS15&lt;=Condition!$E$16,0,IF(DS15&lt;=Condition!$F$16,Condition!$D$16,IF(DS15&lt;=Condition!$F$17,Condition!$D$17,IF(DS15&lt;=Condition!$F$18,Condition!$D$18,IF(DS15&gt;Condition!$E$19,Condition!$D$19,"")))))</f>
        <v>0</v>
      </c>
      <c r="DT58" s="85">
        <f>IF(DT15&lt;=Condition!$E$16,0,IF(DT15&lt;=Condition!$F$16,Condition!$D$16,IF(DT15&lt;=Condition!$F$17,Condition!$D$17,IF(DT15&lt;=Condition!$F$18,Condition!$D$18,IF(DT15&gt;Condition!$E$19,Condition!$D$19,"")))))</f>
        <v>0</v>
      </c>
      <c r="DU58" s="85">
        <f>IF(DU15&lt;=Condition!$E$16,0,IF(DU15&lt;=Condition!$F$16,Condition!$D$16,IF(DU15&lt;=Condition!$F$17,Condition!$D$17,IF(DU15&lt;=Condition!$F$18,Condition!$D$18,IF(DU15&gt;Condition!$E$19,Condition!$D$19,"")))))</f>
        <v>0</v>
      </c>
      <c r="DV58" s="85">
        <f>IF(DV15&lt;=Condition!$E$16,0,IF(DV15&lt;=Condition!$F$16,Condition!$D$16,IF(DV15&lt;=Condition!$F$17,Condition!$D$17,IF(DV15&lt;=Condition!$F$18,Condition!$D$18,IF(DV15&gt;Condition!$E$19,Condition!$D$19,"")))))</f>
        <v>0</v>
      </c>
      <c r="DW58" s="85">
        <f>IF(DW15&lt;=Condition!$E$16,0,IF(DW15&lt;=Condition!$F$16,Condition!$D$16,IF(DW15&lt;=Condition!$F$17,Condition!$D$17,IF(DW15&lt;=Condition!$F$18,Condition!$D$18,IF(DW15&gt;Condition!$E$19,Condition!$D$19,"")))))</f>
        <v>0</v>
      </c>
      <c r="DX58" s="85">
        <f>IF(DX15&lt;=Condition!$E$16,0,IF(DX15&lt;=Condition!$F$16,Condition!$D$16,IF(DX15&lt;=Condition!$F$17,Condition!$D$17,IF(DX15&lt;=Condition!$F$18,Condition!$D$18,IF(DX15&gt;Condition!$E$19,Condition!$D$19,"")))))</f>
        <v>0</v>
      </c>
      <c r="DY58" s="85">
        <f>IF(DY15&lt;=Condition!$E$16,0,IF(DY15&lt;=Condition!$F$16,Condition!$D$16,IF(DY15&lt;=Condition!$F$17,Condition!$D$17,IF(DY15&lt;=Condition!$F$18,Condition!$D$18,IF(DY15&gt;Condition!$E$19,Condition!$D$19,"")))))</f>
        <v>0</v>
      </c>
      <c r="DZ58" s="85">
        <f>IF(DZ15&lt;=Condition!$E$16,0,IF(DZ15&lt;=Condition!$F$16,Condition!$D$16,IF(DZ15&lt;=Condition!$F$17,Condition!$D$17,IF(DZ15&lt;=Condition!$F$18,Condition!$D$18,IF(DZ15&gt;Condition!$E$19,Condition!$D$19,"")))))</f>
        <v>0</v>
      </c>
      <c r="EA58" s="85">
        <f>IF(EA15&lt;=Condition!$E$16,0,IF(EA15&lt;=Condition!$F$16,Condition!$D$16,IF(EA15&lt;=Condition!$F$17,Condition!$D$17,IF(EA15&lt;=Condition!$F$18,Condition!$D$18,IF(EA15&gt;Condition!$E$19,Condition!$D$19,"")))))</f>
        <v>0</v>
      </c>
      <c r="EB58" s="85">
        <f>IF(EB15&lt;=Condition!$E$16,0,IF(EB15&lt;=Condition!$F$16,Condition!$D$16,IF(EB15&lt;=Condition!$F$17,Condition!$D$17,IF(EB15&lt;=Condition!$F$18,Condition!$D$18,IF(EB15&gt;Condition!$E$19,Condition!$D$19,"")))))</f>
        <v>0</v>
      </c>
      <c r="EC58" s="85">
        <f>IF(EC15&lt;=Condition!$E$16,0,IF(EC15&lt;=Condition!$F$16,Condition!$D$16,IF(EC15&lt;=Condition!$F$17,Condition!$D$17,IF(EC15&lt;=Condition!$F$18,Condition!$D$18,IF(EC15&gt;Condition!$E$19,Condition!$D$19,"")))))</f>
        <v>0</v>
      </c>
      <c r="ED58" s="85">
        <f>IF(ED15&lt;=Condition!$E$16,0,IF(ED15&lt;=Condition!$F$16,Condition!$D$16,IF(ED15&lt;=Condition!$F$17,Condition!$D$17,IF(ED15&lt;=Condition!$F$18,Condition!$D$18,IF(ED15&gt;Condition!$E$19,Condition!$D$19,"")))))</f>
        <v>0</v>
      </c>
      <c r="EE58" s="85">
        <f>IF(EE15&lt;=Condition!$E$16,0,IF(EE15&lt;=Condition!$F$16,Condition!$D$16,IF(EE15&lt;=Condition!$F$17,Condition!$D$17,IF(EE15&lt;=Condition!$F$18,Condition!$D$18,IF(EE15&gt;Condition!$E$19,Condition!$D$19,"")))))</f>
        <v>0</v>
      </c>
      <c r="EF58" s="85">
        <f>IF(EF15&lt;=Condition!$E$16,0,IF(EF15&lt;=Condition!$F$16,Condition!$D$16,IF(EF15&lt;=Condition!$F$17,Condition!$D$17,IF(EF15&lt;=Condition!$F$18,Condition!$D$18,IF(EF15&gt;Condition!$E$19,Condition!$D$19,"")))))</f>
        <v>0</v>
      </c>
      <c r="EG58" s="85">
        <f>IF(EG15&lt;=Condition!$E$16,0,IF(EG15&lt;=Condition!$F$16,Condition!$D$16,IF(EG15&lt;=Condition!$F$17,Condition!$D$17,IF(EG15&lt;=Condition!$F$18,Condition!$D$18,IF(EG15&gt;Condition!$E$19,Condition!$D$19,"")))))</f>
        <v>0</v>
      </c>
      <c r="EH58" s="85">
        <f>IF(EH15&lt;=Condition!$E$16,0,IF(EH15&lt;=Condition!$F$16,Condition!$D$16,IF(EH15&lt;=Condition!$F$17,Condition!$D$17,IF(EH15&lt;=Condition!$F$18,Condition!$D$18,IF(EH15&gt;Condition!$E$19,Condition!$D$19,"")))))</f>
        <v>0</v>
      </c>
      <c r="EI58" s="85">
        <f>IF(EI15&lt;=Condition!$E$16,0,IF(EI15&lt;=Condition!$F$16,Condition!$D$16,IF(EI15&lt;=Condition!$F$17,Condition!$D$17,IF(EI15&lt;=Condition!$F$18,Condition!$D$18,IF(EI15&gt;Condition!$E$19,Condition!$D$19,"")))))</f>
        <v>0</v>
      </c>
      <c r="EJ58" s="85">
        <f>IF(EJ15&lt;=Condition!$E$16,0,IF(EJ15&lt;=Condition!$F$16,Condition!$D$16,IF(EJ15&lt;=Condition!$F$17,Condition!$D$17,IF(EJ15&lt;=Condition!$F$18,Condition!$D$18,IF(EJ15&gt;Condition!$E$19,Condition!$D$19,"")))))</f>
        <v>0</v>
      </c>
      <c r="EK58" s="85">
        <f>IF(EK15&lt;=Condition!$E$16,0,IF(EK15&lt;=Condition!$F$16,Condition!$D$16,IF(EK15&lt;=Condition!$F$17,Condition!$D$17,IF(EK15&lt;=Condition!$F$18,Condition!$D$18,IF(EK15&gt;Condition!$E$19,Condition!$D$19,"")))))</f>
        <v>0</v>
      </c>
      <c r="EL58" s="85">
        <f>IF(EL15&lt;=Condition!$E$16,0,IF(EL15&lt;=Condition!$F$16,Condition!$D$16,IF(EL15&lt;=Condition!$F$17,Condition!$D$17,IF(EL15&lt;=Condition!$F$18,Condition!$D$18,IF(EL15&gt;Condition!$E$19,Condition!$D$19,"")))))</f>
        <v>0</v>
      </c>
      <c r="EM58" s="85">
        <f>IF(EM15&lt;=Condition!$E$16,0,IF(EM15&lt;=Condition!$F$16,Condition!$D$16,IF(EM15&lt;=Condition!$F$17,Condition!$D$17,IF(EM15&lt;=Condition!$F$18,Condition!$D$18,IF(EM15&gt;Condition!$E$19,Condition!$D$19,"")))))</f>
        <v>0</v>
      </c>
      <c r="EN58" s="85">
        <f>IF(EN15&lt;=Condition!$E$16,0,IF(EN15&lt;=Condition!$F$16,Condition!$D$16,IF(EN15&lt;=Condition!$F$17,Condition!$D$17,IF(EN15&lt;=Condition!$F$18,Condition!$D$18,IF(EN15&gt;Condition!$E$19,Condition!$D$19,"")))))</f>
        <v>0</v>
      </c>
      <c r="EO58" s="85">
        <f>IF(EO15&lt;=Condition!$E$16,0,IF(EO15&lt;=Condition!$F$16,Condition!$D$16,IF(EO15&lt;=Condition!$F$17,Condition!$D$17,IF(EO15&lt;=Condition!$F$18,Condition!$D$18,IF(EO15&gt;Condition!$E$19,Condition!$D$19,"")))))</f>
        <v>0</v>
      </c>
      <c r="EP58" s="85">
        <f>IF(EP15&lt;=Condition!$E$16,0,IF(EP15&lt;=Condition!$F$16,Condition!$D$16,IF(EP15&lt;=Condition!$F$17,Condition!$D$17,IF(EP15&lt;=Condition!$F$18,Condition!$D$18,IF(EP15&gt;Condition!$E$19,Condition!$D$19,"")))))</f>
        <v>0</v>
      </c>
      <c r="EQ58" s="85">
        <f>IF(EQ15&lt;=Condition!$E$16,0,IF(EQ15&lt;=Condition!$F$16,Condition!$D$16,IF(EQ15&lt;=Condition!$F$17,Condition!$D$17,IF(EQ15&lt;=Condition!$F$18,Condition!$D$18,IF(EQ15&gt;Condition!$E$19,Condition!$D$19,"")))))</f>
        <v>0</v>
      </c>
      <c r="ER58" s="85">
        <f>IF(ER15&lt;=Condition!$E$16,0,IF(ER15&lt;=Condition!$F$16,Condition!$D$16,IF(ER15&lt;=Condition!$F$17,Condition!$D$17,IF(ER15&lt;=Condition!$F$18,Condition!$D$18,IF(ER15&gt;Condition!$E$19,Condition!$D$19,"")))))</f>
        <v>0</v>
      </c>
      <c r="ES58" s="85">
        <f>IF(ES15&lt;=Condition!$E$16,0,IF(ES15&lt;=Condition!$F$16,Condition!$D$16,IF(ES15&lt;=Condition!$F$17,Condition!$D$17,IF(ES15&lt;=Condition!$F$18,Condition!$D$18,IF(ES15&gt;Condition!$E$19,Condition!$D$19,"")))))</f>
        <v>0</v>
      </c>
      <c r="ET58" s="85">
        <f>IF(ET15&lt;=Condition!$E$16,0,IF(ET15&lt;=Condition!$F$16,Condition!$D$16,IF(ET15&lt;=Condition!$F$17,Condition!$D$17,IF(ET15&lt;=Condition!$F$18,Condition!$D$18,IF(ET15&gt;Condition!$E$19,Condition!$D$19,"")))))</f>
        <v>0</v>
      </c>
      <c r="EU58" s="85">
        <f>IF(EU15&lt;=Condition!$E$16,0,IF(EU15&lt;=Condition!$F$16,Condition!$D$16,IF(EU15&lt;=Condition!$F$17,Condition!$D$17,IF(EU15&lt;=Condition!$F$18,Condition!$D$18,IF(EU15&gt;Condition!$E$19,Condition!$D$19,"")))))</f>
        <v>0</v>
      </c>
      <c r="EV58" s="85">
        <f>IF(EV15&lt;=Condition!$E$16,0,IF(EV15&lt;=Condition!$F$16,Condition!$D$16,IF(EV15&lt;=Condition!$F$17,Condition!$D$17,IF(EV15&lt;=Condition!$F$18,Condition!$D$18,IF(EV15&gt;Condition!$E$19,Condition!$D$19,"")))))</f>
        <v>0</v>
      </c>
      <c r="EW58" s="85">
        <f>IF(EW15&lt;=Condition!$E$16,0,IF(EW15&lt;=Condition!$F$16,Condition!$D$16,IF(EW15&lt;=Condition!$F$17,Condition!$D$17,IF(EW15&lt;=Condition!$F$18,Condition!$D$18,IF(EW15&gt;Condition!$E$19,Condition!$D$19,"")))))</f>
        <v>0</v>
      </c>
      <c r="EX58" s="85">
        <f>IF(EX15&lt;=Condition!$E$16,0,IF(EX15&lt;=Condition!$F$16,Condition!$D$16,IF(EX15&lt;=Condition!$F$17,Condition!$D$17,IF(EX15&lt;=Condition!$F$18,Condition!$D$18,IF(EX15&gt;Condition!$E$19,Condition!$D$19,"")))))</f>
        <v>0</v>
      </c>
      <c r="EY58" s="85">
        <f>IF(EY15&lt;=Condition!$E$16,0,IF(EY15&lt;=Condition!$F$16,Condition!$D$16,IF(EY15&lt;=Condition!$F$17,Condition!$D$17,IF(EY15&lt;=Condition!$F$18,Condition!$D$18,IF(EY15&gt;Condition!$E$19,Condition!$D$19,"")))))</f>
        <v>0</v>
      </c>
      <c r="EZ58" s="85">
        <f>IF(EZ15&lt;=Condition!$E$16,0,IF(EZ15&lt;=Condition!$F$16,Condition!$D$16,IF(EZ15&lt;=Condition!$F$17,Condition!$D$17,IF(EZ15&lt;=Condition!$F$18,Condition!$D$18,IF(EZ15&gt;Condition!$E$19,Condition!$D$19,"")))))</f>
        <v>0</v>
      </c>
      <c r="FA58" s="85">
        <f>IF(FA15&lt;=Condition!$E$16,0,IF(FA15&lt;=Condition!$F$16,Condition!$D$16,IF(FA15&lt;=Condition!$F$17,Condition!$D$17,IF(FA15&lt;=Condition!$F$18,Condition!$D$18,IF(FA15&gt;Condition!$E$19,Condition!$D$19,"")))))</f>
        <v>0</v>
      </c>
      <c r="FB58" s="85">
        <f>IF(FB15&lt;=Condition!$E$16,0,IF(FB15&lt;=Condition!$F$16,Condition!$D$16,IF(FB15&lt;=Condition!$F$17,Condition!$D$17,IF(FB15&lt;=Condition!$F$18,Condition!$D$18,IF(FB15&gt;Condition!$E$19,Condition!$D$19,"")))))</f>
        <v>0</v>
      </c>
      <c r="FC58" s="85">
        <f>IF(FC15&lt;=Condition!$E$16,0,IF(FC15&lt;=Condition!$F$16,Condition!$D$16,IF(FC15&lt;=Condition!$F$17,Condition!$D$17,IF(FC15&lt;=Condition!$F$18,Condition!$D$18,IF(FC15&gt;Condition!$E$19,Condition!$D$19,"")))))</f>
        <v>0</v>
      </c>
      <c r="FD58" s="85">
        <f>IF(FD15&lt;=Condition!$E$16,0,IF(FD15&lt;=Condition!$F$16,Condition!$D$16,IF(FD15&lt;=Condition!$F$17,Condition!$D$17,IF(FD15&lt;=Condition!$F$18,Condition!$D$18,IF(FD15&gt;Condition!$E$19,Condition!$D$19,"")))))</f>
        <v>0</v>
      </c>
      <c r="FE58" s="85">
        <f>IF(FE15&lt;=Condition!$E$16,0,IF(FE15&lt;=Condition!$F$16,Condition!$D$16,IF(FE15&lt;=Condition!$F$17,Condition!$D$17,IF(FE15&lt;=Condition!$F$18,Condition!$D$18,IF(FE15&gt;Condition!$E$19,Condition!$D$19,"")))))</f>
        <v>0</v>
      </c>
      <c r="FF58" s="85">
        <f>IF(FF15&lt;=Condition!$E$16,0,IF(FF15&lt;=Condition!$F$16,Condition!$D$16,IF(FF15&lt;=Condition!$F$17,Condition!$D$17,IF(FF15&lt;=Condition!$F$18,Condition!$D$18,IF(FF15&gt;Condition!$E$19,Condition!$D$19,"")))))</f>
        <v>0</v>
      </c>
      <c r="FG58" s="85">
        <f>IF(FG15&lt;=Condition!$E$16,0,IF(FG15&lt;=Condition!$F$16,Condition!$D$16,IF(FG15&lt;=Condition!$F$17,Condition!$D$17,IF(FG15&lt;=Condition!$F$18,Condition!$D$18,IF(FG15&gt;Condition!$E$19,Condition!$D$19,"")))))</f>
        <v>0</v>
      </c>
      <c r="FH58" s="85">
        <f>IF(FH15&lt;=Condition!$E$16,0,IF(FH15&lt;=Condition!$F$16,Condition!$D$16,IF(FH15&lt;=Condition!$F$17,Condition!$D$17,IF(FH15&lt;=Condition!$F$18,Condition!$D$18,IF(FH15&gt;Condition!$E$19,Condition!$D$19,"")))))</f>
        <v>0</v>
      </c>
      <c r="FI58" s="85">
        <f>IF(FI15&lt;=Condition!$E$16,0,IF(FI15&lt;=Condition!$F$16,Condition!$D$16,IF(FI15&lt;=Condition!$F$17,Condition!$D$17,IF(FI15&lt;=Condition!$F$18,Condition!$D$18,IF(FI15&gt;Condition!$E$19,Condition!$D$19,"")))))</f>
        <v>0</v>
      </c>
      <c r="FJ58" s="85">
        <f>IF(FJ15&lt;=Condition!$E$16,0,IF(FJ15&lt;=Condition!$F$16,Condition!$D$16,IF(FJ15&lt;=Condition!$F$17,Condition!$D$17,IF(FJ15&lt;=Condition!$F$18,Condition!$D$18,IF(FJ15&gt;Condition!$E$19,Condition!$D$19,"")))))</f>
        <v>0</v>
      </c>
      <c r="FK58" s="85">
        <f>IF(FK15&lt;=Condition!$E$16,0,IF(FK15&lt;=Condition!$F$16,Condition!$D$16,IF(FK15&lt;=Condition!$F$17,Condition!$D$17,IF(FK15&lt;=Condition!$F$18,Condition!$D$18,IF(FK15&gt;Condition!$E$19,Condition!$D$19,"")))))</f>
        <v>0</v>
      </c>
      <c r="FL58" s="85">
        <f>IF(FL15&lt;=Condition!$E$16,0,IF(FL15&lt;=Condition!$F$16,Condition!$D$16,IF(FL15&lt;=Condition!$F$17,Condition!$D$17,IF(FL15&lt;=Condition!$F$18,Condition!$D$18,IF(FL15&gt;Condition!$E$19,Condition!$D$19,"")))))</f>
        <v>0</v>
      </c>
      <c r="FM58" s="85">
        <f>IF(FM15&lt;=Condition!$E$16,0,IF(FM15&lt;=Condition!$F$16,Condition!$D$16,IF(FM15&lt;=Condition!$F$17,Condition!$D$17,IF(FM15&lt;=Condition!$F$18,Condition!$D$18,IF(FM15&gt;Condition!$E$19,Condition!$D$19,"")))))</f>
        <v>0</v>
      </c>
      <c r="FN58" s="85">
        <f>IF(FN15&lt;=Condition!$E$16,0,IF(FN15&lt;=Condition!$F$16,Condition!$D$16,IF(FN15&lt;=Condition!$F$17,Condition!$D$17,IF(FN15&lt;=Condition!$F$18,Condition!$D$18,IF(FN15&gt;Condition!$E$19,Condition!$D$19,"")))))</f>
        <v>0</v>
      </c>
      <c r="FO58" s="85">
        <f>IF(FO15&lt;=Condition!$E$16,0,IF(FO15&lt;=Condition!$F$16,Condition!$D$16,IF(FO15&lt;=Condition!$F$17,Condition!$D$17,IF(FO15&lt;=Condition!$F$18,Condition!$D$18,IF(FO15&gt;Condition!$E$19,Condition!$D$19,"")))))</f>
        <v>0</v>
      </c>
      <c r="FP58" s="85">
        <f>IF(FP15&lt;=Condition!$E$16,0,IF(FP15&lt;=Condition!$F$16,Condition!$D$16,IF(FP15&lt;=Condition!$F$17,Condition!$D$17,IF(FP15&lt;=Condition!$F$18,Condition!$D$18,IF(FP15&gt;Condition!$E$19,Condition!$D$19,"")))))</f>
        <v>0</v>
      </c>
      <c r="FQ58" s="85">
        <f>IF(FQ15&lt;=Condition!$E$16,0,IF(FQ15&lt;=Condition!$F$16,Condition!$D$16,IF(FQ15&lt;=Condition!$F$17,Condition!$D$17,IF(FQ15&lt;=Condition!$F$18,Condition!$D$18,IF(FQ15&gt;Condition!$E$19,Condition!$D$19,"")))))</f>
        <v>0</v>
      </c>
      <c r="FR58" s="85">
        <f>IF(FR15&lt;=Condition!$E$16,0,IF(FR15&lt;=Condition!$F$16,Condition!$D$16,IF(FR15&lt;=Condition!$F$17,Condition!$D$17,IF(FR15&lt;=Condition!$F$18,Condition!$D$18,IF(FR15&gt;Condition!$E$19,Condition!$D$19,"")))))</f>
        <v>0</v>
      </c>
      <c r="FS58" s="85">
        <f>IF(FS15&lt;=Condition!$E$16,0,IF(FS15&lt;=Condition!$F$16,Condition!$D$16,IF(FS15&lt;=Condition!$F$17,Condition!$D$17,IF(FS15&lt;=Condition!$F$18,Condition!$D$18,IF(FS15&gt;Condition!$E$19,Condition!$D$19,"")))))</f>
        <v>0</v>
      </c>
      <c r="FT58" s="85">
        <f>IF(FT15&lt;=Condition!$E$16,0,IF(FT15&lt;=Condition!$F$16,Condition!$D$16,IF(FT15&lt;=Condition!$F$17,Condition!$D$17,IF(FT15&lt;=Condition!$F$18,Condition!$D$18,IF(FT15&gt;Condition!$E$19,Condition!$D$19,"")))))</f>
        <v>0</v>
      </c>
      <c r="FU58" s="85">
        <f>IF(FU15&lt;=Condition!$E$16,0,IF(FU15&lt;=Condition!$F$16,Condition!$D$16,IF(FU15&lt;=Condition!$F$17,Condition!$D$17,IF(FU15&lt;=Condition!$F$18,Condition!$D$18,IF(FU15&gt;Condition!$E$19,Condition!$D$19,"")))))</f>
        <v>0</v>
      </c>
      <c r="FV58" s="85">
        <f>IF(FV15&lt;=Condition!$E$16,0,IF(FV15&lt;=Condition!$F$16,Condition!$D$16,IF(FV15&lt;=Condition!$F$17,Condition!$D$17,IF(FV15&lt;=Condition!$F$18,Condition!$D$18,IF(FV15&gt;Condition!$E$19,Condition!$D$19,"")))))</f>
        <v>0</v>
      </c>
      <c r="FW58" s="85">
        <f>IF(FW15&lt;=Condition!$E$16,0,IF(FW15&lt;=Condition!$F$16,Condition!$D$16,IF(FW15&lt;=Condition!$F$17,Condition!$D$17,IF(FW15&lt;=Condition!$F$18,Condition!$D$18,IF(FW15&gt;Condition!$E$19,Condition!$D$19,"")))))</f>
        <v>0</v>
      </c>
      <c r="FX58" s="85">
        <f>IF(FX15&lt;=Condition!$E$16,0,IF(FX15&lt;=Condition!$F$16,Condition!$D$16,IF(FX15&lt;=Condition!$F$17,Condition!$D$17,IF(FX15&lt;=Condition!$F$18,Condition!$D$18,IF(FX15&gt;Condition!$E$19,Condition!$D$19,"")))))</f>
        <v>0</v>
      </c>
      <c r="FY58" s="85">
        <f>IF(FY15&lt;=Condition!$E$16,0,IF(FY15&lt;=Condition!$F$16,Condition!$D$16,IF(FY15&lt;=Condition!$F$17,Condition!$D$17,IF(FY15&lt;=Condition!$F$18,Condition!$D$18,IF(FY15&gt;Condition!$E$19,Condition!$D$19,"")))))</f>
        <v>0</v>
      </c>
      <c r="FZ58" s="85">
        <f>IF(FZ15&lt;=Condition!$E$16,0,IF(FZ15&lt;=Condition!$F$16,Condition!$D$16,IF(FZ15&lt;=Condition!$F$17,Condition!$D$17,IF(FZ15&lt;=Condition!$F$18,Condition!$D$18,IF(FZ15&gt;Condition!$E$19,Condition!$D$19,"")))))</f>
        <v>0</v>
      </c>
      <c r="GA58" s="85">
        <f>IF(GA15&lt;=Condition!$E$16,0,IF(GA15&lt;=Condition!$F$16,Condition!$D$16,IF(GA15&lt;=Condition!$F$17,Condition!$D$17,IF(GA15&lt;=Condition!$F$18,Condition!$D$18,IF(GA15&gt;Condition!$E$19,Condition!$D$19,"")))))</f>
        <v>0</v>
      </c>
      <c r="GB58" s="85">
        <f>IF(GB15&lt;=Condition!$E$16,0,IF(GB15&lt;=Condition!$F$16,Condition!$D$16,IF(GB15&lt;=Condition!$F$17,Condition!$D$17,IF(GB15&lt;=Condition!$F$18,Condition!$D$18,IF(GB15&gt;Condition!$E$19,Condition!$D$19,"")))))</f>
        <v>0</v>
      </c>
      <c r="GC58" s="85">
        <f>IF(GC15&lt;=Condition!$E$16,0,IF(GC15&lt;=Condition!$F$16,Condition!$D$16,IF(GC15&lt;=Condition!$F$17,Condition!$D$17,IF(GC15&lt;=Condition!$F$18,Condition!$D$18,IF(GC15&gt;Condition!$E$19,Condition!$D$19,"")))))</f>
        <v>0</v>
      </c>
      <c r="GD58" s="85">
        <f>IF(GD15&lt;=Condition!$E$16,0,IF(GD15&lt;=Condition!$F$16,Condition!$D$16,IF(GD15&lt;=Condition!$F$17,Condition!$D$17,IF(GD15&lt;=Condition!$F$18,Condition!$D$18,IF(GD15&gt;Condition!$E$19,Condition!$D$19,"")))))</f>
        <v>0</v>
      </c>
      <c r="GE58" s="85">
        <f>IF(GE15&lt;=Condition!$E$16,0,IF(GE15&lt;=Condition!$F$16,Condition!$D$16,IF(GE15&lt;=Condition!$F$17,Condition!$D$17,IF(GE15&lt;=Condition!$F$18,Condition!$D$18,IF(GE15&gt;Condition!$E$19,Condition!$D$19,"")))))</f>
        <v>0</v>
      </c>
      <c r="GF58" s="85">
        <f>IF(GF15&lt;=Condition!$E$16,0,IF(GF15&lt;=Condition!$F$16,Condition!$D$16,IF(GF15&lt;=Condition!$F$17,Condition!$D$17,IF(GF15&lt;=Condition!$F$18,Condition!$D$18,IF(GF15&gt;Condition!$E$19,Condition!$D$19,"")))))</f>
        <v>0</v>
      </c>
      <c r="GG58" s="85">
        <f>IF(GG15&lt;=Condition!$E$16,0,IF(GG15&lt;=Condition!$F$16,Condition!$D$16,IF(GG15&lt;=Condition!$F$17,Condition!$D$17,IF(GG15&lt;=Condition!$F$18,Condition!$D$18,IF(GG15&gt;Condition!$E$19,Condition!$D$19,"")))))</f>
        <v>0</v>
      </c>
      <c r="GH58" s="85">
        <f>IF(GH15&lt;=Condition!$E$16,0,IF(GH15&lt;=Condition!$F$16,Condition!$D$16,IF(GH15&lt;=Condition!$F$17,Condition!$D$17,IF(GH15&lt;=Condition!$F$18,Condition!$D$18,IF(GH15&gt;Condition!$E$19,Condition!$D$19,"")))))</f>
        <v>0</v>
      </c>
      <c r="GI58" s="85">
        <f>IF(GI15&lt;=Condition!$E$16,0,IF(GI15&lt;=Condition!$F$16,Condition!$D$16,IF(GI15&lt;=Condition!$F$17,Condition!$D$17,IF(GI15&lt;=Condition!$F$18,Condition!$D$18,IF(GI15&gt;Condition!$E$19,Condition!$D$19,"")))))</f>
        <v>0</v>
      </c>
      <c r="GJ58" s="85">
        <f>IF(GJ15&lt;=Condition!$E$16,0,IF(GJ15&lt;=Condition!$F$16,Condition!$D$16,IF(GJ15&lt;=Condition!$F$17,Condition!$D$17,IF(GJ15&lt;=Condition!$F$18,Condition!$D$18,IF(GJ15&gt;Condition!$E$19,Condition!$D$19,"")))))</f>
        <v>0</v>
      </c>
      <c r="GK58" s="85">
        <f>IF(GK15&lt;=Condition!$E$16,0,IF(GK15&lt;=Condition!$F$16,Condition!$D$16,IF(GK15&lt;=Condition!$F$17,Condition!$D$17,IF(GK15&lt;=Condition!$F$18,Condition!$D$18,IF(GK15&gt;Condition!$E$19,Condition!$D$19,"")))))</f>
        <v>0</v>
      </c>
      <c r="GL58" s="85">
        <f>IF(GL15&lt;=Condition!$E$16,0,IF(GL15&lt;=Condition!$F$16,Condition!$D$16,IF(GL15&lt;=Condition!$F$17,Condition!$D$17,IF(GL15&lt;=Condition!$F$18,Condition!$D$18,IF(GL15&gt;Condition!$E$19,Condition!$D$19,"")))))</f>
        <v>0</v>
      </c>
      <c r="GM58" s="85">
        <f>IF(GM15&lt;=Condition!$E$16,0,IF(GM15&lt;=Condition!$F$16,Condition!$D$16,IF(GM15&lt;=Condition!$F$17,Condition!$D$17,IF(GM15&lt;=Condition!$F$18,Condition!$D$18,IF(GM15&gt;Condition!$E$19,Condition!$D$19,"")))))</f>
        <v>0</v>
      </c>
      <c r="GN58" s="85">
        <f>IF(GN15&lt;=Condition!$E$16,0,IF(GN15&lt;=Condition!$F$16,Condition!$D$16,IF(GN15&lt;=Condition!$F$17,Condition!$D$17,IF(GN15&lt;=Condition!$F$18,Condition!$D$18,IF(GN15&gt;Condition!$E$19,Condition!$D$19,"")))))</f>
        <v>0</v>
      </c>
      <c r="GO58" s="85">
        <f>IF(GO15&lt;=Condition!$E$16,0,IF(GO15&lt;=Condition!$F$16,Condition!$D$16,IF(GO15&lt;=Condition!$F$17,Condition!$D$17,IF(GO15&lt;=Condition!$F$18,Condition!$D$18,IF(GO15&gt;Condition!$E$19,Condition!$D$19,"")))))</f>
        <v>0</v>
      </c>
      <c r="GP58" s="85">
        <f>IF(GP15&lt;=Condition!$E$16,0,IF(GP15&lt;=Condition!$F$16,Condition!$D$16,IF(GP15&lt;=Condition!$F$17,Condition!$D$17,IF(GP15&lt;=Condition!$F$18,Condition!$D$18,IF(GP15&gt;Condition!$E$19,Condition!$D$19,"")))))</f>
        <v>0</v>
      </c>
      <c r="GQ58" s="85">
        <f>IF(GQ15&lt;=Condition!$E$16,0,IF(GQ15&lt;=Condition!$F$16,Condition!$D$16,IF(GQ15&lt;=Condition!$F$17,Condition!$D$17,IF(GQ15&lt;=Condition!$F$18,Condition!$D$18,IF(GQ15&gt;Condition!$E$19,Condition!$D$19,"")))))</f>
        <v>0</v>
      </c>
      <c r="GR58" s="85">
        <f>IF(GR15&lt;=Condition!$E$16,0,IF(GR15&lt;=Condition!$F$16,Condition!$D$16,IF(GR15&lt;=Condition!$F$17,Condition!$D$17,IF(GR15&lt;=Condition!$F$18,Condition!$D$18,IF(GR15&gt;Condition!$E$19,Condition!$D$19,"")))))</f>
        <v>0</v>
      </c>
      <c r="GS58" s="85">
        <f>IF(GS15&lt;=Condition!$E$16,0,IF(GS15&lt;=Condition!$F$16,Condition!$D$16,IF(GS15&lt;=Condition!$F$17,Condition!$D$17,IF(GS15&lt;=Condition!$F$18,Condition!$D$18,IF(GS15&gt;Condition!$E$19,Condition!$D$19,"")))))</f>
        <v>0</v>
      </c>
      <c r="GT58" s="85">
        <f>IF(GT15&lt;=Condition!$E$16,0,IF(GT15&lt;=Condition!$F$16,Condition!$D$16,IF(GT15&lt;=Condition!$F$17,Condition!$D$17,IF(GT15&lt;=Condition!$F$18,Condition!$D$18,IF(GT15&gt;Condition!$E$19,Condition!$D$19,"")))))</f>
        <v>0</v>
      </c>
      <c r="GU58" s="85">
        <f>IF(GU15&lt;=Condition!$E$16,0,IF(GU15&lt;=Condition!$F$16,Condition!$D$16,IF(GU15&lt;=Condition!$F$17,Condition!$D$17,IF(GU15&lt;=Condition!$F$18,Condition!$D$18,IF(GU15&gt;Condition!$E$19,Condition!$D$19,"")))))</f>
        <v>0</v>
      </c>
      <c r="GV58" s="85">
        <f>IF(GV15&lt;=Condition!$E$16,0,IF(GV15&lt;=Condition!$F$16,Condition!$D$16,IF(GV15&lt;=Condition!$F$17,Condition!$D$17,IF(GV15&lt;=Condition!$F$18,Condition!$D$18,IF(GV15&gt;Condition!$E$19,Condition!$D$19,"")))))</f>
        <v>0</v>
      </c>
      <c r="GW58" s="85">
        <f>IF(GW15&lt;=Condition!$E$16,0,IF(GW15&lt;=Condition!$F$16,Condition!$D$16,IF(GW15&lt;=Condition!$F$17,Condition!$D$17,IF(GW15&lt;=Condition!$F$18,Condition!$D$18,IF(GW15&gt;Condition!$E$19,Condition!$D$19,"")))))</f>
        <v>0</v>
      </c>
      <c r="GX58" s="85">
        <f>IF(GX15&lt;=Condition!$E$16,0,IF(GX15&lt;=Condition!$F$16,Condition!$D$16,IF(GX15&lt;=Condition!$F$17,Condition!$D$17,IF(GX15&lt;=Condition!$F$18,Condition!$D$18,IF(GX15&gt;Condition!$E$19,Condition!$D$19,"")))))</f>
        <v>0</v>
      </c>
      <c r="GY58" s="85">
        <f>IF(GY15&lt;=Condition!$E$16,0,IF(GY15&lt;=Condition!$F$16,Condition!$D$16,IF(GY15&lt;=Condition!$F$17,Condition!$D$17,IF(GY15&lt;=Condition!$F$18,Condition!$D$18,IF(GY15&gt;Condition!$E$19,Condition!$D$19,"")))))</f>
        <v>0</v>
      </c>
      <c r="GZ58" s="85">
        <f>IF(GZ15&lt;=Condition!$E$16,0,IF(GZ15&lt;=Condition!$F$16,Condition!$D$16,IF(GZ15&lt;=Condition!$F$17,Condition!$D$17,IF(GZ15&lt;=Condition!$F$18,Condition!$D$18,IF(GZ15&gt;Condition!$E$19,Condition!$D$19,"")))))</f>
        <v>0</v>
      </c>
      <c r="HA58" s="85">
        <f>IF(HA15&lt;=Condition!$E$16,0,IF(HA15&lt;=Condition!$F$16,Condition!$D$16,IF(HA15&lt;=Condition!$F$17,Condition!$D$17,IF(HA15&lt;=Condition!$F$18,Condition!$D$18,IF(HA15&gt;Condition!$E$19,Condition!$D$19,"")))))</f>
        <v>0</v>
      </c>
      <c r="HB58" s="85">
        <f>IF(HB15&lt;=Condition!$E$16,0,IF(HB15&lt;=Condition!$F$16,Condition!$D$16,IF(HB15&lt;=Condition!$F$17,Condition!$D$17,IF(HB15&lt;=Condition!$F$18,Condition!$D$18,IF(HB15&gt;Condition!$E$19,Condition!$D$19,"")))))</f>
        <v>0</v>
      </c>
      <c r="HC58" s="85">
        <f>IF(HC15&lt;=Condition!$E$16,0,IF(HC15&lt;=Condition!$F$16,Condition!$D$16,IF(HC15&lt;=Condition!$F$17,Condition!$D$17,IF(HC15&lt;=Condition!$F$18,Condition!$D$18,IF(HC15&gt;Condition!$E$19,Condition!$D$19,"")))))</f>
        <v>0</v>
      </c>
      <c r="HD58" s="85">
        <f>IF(HD15&lt;=Condition!$E$16,0,IF(HD15&lt;=Condition!$F$16,Condition!$D$16,IF(HD15&lt;=Condition!$F$17,Condition!$D$17,IF(HD15&lt;=Condition!$F$18,Condition!$D$18,IF(HD15&gt;Condition!$E$19,Condition!$D$19,"")))))</f>
        <v>0</v>
      </c>
      <c r="HE58" s="85">
        <f>IF(HE15&lt;=Condition!$E$16,0,IF(HE15&lt;=Condition!$F$16,Condition!$D$16,IF(HE15&lt;=Condition!$F$17,Condition!$D$17,IF(HE15&lt;=Condition!$F$18,Condition!$D$18,IF(HE15&gt;Condition!$E$19,Condition!$D$19,"")))))</f>
        <v>0</v>
      </c>
      <c r="HF58" s="85">
        <f>IF(HF15&lt;=Condition!$E$16,0,IF(HF15&lt;=Condition!$F$16,Condition!$D$16,IF(HF15&lt;=Condition!$F$17,Condition!$D$17,IF(HF15&lt;=Condition!$F$18,Condition!$D$18,IF(HF15&gt;Condition!$E$19,Condition!$D$19,"")))))</f>
        <v>0</v>
      </c>
      <c r="HG58" s="85">
        <f>IF(HG15&lt;=Condition!$E$16,0,IF(HG15&lt;=Condition!$F$16,Condition!$D$16,IF(HG15&lt;=Condition!$F$17,Condition!$D$17,IF(HG15&lt;=Condition!$F$18,Condition!$D$18,IF(HG15&gt;Condition!$E$19,Condition!$D$19,"")))))</f>
        <v>0</v>
      </c>
      <c r="HH58" s="85">
        <f>IF(HH15&lt;=Condition!$E$16,0,IF(HH15&lt;=Condition!$F$16,Condition!$D$16,IF(HH15&lt;=Condition!$F$17,Condition!$D$17,IF(HH15&lt;=Condition!$F$18,Condition!$D$18,IF(HH15&gt;Condition!$E$19,Condition!$D$19,"")))))</f>
        <v>0</v>
      </c>
      <c r="HI58" s="85">
        <f>IF(HI15&lt;=Condition!$E$16,0,IF(HI15&lt;=Condition!$F$16,Condition!$D$16,IF(HI15&lt;=Condition!$F$17,Condition!$D$17,IF(HI15&lt;=Condition!$F$18,Condition!$D$18,IF(HI15&gt;Condition!$E$19,Condition!$D$19,"")))))</f>
        <v>0</v>
      </c>
      <c r="HJ58" s="85">
        <f>IF(HJ15&lt;=Condition!$E$16,0,IF(HJ15&lt;=Condition!$F$16,Condition!$D$16,IF(HJ15&lt;=Condition!$F$17,Condition!$D$17,IF(HJ15&lt;=Condition!$F$18,Condition!$D$18,IF(HJ15&gt;Condition!$E$19,Condition!$D$19,"")))))</f>
        <v>0</v>
      </c>
      <c r="HK58" s="85">
        <f>IF(HK15&lt;=Condition!$E$16,0,IF(HK15&lt;=Condition!$F$16,Condition!$D$16,IF(HK15&lt;=Condition!$F$17,Condition!$D$17,IF(HK15&lt;=Condition!$F$18,Condition!$D$18,IF(HK15&gt;Condition!$E$19,Condition!$D$19,"")))))</f>
        <v>0</v>
      </c>
      <c r="HL58" s="85">
        <f>IF(HL15&lt;=Condition!$E$16,0,IF(HL15&lt;=Condition!$F$16,Condition!$D$16,IF(HL15&lt;=Condition!$F$17,Condition!$D$17,IF(HL15&lt;=Condition!$F$18,Condition!$D$18,IF(HL15&gt;Condition!$E$19,Condition!$D$19,"")))))</f>
        <v>0</v>
      </c>
      <c r="HM58" s="85">
        <f>IF(HM15&lt;=Condition!$E$16,0,IF(HM15&lt;=Condition!$F$16,Condition!$D$16,IF(HM15&lt;=Condition!$F$17,Condition!$D$17,IF(HM15&lt;=Condition!$F$18,Condition!$D$18,IF(HM15&gt;Condition!$E$19,Condition!$D$19,"")))))</f>
        <v>0</v>
      </c>
      <c r="HN58" s="85">
        <f>IF(HN15&lt;=Condition!$E$16,0,IF(HN15&lt;=Condition!$F$16,Condition!$D$16,IF(HN15&lt;=Condition!$F$17,Condition!$D$17,IF(HN15&lt;=Condition!$F$18,Condition!$D$18,IF(HN15&gt;Condition!$E$19,Condition!$D$19,"")))))</f>
        <v>0</v>
      </c>
      <c r="HO58" s="85">
        <f>IF(HO15&lt;=Condition!$E$16,0,IF(HO15&lt;=Condition!$F$16,Condition!$D$16,IF(HO15&lt;=Condition!$F$17,Condition!$D$17,IF(HO15&lt;=Condition!$F$18,Condition!$D$18,IF(HO15&gt;Condition!$E$19,Condition!$D$19,"")))))</f>
        <v>0</v>
      </c>
      <c r="HP58" s="85">
        <f>IF(HP15&lt;=Condition!$E$16,0,IF(HP15&lt;=Condition!$F$16,Condition!$D$16,IF(HP15&lt;=Condition!$F$17,Condition!$D$17,IF(HP15&lt;=Condition!$F$18,Condition!$D$18,IF(HP15&gt;Condition!$E$19,Condition!$D$19,"")))))</f>
        <v>0</v>
      </c>
      <c r="HQ58" s="85">
        <f>IF(HQ15&lt;=Condition!$E$16,0,IF(HQ15&lt;=Condition!$F$16,Condition!$D$16,IF(HQ15&lt;=Condition!$F$17,Condition!$D$17,IF(HQ15&lt;=Condition!$F$18,Condition!$D$18,IF(HQ15&gt;Condition!$E$19,Condition!$D$19,"")))))</f>
        <v>0</v>
      </c>
      <c r="HR58" s="85">
        <f>IF(HR15&lt;=Condition!$E$16,0,IF(HR15&lt;=Condition!$F$16,Condition!$D$16,IF(HR15&lt;=Condition!$F$17,Condition!$D$17,IF(HR15&lt;=Condition!$F$18,Condition!$D$18,IF(HR15&gt;Condition!$E$19,Condition!$D$19,"")))))</f>
        <v>0</v>
      </c>
      <c r="HS58" s="85">
        <f>IF(HS15&lt;=Condition!$E$16,0,IF(HS15&lt;=Condition!$F$16,Condition!$D$16,IF(HS15&lt;=Condition!$F$17,Condition!$D$17,IF(HS15&lt;=Condition!$F$18,Condition!$D$18,IF(HS15&gt;Condition!$E$19,Condition!$D$19,"")))))</f>
        <v>0</v>
      </c>
      <c r="HT58" s="85">
        <f>IF(HT15&lt;=Condition!$E$16,0,IF(HT15&lt;=Condition!$F$16,Condition!$D$16,IF(HT15&lt;=Condition!$F$17,Condition!$D$17,IF(HT15&lt;=Condition!$F$18,Condition!$D$18,IF(HT15&gt;Condition!$E$19,Condition!$D$19,"")))))</f>
        <v>0</v>
      </c>
      <c r="HU58" s="85">
        <f>IF(HU15&lt;=Condition!$E$16,0,IF(HU15&lt;=Condition!$F$16,Condition!$D$16,IF(HU15&lt;=Condition!$F$17,Condition!$D$17,IF(HU15&lt;=Condition!$F$18,Condition!$D$18,IF(HU15&gt;Condition!$E$19,Condition!$D$19,"")))))</f>
        <v>0</v>
      </c>
      <c r="HV58" s="85">
        <f>IF(HV15&lt;=Condition!$E$16,0,IF(HV15&lt;=Condition!$F$16,Condition!$D$16,IF(HV15&lt;=Condition!$F$17,Condition!$D$17,IF(HV15&lt;=Condition!$F$18,Condition!$D$18,IF(HV15&gt;Condition!$E$19,Condition!$D$19,"")))))</f>
        <v>0</v>
      </c>
      <c r="HW58" s="85">
        <f>IF(HW15&lt;=Condition!$E$16,0,IF(HW15&lt;=Condition!$F$16,Condition!$D$16,IF(HW15&lt;=Condition!$F$17,Condition!$D$17,IF(HW15&lt;=Condition!$F$18,Condition!$D$18,IF(HW15&gt;Condition!$E$19,Condition!$D$19,"")))))</f>
        <v>0</v>
      </c>
      <c r="HX58" s="85">
        <f>IF(HX15&lt;=Condition!$E$16,0,IF(HX15&lt;=Condition!$F$16,Condition!$D$16,IF(HX15&lt;=Condition!$F$17,Condition!$D$17,IF(HX15&lt;=Condition!$F$18,Condition!$D$18,IF(HX15&gt;Condition!$E$19,Condition!$D$19,"")))))</f>
        <v>0</v>
      </c>
      <c r="HY58" s="85">
        <f>IF(HY15&lt;=Condition!$E$16,0,IF(HY15&lt;=Condition!$F$16,Condition!$D$16,IF(HY15&lt;=Condition!$F$17,Condition!$D$17,IF(HY15&lt;=Condition!$F$18,Condition!$D$18,IF(HY15&gt;Condition!$E$19,Condition!$D$19,"")))))</f>
        <v>0</v>
      </c>
      <c r="HZ58" s="85">
        <f>IF(HZ15&lt;=Condition!$E$16,0,IF(HZ15&lt;=Condition!$F$16,Condition!$D$16,IF(HZ15&lt;=Condition!$F$17,Condition!$D$17,IF(HZ15&lt;=Condition!$F$18,Condition!$D$18,IF(HZ15&gt;Condition!$E$19,Condition!$D$19,"")))))</f>
        <v>0</v>
      </c>
      <c r="IA58" s="85">
        <f>IF(IA15&lt;=Condition!$E$16,0,IF(IA15&lt;=Condition!$F$16,Condition!$D$16,IF(IA15&lt;=Condition!$F$17,Condition!$D$17,IF(IA15&lt;=Condition!$F$18,Condition!$D$18,IF(IA15&gt;Condition!$E$19,Condition!$D$19,"")))))</f>
        <v>0</v>
      </c>
      <c r="IB58" s="85">
        <f>IF(IB15&lt;=Condition!$E$16,0,IF(IB15&lt;=Condition!$F$16,Condition!$D$16,IF(IB15&lt;=Condition!$F$17,Condition!$D$17,IF(IB15&lt;=Condition!$F$18,Condition!$D$18,IF(IB15&gt;Condition!$E$19,Condition!$D$19,"")))))</f>
        <v>0</v>
      </c>
      <c r="IC58" s="85">
        <f>IF(IC15&lt;=Condition!$E$16,0,IF(IC15&lt;=Condition!$F$16,Condition!$D$16,IF(IC15&lt;=Condition!$F$17,Condition!$D$17,IF(IC15&lt;=Condition!$F$18,Condition!$D$18,IF(IC15&gt;Condition!$E$19,Condition!$D$19,"")))))</f>
        <v>0</v>
      </c>
      <c r="ID58" s="85">
        <f>IF(ID15&lt;=Condition!$E$16,0,IF(ID15&lt;=Condition!$F$16,Condition!$D$16,IF(ID15&lt;=Condition!$F$17,Condition!$D$17,IF(ID15&lt;=Condition!$F$18,Condition!$D$18,IF(ID15&gt;Condition!$E$19,Condition!$D$19,"")))))</f>
        <v>0</v>
      </c>
      <c r="IE58" s="85">
        <f>IF(IE15&lt;=Condition!$E$16,0,IF(IE15&lt;=Condition!$F$16,Condition!$D$16,IF(IE15&lt;=Condition!$F$17,Condition!$D$17,IF(IE15&lt;=Condition!$F$18,Condition!$D$18,IF(IE15&gt;Condition!$E$19,Condition!$D$19,"")))))</f>
        <v>0</v>
      </c>
      <c r="IF58" s="85">
        <f>IF(IF15&lt;=Condition!$E$16,0,IF(IF15&lt;=Condition!$F$16,Condition!$D$16,IF(IF15&lt;=Condition!$F$17,Condition!$D$17,IF(IF15&lt;=Condition!$F$18,Condition!$D$18,IF(IF15&gt;Condition!$E$19,Condition!$D$19,"")))))</f>
        <v>0</v>
      </c>
      <c r="IG58" s="85">
        <f>IF(IG15&lt;=Condition!$E$16,0,IF(IG15&lt;=Condition!$F$16,Condition!$D$16,IF(IG15&lt;=Condition!$F$17,Condition!$D$17,IF(IG15&lt;=Condition!$F$18,Condition!$D$18,IF(IG15&gt;Condition!$E$19,Condition!$D$19,"")))))</f>
        <v>0</v>
      </c>
      <c r="IH58" s="85">
        <f>IF(IH15&lt;=Condition!$E$16,0,IF(IH15&lt;=Condition!$F$16,Condition!$D$16,IF(IH15&lt;=Condition!$F$17,Condition!$D$17,IF(IH15&lt;=Condition!$F$18,Condition!$D$18,IF(IH15&gt;Condition!$E$19,Condition!$D$19,"")))))</f>
        <v>0</v>
      </c>
      <c r="II58" s="85">
        <f>IF(II15&lt;=Condition!$E$16,0,IF(II15&lt;=Condition!$F$16,Condition!$D$16,IF(II15&lt;=Condition!$F$17,Condition!$D$17,IF(II15&lt;=Condition!$F$18,Condition!$D$18,IF(II15&gt;Condition!$E$19,Condition!$D$19,"")))))</f>
        <v>0</v>
      </c>
      <c r="IJ58" s="85">
        <f>IF(IJ15&lt;=Condition!$E$16,0,IF(IJ15&lt;=Condition!$F$16,Condition!$D$16,IF(IJ15&lt;=Condition!$F$17,Condition!$D$17,IF(IJ15&lt;=Condition!$F$18,Condition!$D$18,IF(IJ15&gt;Condition!$E$19,Condition!$D$19,"")))))</f>
        <v>0</v>
      </c>
      <c r="IK58" s="85">
        <f>IF(IK15&lt;=Condition!$E$16,0,IF(IK15&lt;=Condition!$F$16,Condition!$D$16,IF(IK15&lt;=Condition!$F$17,Condition!$D$17,IF(IK15&lt;=Condition!$F$18,Condition!$D$18,IF(IK15&gt;Condition!$E$19,Condition!$D$19,"")))))</f>
        <v>0</v>
      </c>
      <c r="IL58" s="85">
        <f>IF(IL15&lt;=Condition!$E$16,0,IF(IL15&lt;=Condition!$F$16,Condition!$D$16,IF(IL15&lt;=Condition!$F$17,Condition!$D$17,IF(IL15&lt;=Condition!$F$18,Condition!$D$18,IF(IL15&gt;Condition!$E$19,Condition!$D$19,"")))))</f>
        <v>0</v>
      </c>
      <c r="IM58" s="85">
        <f>IF(IM15&lt;=Condition!$E$16,0,IF(IM15&lt;=Condition!$F$16,Condition!$D$16,IF(IM15&lt;=Condition!$F$17,Condition!$D$17,IF(IM15&lt;=Condition!$F$18,Condition!$D$18,IF(IM15&gt;Condition!$E$19,Condition!$D$19,"")))))</f>
        <v>0</v>
      </c>
      <c r="IN58" s="85">
        <f>IF(IN15&lt;=Condition!$E$16,0,IF(IN15&lt;=Condition!$F$16,Condition!$D$16,IF(IN15&lt;=Condition!$F$17,Condition!$D$17,IF(IN15&lt;=Condition!$F$18,Condition!$D$18,IF(IN15&gt;Condition!$E$19,Condition!$D$19,"")))))</f>
        <v>0</v>
      </c>
      <c r="IO58" s="85">
        <f>IF(IO15&lt;=Condition!$E$16,0,IF(IO15&lt;=Condition!$F$16,Condition!$D$16,IF(IO15&lt;=Condition!$F$17,Condition!$D$17,IF(IO15&lt;=Condition!$F$18,Condition!$D$18,IF(IO15&gt;Condition!$E$19,Condition!$D$19,"")))))</f>
        <v>0</v>
      </c>
      <c r="IP58" s="85">
        <f>IF(IP15&lt;=Condition!$E$16,0,IF(IP15&lt;=Condition!$F$16,Condition!$D$16,IF(IP15&lt;=Condition!$F$17,Condition!$D$17,IF(IP15&lt;=Condition!$F$18,Condition!$D$18,IF(IP15&gt;Condition!$E$19,Condition!$D$19,"")))))</f>
        <v>0</v>
      </c>
      <c r="IQ58" s="85">
        <f>IF(IQ15&lt;=Condition!$E$16,0,IF(IQ15&lt;=Condition!$F$16,Condition!$D$16,IF(IQ15&lt;=Condition!$F$17,Condition!$D$17,IF(IQ15&lt;=Condition!$F$18,Condition!$D$18,IF(IQ15&gt;Condition!$E$19,Condition!$D$19,"")))))</f>
        <v>0</v>
      </c>
      <c r="IR58" s="85">
        <f>IF(IR15&lt;=Condition!$E$16,0,IF(IR15&lt;=Condition!$F$16,Condition!$D$16,IF(IR15&lt;=Condition!$F$17,Condition!$D$17,IF(IR15&lt;=Condition!$F$18,Condition!$D$18,IF(IR15&gt;Condition!$E$19,Condition!$D$19,"")))))</f>
        <v>0</v>
      </c>
      <c r="IS58" s="85">
        <f>IF(IS15&lt;=Condition!$E$16,0,IF(IS15&lt;=Condition!$F$16,Condition!$D$16,IF(IS15&lt;=Condition!$F$17,Condition!$D$17,IF(IS15&lt;=Condition!$F$18,Condition!$D$18,IF(IS15&gt;Condition!$E$19,Condition!$D$19,"")))))</f>
        <v>0</v>
      </c>
      <c r="IT58" s="85">
        <f>IF(IT15&lt;=Condition!$E$16,0,IF(IT15&lt;=Condition!$F$16,Condition!$D$16,IF(IT15&lt;=Condition!$F$17,Condition!$D$17,IF(IT15&lt;=Condition!$F$18,Condition!$D$18,IF(IT15&gt;Condition!$E$19,Condition!$D$19,"")))))</f>
        <v>0</v>
      </c>
      <c r="IU58" s="85">
        <f>IF(IU15&lt;=Condition!$E$16,0,IF(IU15&lt;=Condition!$F$16,Condition!$D$16,IF(IU15&lt;=Condition!$F$17,Condition!$D$17,IF(IU15&lt;=Condition!$F$18,Condition!$D$18,IF(IU15&gt;Condition!$E$19,Condition!$D$19,"")))))</f>
        <v>0</v>
      </c>
      <c r="IV58" s="85">
        <f>IF(IV15&lt;=Condition!$E$16,0,IF(IV15&lt;=Condition!$F$16,Condition!$D$16,IF(IV15&lt;=Condition!$F$17,Condition!$D$17,IF(IV15&lt;=Condition!$F$18,Condition!$D$18,IF(IV15&gt;Condition!$E$19,Condition!$D$19,"")))))</f>
        <v>0</v>
      </c>
      <c r="IW58" s="85">
        <f>IF(IW15&lt;=Condition!$E$16,0,IF(IW15&lt;=Condition!$F$16,Condition!$D$16,IF(IW15&lt;=Condition!$F$17,Condition!$D$17,IF(IW15&lt;=Condition!$F$18,Condition!$D$18,IF(IW15&gt;Condition!$E$19,Condition!$D$19,"")))))</f>
        <v>0</v>
      </c>
      <c r="IX58" s="85">
        <f>IF(IX15&lt;=Condition!$E$16,0,IF(IX15&lt;=Condition!$F$16,Condition!$D$16,IF(IX15&lt;=Condition!$F$17,Condition!$D$17,IF(IX15&lt;=Condition!$F$18,Condition!$D$18,IF(IX15&gt;Condition!$E$19,Condition!$D$19,"")))))</f>
        <v>0</v>
      </c>
      <c r="IY58" s="85">
        <f>IF(IY15&lt;=Condition!$E$16,0,IF(IY15&lt;=Condition!$F$16,Condition!$D$16,IF(IY15&lt;=Condition!$F$17,Condition!$D$17,IF(IY15&lt;=Condition!$F$18,Condition!$D$18,IF(IY15&gt;Condition!$E$19,Condition!$D$19,"")))))</f>
        <v>0</v>
      </c>
      <c r="IZ58" s="85">
        <f>IF(IZ15&lt;=Condition!$E$16,0,IF(IZ15&lt;=Condition!$F$16,Condition!$D$16,IF(IZ15&lt;=Condition!$F$17,Condition!$D$17,IF(IZ15&lt;=Condition!$F$18,Condition!$D$18,IF(IZ15&gt;Condition!$E$19,Condition!$D$19,"")))))</f>
        <v>0</v>
      </c>
      <c r="JA58" s="85">
        <f>IF(JA15&lt;=Condition!$E$16,0,IF(JA15&lt;=Condition!$F$16,Condition!$D$16,IF(JA15&lt;=Condition!$F$17,Condition!$D$17,IF(JA15&lt;=Condition!$F$18,Condition!$D$18,IF(JA15&gt;Condition!$E$19,Condition!$D$19,"")))))</f>
        <v>0</v>
      </c>
      <c r="JB58" s="85">
        <f>IF(JB15&lt;=Condition!$E$16,0,IF(JB15&lt;=Condition!$F$16,Condition!$D$16,IF(JB15&lt;=Condition!$F$17,Condition!$D$17,IF(JB15&lt;=Condition!$F$18,Condition!$D$18,IF(JB15&gt;Condition!$E$19,Condition!$D$19,"")))))</f>
        <v>0</v>
      </c>
      <c r="JC58" s="85">
        <f>IF(JC15&lt;=Condition!$E$16,0,IF(JC15&lt;=Condition!$F$16,Condition!$D$16,IF(JC15&lt;=Condition!$F$17,Condition!$D$17,IF(JC15&lt;=Condition!$F$18,Condition!$D$18,IF(JC15&gt;Condition!$E$19,Condition!$D$19,"")))))</f>
        <v>0</v>
      </c>
      <c r="JD58" s="85">
        <f>IF(JD15&lt;=Condition!$E$16,0,IF(JD15&lt;=Condition!$F$16,Condition!$D$16,IF(JD15&lt;=Condition!$F$17,Condition!$D$17,IF(JD15&lt;=Condition!$F$18,Condition!$D$18,IF(JD15&gt;Condition!$E$19,Condition!$D$19,"")))))</f>
        <v>0</v>
      </c>
      <c r="JE58" s="85">
        <f>IF(JE15&lt;=Condition!$E$16,0,IF(JE15&lt;=Condition!$F$16,Condition!$D$16,IF(JE15&lt;=Condition!$F$17,Condition!$D$17,IF(JE15&lt;=Condition!$F$18,Condition!$D$18,IF(JE15&gt;Condition!$E$19,Condition!$D$19,"")))))</f>
        <v>0</v>
      </c>
      <c r="JF58" s="85">
        <f>IF(JF15&lt;=Condition!$E$16,0,IF(JF15&lt;=Condition!$F$16,Condition!$D$16,IF(JF15&lt;=Condition!$F$17,Condition!$D$17,IF(JF15&lt;=Condition!$F$18,Condition!$D$18,IF(JF15&gt;Condition!$E$19,Condition!$D$19,"")))))</f>
        <v>0</v>
      </c>
      <c r="JG58" s="85">
        <f>IF(JG15&lt;=Condition!$E$16,0,IF(JG15&lt;=Condition!$F$16,Condition!$D$16,IF(JG15&lt;=Condition!$F$17,Condition!$D$17,IF(JG15&lt;=Condition!$F$18,Condition!$D$18,IF(JG15&gt;Condition!$E$19,Condition!$D$19,"")))))</f>
        <v>0</v>
      </c>
      <c r="JH58" s="85">
        <f>IF(JH15&lt;=Condition!$E$16,0,IF(JH15&lt;=Condition!$F$16,Condition!$D$16,IF(JH15&lt;=Condition!$F$17,Condition!$D$17,IF(JH15&lt;=Condition!$F$18,Condition!$D$18,IF(JH15&gt;Condition!$E$19,Condition!$D$19,"")))))</f>
        <v>0</v>
      </c>
      <c r="JI58" s="85">
        <f>IF(JI15&lt;=Condition!$E$16,0,IF(JI15&lt;=Condition!$F$16,Condition!$D$16,IF(JI15&lt;=Condition!$F$17,Condition!$D$17,IF(JI15&lt;=Condition!$F$18,Condition!$D$18,IF(JI15&gt;Condition!$E$19,Condition!$D$19,"")))))</f>
        <v>0</v>
      </c>
      <c r="JJ58" s="85">
        <f>IF(JJ15&lt;=Condition!$E$16,0,IF(JJ15&lt;=Condition!$F$16,Condition!$D$16,IF(JJ15&lt;=Condition!$F$17,Condition!$D$17,IF(JJ15&lt;=Condition!$F$18,Condition!$D$18,IF(JJ15&gt;Condition!$E$19,Condition!$D$19,"")))))</f>
        <v>0</v>
      </c>
      <c r="JK58" s="85">
        <f>IF(JK15&lt;=Condition!$E$16,0,IF(JK15&lt;=Condition!$F$16,Condition!$D$16,IF(JK15&lt;=Condition!$F$17,Condition!$D$17,IF(JK15&lt;=Condition!$F$18,Condition!$D$18,IF(JK15&gt;Condition!$E$19,Condition!$D$19,"")))))</f>
        <v>0</v>
      </c>
      <c r="JL58" s="85">
        <f>IF(JL15&lt;=Condition!$E$16,0,IF(JL15&lt;=Condition!$F$16,Condition!$D$16,IF(JL15&lt;=Condition!$F$17,Condition!$D$17,IF(JL15&lt;=Condition!$F$18,Condition!$D$18,IF(JL15&gt;Condition!$E$19,Condition!$D$19,"")))))</f>
        <v>0</v>
      </c>
      <c r="JM58" s="85">
        <f>IF(JM15&lt;=Condition!$E$16,0,IF(JM15&lt;=Condition!$F$16,Condition!$D$16,IF(JM15&lt;=Condition!$F$17,Condition!$D$17,IF(JM15&lt;=Condition!$F$18,Condition!$D$18,IF(JM15&gt;Condition!$E$19,Condition!$D$19,"")))))</f>
        <v>0</v>
      </c>
      <c r="JN58" s="85">
        <f>IF(JN15&lt;=Condition!$E$16,0,IF(JN15&lt;=Condition!$F$16,Condition!$D$16,IF(JN15&lt;=Condition!$F$17,Condition!$D$17,IF(JN15&lt;=Condition!$F$18,Condition!$D$18,IF(JN15&gt;Condition!$E$19,Condition!$D$19,"")))))</f>
        <v>0</v>
      </c>
      <c r="JO58" s="85">
        <f>IF(JO15&lt;=Condition!$E$16,0,IF(JO15&lt;=Condition!$F$16,Condition!$D$16,IF(JO15&lt;=Condition!$F$17,Condition!$D$17,IF(JO15&lt;=Condition!$F$18,Condition!$D$18,IF(JO15&gt;Condition!$E$19,Condition!$D$19,"")))))</f>
        <v>0</v>
      </c>
      <c r="JP58" s="85">
        <f>IF(JP15&lt;=Condition!$E$16,0,IF(JP15&lt;=Condition!$F$16,Condition!$D$16,IF(JP15&lt;=Condition!$F$17,Condition!$D$17,IF(JP15&lt;=Condition!$F$18,Condition!$D$18,IF(JP15&gt;Condition!$E$19,Condition!$D$19,"")))))</f>
        <v>0</v>
      </c>
      <c r="JQ58" s="85">
        <f>IF(JQ15&lt;=Condition!$E$16,0,IF(JQ15&lt;=Condition!$F$16,Condition!$D$16,IF(JQ15&lt;=Condition!$F$17,Condition!$D$17,IF(JQ15&lt;=Condition!$F$18,Condition!$D$18,IF(JQ15&gt;Condition!$E$19,Condition!$D$19,"")))))</f>
        <v>0</v>
      </c>
      <c r="JR58" s="85">
        <f>IF(JR15&lt;=Condition!$E$16,0,IF(JR15&lt;=Condition!$F$16,Condition!$D$16,IF(JR15&lt;=Condition!$F$17,Condition!$D$17,IF(JR15&lt;=Condition!$F$18,Condition!$D$18,IF(JR15&gt;Condition!$E$19,Condition!$D$19,"")))))</f>
        <v>0</v>
      </c>
      <c r="JS58" s="85">
        <f>IF(JS15&lt;=Condition!$E$16,0,IF(JS15&lt;=Condition!$F$16,Condition!$D$16,IF(JS15&lt;=Condition!$F$17,Condition!$D$17,IF(JS15&lt;=Condition!$F$18,Condition!$D$18,IF(JS15&gt;Condition!$E$19,Condition!$D$19,"")))))</f>
        <v>0</v>
      </c>
      <c r="JT58" s="85">
        <f>IF(JT15&lt;=Condition!$E$16,0,IF(JT15&lt;=Condition!$F$16,Condition!$D$16,IF(JT15&lt;=Condition!$F$17,Condition!$D$17,IF(JT15&lt;=Condition!$F$18,Condition!$D$18,IF(JT15&gt;Condition!$E$19,Condition!$D$19,"")))))</f>
        <v>0</v>
      </c>
      <c r="JU58" s="85">
        <f>IF(JU15&lt;=Condition!$E$16,0,IF(JU15&lt;=Condition!$F$16,Condition!$D$16,IF(JU15&lt;=Condition!$F$17,Condition!$D$17,IF(JU15&lt;=Condition!$F$18,Condition!$D$18,IF(JU15&gt;Condition!$E$19,Condition!$D$19,"")))))</f>
        <v>0</v>
      </c>
      <c r="JV58" s="85">
        <f>IF(JV15&lt;=Condition!$E$16,0,IF(JV15&lt;=Condition!$F$16,Condition!$D$16,IF(JV15&lt;=Condition!$F$17,Condition!$D$17,IF(JV15&lt;=Condition!$F$18,Condition!$D$18,IF(JV15&gt;Condition!$E$19,Condition!$D$19,"")))))</f>
        <v>0</v>
      </c>
      <c r="JW58" s="85">
        <f>IF(JW15&lt;=Condition!$E$16,0,IF(JW15&lt;=Condition!$F$16,Condition!$D$16,IF(JW15&lt;=Condition!$F$17,Condition!$D$17,IF(JW15&lt;=Condition!$F$18,Condition!$D$18,IF(JW15&gt;Condition!$E$19,Condition!$D$19,"")))))</f>
        <v>0</v>
      </c>
      <c r="JX58" s="85">
        <f>IF(JX15&lt;=Condition!$E$16,0,IF(JX15&lt;=Condition!$F$16,Condition!$D$16,IF(JX15&lt;=Condition!$F$17,Condition!$D$17,IF(JX15&lt;=Condition!$F$18,Condition!$D$18,IF(JX15&gt;Condition!$E$19,Condition!$D$19,"")))))</f>
        <v>0</v>
      </c>
      <c r="JY58" s="85">
        <f>IF(JY15&lt;=Condition!$E$16,0,IF(JY15&lt;=Condition!$F$16,Condition!$D$16,IF(JY15&lt;=Condition!$F$17,Condition!$D$17,IF(JY15&lt;=Condition!$F$18,Condition!$D$18,IF(JY15&gt;Condition!$E$19,Condition!$D$19,"")))))</f>
        <v>0</v>
      </c>
      <c r="JZ58" s="85">
        <f>IF(JZ15&lt;=Condition!$E$16,0,IF(JZ15&lt;=Condition!$F$16,Condition!$D$16,IF(JZ15&lt;=Condition!$F$17,Condition!$D$17,IF(JZ15&lt;=Condition!$F$18,Condition!$D$18,IF(JZ15&gt;Condition!$E$19,Condition!$D$19,"")))))</f>
        <v>0</v>
      </c>
      <c r="KA58" s="85">
        <f>IF(KA15&lt;=Condition!$E$16,0,IF(KA15&lt;=Condition!$F$16,Condition!$D$16,IF(KA15&lt;=Condition!$F$17,Condition!$D$17,IF(KA15&lt;=Condition!$F$18,Condition!$D$18,IF(KA15&gt;Condition!$E$19,Condition!$D$19,"")))))</f>
        <v>0</v>
      </c>
      <c r="KB58" s="85">
        <f>IF(KB15&lt;=Condition!$E$16,0,IF(KB15&lt;=Condition!$F$16,Condition!$D$16,IF(KB15&lt;=Condition!$F$17,Condition!$D$17,IF(KB15&lt;=Condition!$F$18,Condition!$D$18,IF(KB15&gt;Condition!$E$19,Condition!$D$19,"")))))</f>
        <v>0</v>
      </c>
      <c r="KC58" s="85">
        <f>IF(KC15&lt;=Condition!$E$16,0,IF(KC15&lt;=Condition!$F$16,Condition!$D$16,IF(KC15&lt;=Condition!$F$17,Condition!$D$17,IF(KC15&lt;=Condition!$F$18,Condition!$D$18,IF(KC15&gt;Condition!$E$19,Condition!$D$19,"")))))</f>
        <v>0</v>
      </c>
      <c r="KD58" s="85">
        <f>IF(KD15&lt;=Condition!$E$16,0,IF(KD15&lt;=Condition!$F$16,Condition!$D$16,IF(KD15&lt;=Condition!$F$17,Condition!$D$17,IF(KD15&lt;=Condition!$F$18,Condition!$D$18,IF(KD15&gt;Condition!$E$19,Condition!$D$19,"")))))</f>
        <v>0</v>
      </c>
      <c r="KE58" s="85">
        <f>IF(KE15&lt;=Condition!$E$16,0,IF(KE15&lt;=Condition!$F$16,Condition!$D$16,IF(KE15&lt;=Condition!$F$17,Condition!$D$17,IF(KE15&lt;=Condition!$F$18,Condition!$D$18,IF(KE15&gt;Condition!$E$19,Condition!$D$19,"")))))</f>
        <v>0</v>
      </c>
      <c r="KF58" s="85">
        <f>IF(KF15&lt;=Condition!$E$16,0,IF(KF15&lt;=Condition!$F$16,Condition!$D$16,IF(KF15&lt;=Condition!$F$17,Condition!$D$17,IF(KF15&lt;=Condition!$F$18,Condition!$D$18,IF(KF15&gt;Condition!$E$19,Condition!$D$19,"")))))</f>
        <v>0</v>
      </c>
      <c r="KG58" s="85">
        <f>IF(KG15&lt;=Condition!$E$16,0,IF(KG15&lt;=Condition!$F$16,Condition!$D$16,IF(KG15&lt;=Condition!$F$17,Condition!$D$17,IF(KG15&lt;=Condition!$F$18,Condition!$D$18,IF(KG15&gt;Condition!$E$19,Condition!$D$19,"")))))</f>
        <v>0</v>
      </c>
      <c r="KH58" s="85">
        <f>IF(KH15&lt;=Condition!$E$16,0,IF(KH15&lt;=Condition!$F$16,Condition!$D$16,IF(KH15&lt;=Condition!$F$17,Condition!$D$17,IF(KH15&lt;=Condition!$F$18,Condition!$D$18,IF(KH15&gt;Condition!$E$19,Condition!$D$19,"")))))</f>
        <v>0</v>
      </c>
      <c r="KI58" s="85">
        <f>IF(KI15&lt;=Condition!$E$16,0,IF(KI15&lt;=Condition!$F$16,Condition!$D$16,IF(KI15&lt;=Condition!$F$17,Condition!$D$17,IF(KI15&lt;=Condition!$F$18,Condition!$D$18,IF(KI15&gt;Condition!$E$19,Condition!$D$19,"")))))</f>
        <v>0</v>
      </c>
    </row>
    <row r="59" spans="2:295" x14ac:dyDescent="0.25">
      <c r="B59" s="15">
        <f t="shared" ref="B59:E59" si="14">B16</f>
        <v>4</v>
      </c>
      <c r="C59" s="25" t="str">
        <f t="shared" si="14"/>
        <v>DSL-DHK</v>
      </c>
      <c r="D59" s="25" t="str">
        <f t="shared" si="14"/>
        <v>Ashraful Islam</v>
      </c>
      <c r="E59" s="26">
        <f t="shared" si="14"/>
        <v>3003</v>
      </c>
      <c r="F59" s="112">
        <f t="shared" si="4"/>
        <v>5250</v>
      </c>
      <c r="G59" s="112">
        <f t="shared" si="5"/>
        <v>0</v>
      </c>
      <c r="H59" s="85">
        <f>IF(H16&lt;=Condition!$E$16,0,IF(H16&lt;=Condition!$F$16,Condition!$D$16,IF(H16&lt;=Condition!$F$17,Condition!$D$17,IF(H16&lt;=Condition!$F$18,Condition!$D$18,IF(H16&gt;Condition!$E$19,Condition!$D$19,"")))))</f>
        <v>400</v>
      </c>
      <c r="I59" s="85">
        <f>IF(I16&lt;=Condition!$E$16,0,IF(I16&lt;=Condition!$F$16,Condition!$D$16,IF(I16&lt;=Condition!$F$17,Condition!$D$17,IF(I16&lt;=Condition!$F$18,Condition!$D$18,IF(I16&gt;Condition!$E$19,Condition!$D$19,"")))))</f>
        <v>0</v>
      </c>
      <c r="J59" s="85">
        <f>IF(J16&lt;=Condition!$E$16,0,IF(J16&lt;=Condition!$F$16,Condition!$D$16,IF(J16&lt;=Condition!$F$17,Condition!$D$17,IF(J16&lt;=Condition!$F$18,Condition!$D$18,IF(J16&gt;Condition!$E$19,Condition!$D$19,"")))))</f>
        <v>500</v>
      </c>
      <c r="K59" s="85">
        <f>IF(K16&lt;=Condition!$E$16,0,IF(K16&lt;=Condition!$F$16,Condition!$D$16,IF(K16&lt;=Condition!$F$17,Condition!$D$17,IF(K16&lt;=Condition!$F$18,Condition!$D$18,IF(K16&gt;Condition!$E$19,Condition!$D$19,"")))))</f>
        <v>0</v>
      </c>
      <c r="L59" s="85">
        <f>IF(L16&lt;=Condition!$E$16,0,IF(L16&lt;=Condition!$F$16,Condition!$D$16,IF(L16&lt;=Condition!$F$17,Condition!$D$17,IF(L16&lt;=Condition!$F$18,Condition!$D$18,IF(L16&gt;Condition!$E$19,Condition!$D$19,"")))))</f>
        <v>500</v>
      </c>
      <c r="M59" s="85">
        <f>IF(M16&lt;=Condition!$E$16,0,IF(M16&lt;=Condition!$F$16,Condition!$D$16,IF(M16&lt;=Condition!$F$17,Condition!$D$17,IF(M16&lt;=Condition!$F$18,Condition!$D$18,IF(M16&gt;Condition!$E$19,Condition!$D$19,"")))))</f>
        <v>0</v>
      </c>
      <c r="N59" s="85">
        <f>IF(N16&lt;=Condition!$E$16,0,IF(N16&lt;=Condition!$F$16,Condition!$D$16,IF(N16&lt;=Condition!$F$17,Condition!$D$17,IF(N16&lt;=Condition!$F$18,Condition!$D$18,IF(N16&gt;Condition!$E$19,Condition!$D$19,"")))))</f>
        <v>400</v>
      </c>
      <c r="O59" s="85">
        <f>IF(O16&lt;=Condition!$E$16,0,IF(O16&lt;=Condition!$F$16,Condition!$D$16,IF(O16&lt;=Condition!$F$17,Condition!$D$17,IF(O16&lt;=Condition!$F$18,Condition!$D$18,IF(O16&gt;Condition!$E$19,Condition!$D$19,"")))))</f>
        <v>0</v>
      </c>
      <c r="P59" s="85">
        <f>IF(P16&lt;=Condition!$E$16,0,IF(P16&lt;=Condition!$F$16,Condition!$D$16,IF(P16&lt;=Condition!$F$17,Condition!$D$17,IF(P16&lt;=Condition!$F$18,Condition!$D$18,IF(P16&gt;Condition!$E$19,Condition!$D$19,"")))))</f>
        <v>500</v>
      </c>
      <c r="Q59" s="85">
        <f>IF(Q16&lt;=Condition!$E$16,0,IF(Q16&lt;=Condition!$F$16,Condition!$D$16,IF(Q16&lt;=Condition!$F$17,Condition!$D$17,IF(Q16&lt;=Condition!$F$18,Condition!$D$18,IF(Q16&gt;Condition!$E$19,Condition!$D$19,"")))))</f>
        <v>0</v>
      </c>
      <c r="R59" s="85">
        <f>IF(R16&lt;=Condition!$E$16,0,IF(R16&lt;=Condition!$F$16,Condition!$D$16,IF(R16&lt;=Condition!$F$17,Condition!$D$17,IF(R16&lt;=Condition!$F$18,Condition!$D$18,IF(R16&gt;Condition!$E$19,Condition!$D$19,"")))))</f>
        <v>500</v>
      </c>
      <c r="S59" s="85">
        <f>IF(S16&lt;=Condition!$E$16,0,IF(S16&lt;=Condition!$F$16,Condition!$D$16,IF(S16&lt;=Condition!$F$17,Condition!$D$17,IF(S16&lt;=Condition!$F$18,Condition!$D$18,IF(S16&gt;Condition!$E$19,Condition!$D$19,"")))))</f>
        <v>0</v>
      </c>
      <c r="T59" s="85">
        <f>IF(T16&lt;=Condition!$E$16,0,IF(T16&lt;=Condition!$F$16,Condition!$D$16,IF(T16&lt;=Condition!$F$17,Condition!$D$17,IF(T16&lt;=Condition!$F$18,Condition!$D$18,IF(T16&gt;Condition!$E$19,Condition!$D$19,"")))))</f>
        <v>400</v>
      </c>
      <c r="U59" s="85">
        <f>IF(U16&lt;=Condition!$E$16,0,IF(U16&lt;=Condition!$F$16,Condition!$D$16,IF(U16&lt;=Condition!$F$17,Condition!$D$17,IF(U16&lt;=Condition!$F$18,Condition!$D$18,IF(U16&gt;Condition!$E$19,Condition!$D$19,"")))))</f>
        <v>0</v>
      </c>
      <c r="V59" s="85">
        <f>IF(V16&lt;=Condition!$E$16,0,IF(V16&lt;=Condition!$F$16,Condition!$D$16,IF(V16&lt;=Condition!$F$17,Condition!$D$17,IF(V16&lt;=Condition!$F$18,Condition!$D$18,IF(V16&gt;Condition!$E$19,Condition!$D$19,"")))))</f>
        <v>150</v>
      </c>
      <c r="W59" s="85">
        <f>IF(W16&lt;=Condition!$E$16,0,IF(W16&lt;=Condition!$F$16,Condition!$D$16,IF(W16&lt;=Condition!$F$17,Condition!$D$17,IF(W16&lt;=Condition!$F$18,Condition!$D$18,IF(W16&gt;Condition!$E$19,Condition!$D$19,"")))))</f>
        <v>0</v>
      </c>
      <c r="X59" s="85">
        <f>IF(X16&lt;=Condition!$E$16,0,IF(X16&lt;=Condition!$F$16,Condition!$D$16,IF(X16&lt;=Condition!$F$17,Condition!$D$17,IF(X16&lt;=Condition!$F$18,Condition!$D$18,IF(X16&gt;Condition!$E$19,Condition!$D$19,"")))))</f>
        <v>300</v>
      </c>
      <c r="Y59" s="85">
        <f>IF(Y16&lt;=Condition!$E$16,0,IF(Y16&lt;=Condition!$F$16,Condition!$D$16,IF(Y16&lt;=Condition!$F$17,Condition!$D$17,IF(Y16&lt;=Condition!$F$18,Condition!$D$18,IF(Y16&gt;Condition!$E$19,Condition!$D$19,"")))))</f>
        <v>0</v>
      </c>
      <c r="Z59" s="85">
        <f>IF(Z16&lt;=Condition!$E$16,0,IF(Z16&lt;=Condition!$F$16,Condition!$D$16,IF(Z16&lt;=Condition!$F$17,Condition!$D$17,IF(Z16&lt;=Condition!$F$18,Condition!$D$18,IF(Z16&gt;Condition!$E$19,Condition!$D$19,"")))))</f>
        <v>300</v>
      </c>
      <c r="AA59" s="85">
        <f>IF(AA16&lt;=Condition!$E$16,0,IF(AA16&lt;=Condition!$F$16,Condition!$D$16,IF(AA16&lt;=Condition!$F$17,Condition!$D$17,IF(AA16&lt;=Condition!$F$18,Condition!$D$18,IF(AA16&gt;Condition!$E$19,Condition!$D$19,"")))))</f>
        <v>0</v>
      </c>
      <c r="AB59" s="85">
        <f>IF(AB16&lt;=Condition!$E$16,0,IF(AB16&lt;=Condition!$F$16,Condition!$D$16,IF(AB16&lt;=Condition!$F$17,Condition!$D$17,IF(AB16&lt;=Condition!$F$18,Condition!$D$18,IF(AB16&gt;Condition!$E$19,Condition!$D$19,"")))))</f>
        <v>150</v>
      </c>
      <c r="AC59" s="85">
        <f>IF(AC16&lt;=Condition!$E$16,0,IF(AC16&lt;=Condition!$F$16,Condition!$D$16,IF(AC16&lt;=Condition!$F$17,Condition!$D$17,IF(AC16&lt;=Condition!$F$18,Condition!$D$18,IF(AC16&gt;Condition!$E$19,Condition!$D$19,"")))))</f>
        <v>0</v>
      </c>
      <c r="AD59" s="85">
        <f>IF(AD16&lt;=Condition!$E$16,0,IF(AD16&lt;=Condition!$F$16,Condition!$D$16,IF(AD16&lt;=Condition!$F$17,Condition!$D$17,IF(AD16&lt;=Condition!$F$18,Condition!$D$18,IF(AD16&gt;Condition!$E$19,Condition!$D$19,"")))))</f>
        <v>150</v>
      </c>
      <c r="AE59" s="85">
        <f>IF(AE16&lt;=Condition!$E$16,0,IF(AE16&lt;=Condition!$F$16,Condition!$D$16,IF(AE16&lt;=Condition!$F$17,Condition!$D$17,IF(AE16&lt;=Condition!$F$18,Condition!$D$18,IF(AE16&gt;Condition!$E$19,Condition!$D$19,"")))))</f>
        <v>0</v>
      </c>
      <c r="AF59" s="85">
        <f>IF(AF16&lt;=Condition!$E$16,0,IF(AF16&lt;=Condition!$F$16,Condition!$D$16,IF(AF16&lt;=Condition!$F$17,Condition!$D$17,IF(AF16&lt;=Condition!$F$18,Condition!$D$18,IF(AF16&gt;Condition!$E$19,Condition!$D$19,"")))))</f>
        <v>300</v>
      </c>
      <c r="AG59" s="85">
        <f>IF(AG16&lt;=Condition!$E$16,0,IF(AG16&lt;=Condition!$F$16,Condition!$D$16,IF(AG16&lt;=Condition!$F$17,Condition!$D$17,IF(AG16&lt;=Condition!$F$18,Condition!$D$18,IF(AG16&gt;Condition!$E$19,Condition!$D$19,"")))))</f>
        <v>0</v>
      </c>
      <c r="AH59" s="85">
        <f>IF(AH16&lt;=Condition!$E$16,0,IF(AH16&lt;=Condition!$F$16,Condition!$D$16,IF(AH16&lt;=Condition!$F$17,Condition!$D$17,IF(AH16&lt;=Condition!$F$18,Condition!$D$18,IF(AH16&gt;Condition!$E$19,Condition!$D$19,"")))))</f>
        <v>300</v>
      </c>
      <c r="AI59" s="85">
        <f>IF(AI16&lt;=Condition!$E$16,0,IF(AI16&lt;=Condition!$F$16,Condition!$D$16,IF(AI16&lt;=Condition!$F$17,Condition!$D$17,IF(AI16&lt;=Condition!$F$18,Condition!$D$18,IF(AI16&gt;Condition!$E$19,Condition!$D$19,"")))))</f>
        <v>0</v>
      </c>
      <c r="AJ59" s="85">
        <f>IF(AJ16&lt;=Condition!$E$16,0,IF(AJ16&lt;=Condition!$F$16,Condition!$D$16,IF(AJ16&lt;=Condition!$F$17,Condition!$D$17,IF(AJ16&lt;=Condition!$F$18,Condition!$D$18,IF(AJ16&gt;Condition!$E$19,Condition!$D$19,"")))))</f>
        <v>400</v>
      </c>
      <c r="AK59" s="85">
        <f>IF(AK16&lt;=Condition!$E$16,0,IF(AK16&lt;=Condition!$F$16,Condition!$D$16,IF(AK16&lt;=Condition!$F$17,Condition!$D$17,IF(AK16&lt;=Condition!$F$18,Condition!$D$18,IF(AK16&gt;Condition!$E$19,Condition!$D$19,"")))))</f>
        <v>0</v>
      </c>
      <c r="AL59" s="85">
        <f>IF(AL16&lt;=Condition!$E$16,0,IF(AL16&lt;=Condition!$F$16,Condition!$D$16,IF(AL16&lt;=Condition!$F$17,Condition!$D$17,IF(AL16&lt;=Condition!$F$18,Condition!$D$18,IF(AL16&gt;Condition!$E$19,Condition!$D$19,"")))))</f>
        <v>0</v>
      </c>
      <c r="AM59" s="85">
        <f>IF(AM16&lt;=Condition!$E$16,0,IF(AM16&lt;=Condition!$F$16,Condition!$D$16,IF(AM16&lt;=Condition!$F$17,Condition!$D$17,IF(AM16&lt;=Condition!$F$18,Condition!$D$18,IF(AM16&gt;Condition!$E$19,Condition!$D$19,"")))))</f>
        <v>0</v>
      </c>
      <c r="AN59" s="85">
        <f>IF(AN16&lt;=Condition!$E$16,0,IF(AN16&lt;=Condition!$F$16,Condition!$D$16,IF(AN16&lt;=Condition!$F$17,Condition!$D$17,IF(AN16&lt;=Condition!$F$18,Condition!$D$18,IF(AN16&gt;Condition!$E$19,Condition!$D$19,"")))))</f>
        <v>0</v>
      </c>
      <c r="AO59" s="85">
        <f>IF(AO16&lt;=Condition!$E$16,0,IF(AO16&lt;=Condition!$F$16,Condition!$D$16,IF(AO16&lt;=Condition!$F$17,Condition!$D$17,IF(AO16&lt;=Condition!$F$18,Condition!$D$18,IF(AO16&gt;Condition!$E$19,Condition!$D$19,"")))))</f>
        <v>0</v>
      </c>
      <c r="AP59" s="85">
        <f>IF(AP16&lt;=Condition!$E$16,0,IF(AP16&lt;=Condition!$F$16,Condition!$D$16,IF(AP16&lt;=Condition!$F$17,Condition!$D$17,IF(AP16&lt;=Condition!$F$18,Condition!$D$18,IF(AP16&gt;Condition!$E$19,Condition!$D$19,"")))))</f>
        <v>0</v>
      </c>
      <c r="AQ59" s="85">
        <f>IF(AQ16&lt;=Condition!$E$16,0,IF(AQ16&lt;=Condition!$F$16,Condition!$D$16,IF(AQ16&lt;=Condition!$F$17,Condition!$D$17,IF(AQ16&lt;=Condition!$F$18,Condition!$D$18,IF(AQ16&gt;Condition!$E$19,Condition!$D$19,"")))))</f>
        <v>0</v>
      </c>
      <c r="AR59" s="85">
        <f>IF(AR16&lt;=Condition!$E$16,0,IF(AR16&lt;=Condition!$F$16,Condition!$D$16,IF(AR16&lt;=Condition!$F$17,Condition!$D$17,IF(AR16&lt;=Condition!$F$18,Condition!$D$18,IF(AR16&gt;Condition!$E$19,Condition!$D$19,"")))))</f>
        <v>0</v>
      </c>
      <c r="AS59" s="85">
        <f>IF(AS16&lt;=Condition!$E$16,0,IF(AS16&lt;=Condition!$F$16,Condition!$D$16,IF(AS16&lt;=Condition!$F$17,Condition!$D$17,IF(AS16&lt;=Condition!$F$18,Condition!$D$18,IF(AS16&gt;Condition!$E$19,Condition!$D$19,"")))))</f>
        <v>0</v>
      </c>
      <c r="AT59" s="85">
        <f>IF(AT16&lt;=Condition!$E$16,0,IF(AT16&lt;=Condition!$F$16,Condition!$D$16,IF(AT16&lt;=Condition!$F$17,Condition!$D$17,IF(AT16&lt;=Condition!$F$18,Condition!$D$18,IF(AT16&gt;Condition!$E$19,Condition!$D$19,"")))))</f>
        <v>0</v>
      </c>
      <c r="AU59" s="85">
        <f>IF(AU16&lt;=Condition!$E$16,0,IF(AU16&lt;=Condition!$F$16,Condition!$D$16,IF(AU16&lt;=Condition!$F$17,Condition!$D$17,IF(AU16&lt;=Condition!$F$18,Condition!$D$18,IF(AU16&gt;Condition!$E$19,Condition!$D$19,"")))))</f>
        <v>0</v>
      </c>
      <c r="AV59" s="85">
        <f>IF(AV16&lt;=Condition!$E$16,0,IF(AV16&lt;=Condition!$F$16,Condition!$D$16,IF(AV16&lt;=Condition!$F$17,Condition!$D$17,IF(AV16&lt;=Condition!$F$18,Condition!$D$18,IF(AV16&gt;Condition!$E$19,Condition!$D$19,"")))))</f>
        <v>0</v>
      </c>
      <c r="AW59" s="85">
        <f>IF(AW16&lt;=Condition!$E$16,0,IF(AW16&lt;=Condition!$F$16,Condition!$D$16,IF(AW16&lt;=Condition!$F$17,Condition!$D$17,IF(AW16&lt;=Condition!$F$18,Condition!$D$18,IF(AW16&gt;Condition!$E$19,Condition!$D$19,"")))))</f>
        <v>0</v>
      </c>
      <c r="AX59" s="85">
        <f>IF(AX16&lt;=Condition!$E$16,0,IF(AX16&lt;=Condition!$F$16,Condition!$D$16,IF(AX16&lt;=Condition!$F$17,Condition!$D$17,IF(AX16&lt;=Condition!$F$18,Condition!$D$18,IF(AX16&gt;Condition!$E$19,Condition!$D$19,"")))))</f>
        <v>0</v>
      </c>
      <c r="AY59" s="85">
        <f>IF(AY16&lt;=Condition!$E$16,0,IF(AY16&lt;=Condition!$F$16,Condition!$D$16,IF(AY16&lt;=Condition!$F$17,Condition!$D$17,IF(AY16&lt;=Condition!$F$18,Condition!$D$18,IF(AY16&gt;Condition!$E$19,Condition!$D$19,"")))))</f>
        <v>0</v>
      </c>
      <c r="AZ59" s="85">
        <f>IF(AZ16&lt;=Condition!$E$16,0,IF(AZ16&lt;=Condition!$F$16,Condition!$D$16,IF(AZ16&lt;=Condition!$F$17,Condition!$D$17,IF(AZ16&lt;=Condition!$F$18,Condition!$D$18,IF(AZ16&gt;Condition!$E$19,Condition!$D$19,"")))))</f>
        <v>0</v>
      </c>
      <c r="BA59" s="85">
        <f>IF(BA16&lt;=Condition!$E$16,0,IF(BA16&lt;=Condition!$F$16,Condition!$D$16,IF(BA16&lt;=Condition!$F$17,Condition!$D$17,IF(BA16&lt;=Condition!$F$18,Condition!$D$18,IF(BA16&gt;Condition!$E$19,Condition!$D$19,"")))))</f>
        <v>0</v>
      </c>
      <c r="BB59" s="85">
        <f>IF(BB16&lt;=Condition!$E$16,0,IF(BB16&lt;=Condition!$F$16,Condition!$D$16,IF(BB16&lt;=Condition!$F$17,Condition!$D$17,IF(BB16&lt;=Condition!$F$18,Condition!$D$18,IF(BB16&gt;Condition!$E$19,Condition!$D$19,"")))))</f>
        <v>0</v>
      </c>
      <c r="BC59" s="85">
        <f>IF(BC16&lt;=Condition!$E$16,0,IF(BC16&lt;=Condition!$F$16,Condition!$D$16,IF(BC16&lt;=Condition!$F$17,Condition!$D$17,IF(BC16&lt;=Condition!$F$18,Condition!$D$18,IF(BC16&gt;Condition!$E$19,Condition!$D$19,"")))))</f>
        <v>0</v>
      </c>
      <c r="BD59" s="85">
        <f>IF(BD16&lt;=Condition!$E$16,0,IF(BD16&lt;=Condition!$F$16,Condition!$D$16,IF(BD16&lt;=Condition!$F$17,Condition!$D$17,IF(BD16&lt;=Condition!$F$18,Condition!$D$18,IF(BD16&gt;Condition!$E$19,Condition!$D$19,"")))))</f>
        <v>0</v>
      </c>
      <c r="BE59" s="85">
        <f>IF(BE16&lt;=Condition!$E$16,0,IF(BE16&lt;=Condition!$F$16,Condition!$D$16,IF(BE16&lt;=Condition!$F$17,Condition!$D$17,IF(BE16&lt;=Condition!$F$18,Condition!$D$18,IF(BE16&gt;Condition!$E$19,Condition!$D$19,"")))))</f>
        <v>0</v>
      </c>
      <c r="BF59" s="85">
        <f>IF(BF16&lt;=Condition!$E$16,0,IF(BF16&lt;=Condition!$F$16,Condition!$D$16,IF(BF16&lt;=Condition!$F$17,Condition!$D$17,IF(BF16&lt;=Condition!$F$18,Condition!$D$18,IF(BF16&gt;Condition!$E$19,Condition!$D$19,"")))))</f>
        <v>0</v>
      </c>
      <c r="BG59" s="85">
        <f>IF(BG16&lt;=Condition!$E$16,0,IF(BG16&lt;=Condition!$F$16,Condition!$D$16,IF(BG16&lt;=Condition!$F$17,Condition!$D$17,IF(BG16&lt;=Condition!$F$18,Condition!$D$18,IF(BG16&gt;Condition!$E$19,Condition!$D$19,"")))))</f>
        <v>0</v>
      </c>
      <c r="BH59" s="85">
        <f>IF(BH16&lt;=Condition!$E$16,0,IF(BH16&lt;=Condition!$F$16,Condition!$D$16,IF(BH16&lt;=Condition!$F$17,Condition!$D$17,IF(BH16&lt;=Condition!$F$18,Condition!$D$18,IF(BH16&gt;Condition!$E$19,Condition!$D$19,"")))))</f>
        <v>0</v>
      </c>
      <c r="BI59" s="85">
        <f>IF(BI16&lt;=Condition!$E$16,0,IF(BI16&lt;=Condition!$F$16,Condition!$D$16,IF(BI16&lt;=Condition!$F$17,Condition!$D$17,IF(BI16&lt;=Condition!$F$18,Condition!$D$18,IF(BI16&gt;Condition!$E$19,Condition!$D$19,"")))))</f>
        <v>0</v>
      </c>
      <c r="BJ59" s="85">
        <f>IF(BJ16&lt;=Condition!$E$16,0,IF(BJ16&lt;=Condition!$F$16,Condition!$D$16,IF(BJ16&lt;=Condition!$F$17,Condition!$D$17,IF(BJ16&lt;=Condition!$F$18,Condition!$D$18,IF(BJ16&gt;Condition!$E$19,Condition!$D$19,"")))))</f>
        <v>0</v>
      </c>
      <c r="BK59" s="85">
        <f>IF(BK16&lt;=Condition!$E$16,0,IF(BK16&lt;=Condition!$F$16,Condition!$D$16,IF(BK16&lt;=Condition!$F$17,Condition!$D$17,IF(BK16&lt;=Condition!$F$18,Condition!$D$18,IF(BK16&gt;Condition!$E$19,Condition!$D$19,"")))))</f>
        <v>0</v>
      </c>
      <c r="BL59" s="85">
        <f>IF(BL16&lt;=Condition!$E$16,0,IF(BL16&lt;=Condition!$F$16,Condition!$D$16,IF(BL16&lt;=Condition!$F$17,Condition!$D$17,IF(BL16&lt;=Condition!$F$18,Condition!$D$18,IF(BL16&gt;Condition!$E$19,Condition!$D$19,"")))))</f>
        <v>0</v>
      </c>
      <c r="BM59" s="85">
        <f>IF(BM16&lt;=Condition!$E$16,0,IF(BM16&lt;=Condition!$F$16,Condition!$D$16,IF(BM16&lt;=Condition!$F$17,Condition!$D$17,IF(BM16&lt;=Condition!$F$18,Condition!$D$18,IF(BM16&gt;Condition!$E$19,Condition!$D$19,"")))))</f>
        <v>0</v>
      </c>
      <c r="BN59" s="85">
        <f>IF(BN16&lt;=Condition!$E$16,0,IF(BN16&lt;=Condition!$F$16,Condition!$D$16,IF(BN16&lt;=Condition!$F$17,Condition!$D$17,IF(BN16&lt;=Condition!$F$18,Condition!$D$18,IF(BN16&gt;Condition!$E$19,Condition!$D$19,"")))))</f>
        <v>0</v>
      </c>
      <c r="BO59" s="85">
        <f>IF(BO16&lt;=Condition!$E$16,0,IF(BO16&lt;=Condition!$F$16,Condition!$D$16,IF(BO16&lt;=Condition!$F$17,Condition!$D$17,IF(BO16&lt;=Condition!$F$18,Condition!$D$18,IF(BO16&gt;Condition!$E$19,Condition!$D$19,"")))))</f>
        <v>0</v>
      </c>
      <c r="BP59" s="85">
        <f>IF(BP16&lt;=Condition!$E$16,0,IF(BP16&lt;=Condition!$F$16,Condition!$D$16,IF(BP16&lt;=Condition!$F$17,Condition!$D$17,IF(BP16&lt;=Condition!$F$18,Condition!$D$18,IF(BP16&gt;Condition!$E$19,Condition!$D$19,"")))))</f>
        <v>0</v>
      </c>
      <c r="BQ59" s="85">
        <f>IF(BQ16&lt;=Condition!$E$16,0,IF(BQ16&lt;=Condition!$F$16,Condition!$D$16,IF(BQ16&lt;=Condition!$F$17,Condition!$D$17,IF(BQ16&lt;=Condition!$F$18,Condition!$D$18,IF(BQ16&gt;Condition!$E$19,Condition!$D$19,"")))))</f>
        <v>0</v>
      </c>
      <c r="BR59" s="85">
        <f>IF(BR16&lt;=Condition!$E$16,0,IF(BR16&lt;=Condition!$F$16,Condition!$D$16,IF(BR16&lt;=Condition!$F$17,Condition!$D$17,IF(BR16&lt;=Condition!$F$18,Condition!$D$18,IF(BR16&gt;Condition!$E$19,Condition!$D$19,"")))))</f>
        <v>0</v>
      </c>
      <c r="BS59" s="85">
        <f>IF(BS16&lt;=Condition!$E$16,0,IF(BS16&lt;=Condition!$F$16,Condition!$D$16,IF(BS16&lt;=Condition!$F$17,Condition!$D$17,IF(BS16&lt;=Condition!$F$18,Condition!$D$18,IF(BS16&gt;Condition!$E$19,Condition!$D$19,"")))))</f>
        <v>0</v>
      </c>
      <c r="BT59" s="85">
        <f>IF(BT16&lt;=Condition!$E$16,0,IF(BT16&lt;=Condition!$F$16,Condition!$D$16,IF(BT16&lt;=Condition!$F$17,Condition!$D$17,IF(BT16&lt;=Condition!$F$18,Condition!$D$18,IF(BT16&gt;Condition!$E$19,Condition!$D$19,"")))))</f>
        <v>0</v>
      </c>
      <c r="BU59" s="85">
        <f>IF(BU16&lt;=Condition!$E$16,0,IF(BU16&lt;=Condition!$F$16,Condition!$D$16,IF(BU16&lt;=Condition!$F$17,Condition!$D$17,IF(BU16&lt;=Condition!$F$18,Condition!$D$18,IF(BU16&gt;Condition!$E$19,Condition!$D$19,"")))))</f>
        <v>0</v>
      </c>
      <c r="BV59" s="85">
        <f>IF(BV16&lt;=Condition!$E$16,0,IF(BV16&lt;=Condition!$F$16,Condition!$D$16,IF(BV16&lt;=Condition!$F$17,Condition!$D$17,IF(BV16&lt;=Condition!$F$18,Condition!$D$18,IF(BV16&gt;Condition!$E$19,Condition!$D$19,"")))))</f>
        <v>0</v>
      </c>
      <c r="BW59" s="85">
        <f>IF(BW16&lt;=Condition!$E$16,0,IF(BW16&lt;=Condition!$F$16,Condition!$D$16,IF(BW16&lt;=Condition!$F$17,Condition!$D$17,IF(BW16&lt;=Condition!$F$18,Condition!$D$18,IF(BW16&gt;Condition!$E$19,Condition!$D$19,"")))))</f>
        <v>0</v>
      </c>
      <c r="BX59" s="85">
        <f>IF(BX16&lt;=Condition!$E$16,0,IF(BX16&lt;=Condition!$F$16,Condition!$D$16,IF(BX16&lt;=Condition!$F$17,Condition!$D$17,IF(BX16&lt;=Condition!$F$18,Condition!$D$18,IF(BX16&gt;Condition!$E$19,Condition!$D$19,"")))))</f>
        <v>0</v>
      </c>
      <c r="BY59" s="85">
        <f>IF(BY16&lt;=Condition!$E$16,0,IF(BY16&lt;=Condition!$F$16,Condition!$D$16,IF(BY16&lt;=Condition!$F$17,Condition!$D$17,IF(BY16&lt;=Condition!$F$18,Condition!$D$18,IF(BY16&gt;Condition!$E$19,Condition!$D$19,"")))))</f>
        <v>0</v>
      </c>
      <c r="BZ59" s="85">
        <f>IF(BZ16&lt;=Condition!$E$16,0,IF(BZ16&lt;=Condition!$F$16,Condition!$D$16,IF(BZ16&lt;=Condition!$F$17,Condition!$D$17,IF(BZ16&lt;=Condition!$F$18,Condition!$D$18,IF(BZ16&gt;Condition!$E$19,Condition!$D$19,"")))))</f>
        <v>0</v>
      </c>
      <c r="CA59" s="85">
        <f>IF(CA16&lt;=Condition!$E$16,0,IF(CA16&lt;=Condition!$F$16,Condition!$D$16,IF(CA16&lt;=Condition!$F$17,Condition!$D$17,IF(CA16&lt;=Condition!$F$18,Condition!$D$18,IF(CA16&gt;Condition!$E$19,Condition!$D$19,"")))))</f>
        <v>0</v>
      </c>
      <c r="CB59" s="85">
        <f>IF(CB16&lt;=Condition!$E$16,0,IF(CB16&lt;=Condition!$F$16,Condition!$D$16,IF(CB16&lt;=Condition!$F$17,Condition!$D$17,IF(CB16&lt;=Condition!$F$18,Condition!$D$18,IF(CB16&gt;Condition!$E$19,Condition!$D$19,"")))))</f>
        <v>0</v>
      </c>
      <c r="CC59" s="85">
        <f>IF(CC16&lt;=Condition!$E$16,0,IF(CC16&lt;=Condition!$F$16,Condition!$D$16,IF(CC16&lt;=Condition!$F$17,Condition!$D$17,IF(CC16&lt;=Condition!$F$18,Condition!$D$18,IF(CC16&gt;Condition!$E$19,Condition!$D$19,"")))))</f>
        <v>0</v>
      </c>
      <c r="CD59" s="85">
        <f>IF(CD16&lt;=Condition!$E$16,0,IF(CD16&lt;=Condition!$F$16,Condition!$D$16,IF(CD16&lt;=Condition!$F$17,Condition!$D$17,IF(CD16&lt;=Condition!$F$18,Condition!$D$18,IF(CD16&gt;Condition!$E$19,Condition!$D$19,"")))))</f>
        <v>0</v>
      </c>
      <c r="CE59" s="85">
        <f>IF(CE16&lt;=Condition!$E$16,0,IF(CE16&lt;=Condition!$F$16,Condition!$D$16,IF(CE16&lt;=Condition!$F$17,Condition!$D$17,IF(CE16&lt;=Condition!$F$18,Condition!$D$18,IF(CE16&gt;Condition!$E$19,Condition!$D$19,"")))))</f>
        <v>0</v>
      </c>
      <c r="CF59" s="85">
        <f>IF(CF16&lt;=Condition!$E$16,0,IF(CF16&lt;=Condition!$F$16,Condition!$D$16,IF(CF16&lt;=Condition!$F$17,Condition!$D$17,IF(CF16&lt;=Condition!$F$18,Condition!$D$18,IF(CF16&gt;Condition!$E$19,Condition!$D$19,"")))))</f>
        <v>0</v>
      </c>
      <c r="CG59" s="85">
        <f>IF(CG16&lt;=Condition!$E$16,0,IF(CG16&lt;=Condition!$F$16,Condition!$D$16,IF(CG16&lt;=Condition!$F$17,Condition!$D$17,IF(CG16&lt;=Condition!$F$18,Condition!$D$18,IF(CG16&gt;Condition!$E$19,Condition!$D$19,"")))))</f>
        <v>0</v>
      </c>
      <c r="CH59" s="85">
        <f>IF(CH16&lt;=Condition!$E$16,0,IF(CH16&lt;=Condition!$F$16,Condition!$D$16,IF(CH16&lt;=Condition!$F$17,Condition!$D$17,IF(CH16&lt;=Condition!$F$18,Condition!$D$18,IF(CH16&gt;Condition!$E$19,Condition!$D$19,"")))))</f>
        <v>0</v>
      </c>
      <c r="CI59" s="85">
        <f>IF(CI16&lt;=Condition!$E$16,0,IF(CI16&lt;=Condition!$F$16,Condition!$D$16,IF(CI16&lt;=Condition!$F$17,Condition!$D$17,IF(CI16&lt;=Condition!$F$18,Condition!$D$18,IF(CI16&gt;Condition!$E$19,Condition!$D$19,"")))))</f>
        <v>0</v>
      </c>
      <c r="CJ59" s="85">
        <f>IF(CJ16&lt;=Condition!$E$16,0,IF(CJ16&lt;=Condition!$F$16,Condition!$D$16,IF(CJ16&lt;=Condition!$F$17,Condition!$D$17,IF(CJ16&lt;=Condition!$F$18,Condition!$D$18,IF(CJ16&gt;Condition!$E$19,Condition!$D$19,"")))))</f>
        <v>0</v>
      </c>
      <c r="CK59" s="85">
        <f>IF(CK16&lt;=Condition!$E$16,0,IF(CK16&lt;=Condition!$F$16,Condition!$D$16,IF(CK16&lt;=Condition!$F$17,Condition!$D$17,IF(CK16&lt;=Condition!$F$18,Condition!$D$18,IF(CK16&gt;Condition!$E$19,Condition!$D$19,"")))))</f>
        <v>0</v>
      </c>
      <c r="CL59" s="85">
        <f>IF(CL16&lt;=Condition!$E$16,0,IF(CL16&lt;=Condition!$F$16,Condition!$D$16,IF(CL16&lt;=Condition!$F$17,Condition!$D$17,IF(CL16&lt;=Condition!$F$18,Condition!$D$18,IF(CL16&gt;Condition!$E$19,Condition!$D$19,"")))))</f>
        <v>0</v>
      </c>
      <c r="CM59" s="85">
        <f>IF(CM16&lt;=Condition!$E$16,0,IF(CM16&lt;=Condition!$F$16,Condition!$D$16,IF(CM16&lt;=Condition!$F$17,Condition!$D$17,IF(CM16&lt;=Condition!$F$18,Condition!$D$18,IF(CM16&gt;Condition!$E$19,Condition!$D$19,"")))))</f>
        <v>0</v>
      </c>
      <c r="CN59" s="85">
        <f>IF(CN16&lt;=Condition!$E$16,0,IF(CN16&lt;=Condition!$F$16,Condition!$D$16,IF(CN16&lt;=Condition!$F$17,Condition!$D$17,IF(CN16&lt;=Condition!$F$18,Condition!$D$18,IF(CN16&gt;Condition!$E$19,Condition!$D$19,"")))))</f>
        <v>0</v>
      </c>
      <c r="CO59" s="85">
        <f>IF(CO16&lt;=Condition!$E$16,0,IF(CO16&lt;=Condition!$F$16,Condition!$D$16,IF(CO16&lt;=Condition!$F$17,Condition!$D$17,IF(CO16&lt;=Condition!$F$18,Condition!$D$18,IF(CO16&gt;Condition!$E$19,Condition!$D$19,"")))))</f>
        <v>0</v>
      </c>
      <c r="CP59" s="85">
        <f>IF(CP16&lt;=Condition!$E$16,0,IF(CP16&lt;=Condition!$F$16,Condition!$D$16,IF(CP16&lt;=Condition!$F$17,Condition!$D$17,IF(CP16&lt;=Condition!$F$18,Condition!$D$18,IF(CP16&gt;Condition!$E$19,Condition!$D$19,"")))))</f>
        <v>0</v>
      </c>
      <c r="CQ59" s="85">
        <f>IF(CQ16&lt;=Condition!$E$16,0,IF(CQ16&lt;=Condition!$F$16,Condition!$D$16,IF(CQ16&lt;=Condition!$F$17,Condition!$D$17,IF(CQ16&lt;=Condition!$F$18,Condition!$D$18,IF(CQ16&gt;Condition!$E$19,Condition!$D$19,"")))))</f>
        <v>0</v>
      </c>
      <c r="CR59" s="85">
        <f>IF(CR16&lt;=Condition!$E$16,0,IF(CR16&lt;=Condition!$F$16,Condition!$D$16,IF(CR16&lt;=Condition!$F$17,Condition!$D$17,IF(CR16&lt;=Condition!$F$18,Condition!$D$18,IF(CR16&gt;Condition!$E$19,Condition!$D$19,"")))))</f>
        <v>0</v>
      </c>
      <c r="CS59" s="85">
        <f>IF(CS16&lt;=Condition!$E$16,0,IF(CS16&lt;=Condition!$F$16,Condition!$D$16,IF(CS16&lt;=Condition!$F$17,Condition!$D$17,IF(CS16&lt;=Condition!$F$18,Condition!$D$18,IF(CS16&gt;Condition!$E$19,Condition!$D$19,"")))))</f>
        <v>0</v>
      </c>
      <c r="CT59" s="85">
        <f>IF(CT16&lt;=Condition!$E$16,0,IF(CT16&lt;=Condition!$F$16,Condition!$D$16,IF(CT16&lt;=Condition!$F$17,Condition!$D$17,IF(CT16&lt;=Condition!$F$18,Condition!$D$18,IF(CT16&gt;Condition!$E$19,Condition!$D$19,"")))))</f>
        <v>0</v>
      </c>
      <c r="CU59" s="85">
        <f>IF(CU16&lt;=Condition!$E$16,0,IF(CU16&lt;=Condition!$F$16,Condition!$D$16,IF(CU16&lt;=Condition!$F$17,Condition!$D$17,IF(CU16&lt;=Condition!$F$18,Condition!$D$18,IF(CU16&gt;Condition!$E$19,Condition!$D$19,"")))))</f>
        <v>0</v>
      </c>
      <c r="CV59" s="85">
        <f>IF(CV16&lt;=Condition!$E$16,0,IF(CV16&lt;=Condition!$F$16,Condition!$D$16,IF(CV16&lt;=Condition!$F$17,Condition!$D$17,IF(CV16&lt;=Condition!$F$18,Condition!$D$18,IF(CV16&gt;Condition!$E$19,Condition!$D$19,"")))))</f>
        <v>0</v>
      </c>
      <c r="CW59" s="85">
        <f>IF(CW16&lt;=Condition!$E$16,0,IF(CW16&lt;=Condition!$F$16,Condition!$D$16,IF(CW16&lt;=Condition!$F$17,Condition!$D$17,IF(CW16&lt;=Condition!$F$18,Condition!$D$18,IF(CW16&gt;Condition!$E$19,Condition!$D$19,"")))))</f>
        <v>0</v>
      </c>
      <c r="CX59" s="85">
        <f>IF(CX16&lt;=Condition!$E$16,0,IF(CX16&lt;=Condition!$F$16,Condition!$D$16,IF(CX16&lt;=Condition!$F$17,Condition!$D$17,IF(CX16&lt;=Condition!$F$18,Condition!$D$18,IF(CX16&gt;Condition!$E$19,Condition!$D$19,"")))))</f>
        <v>0</v>
      </c>
      <c r="CY59" s="85">
        <f>IF(CY16&lt;=Condition!$E$16,0,IF(CY16&lt;=Condition!$F$16,Condition!$D$16,IF(CY16&lt;=Condition!$F$17,Condition!$D$17,IF(CY16&lt;=Condition!$F$18,Condition!$D$18,IF(CY16&gt;Condition!$E$19,Condition!$D$19,"")))))</f>
        <v>0</v>
      </c>
      <c r="CZ59" s="85">
        <f>IF(CZ16&lt;=Condition!$E$16,0,IF(CZ16&lt;=Condition!$F$16,Condition!$D$16,IF(CZ16&lt;=Condition!$F$17,Condition!$D$17,IF(CZ16&lt;=Condition!$F$18,Condition!$D$18,IF(CZ16&gt;Condition!$E$19,Condition!$D$19,"")))))</f>
        <v>0</v>
      </c>
      <c r="DA59" s="85">
        <f>IF(DA16&lt;=Condition!$E$16,0,IF(DA16&lt;=Condition!$F$16,Condition!$D$16,IF(DA16&lt;=Condition!$F$17,Condition!$D$17,IF(DA16&lt;=Condition!$F$18,Condition!$D$18,IF(DA16&gt;Condition!$E$19,Condition!$D$19,"")))))</f>
        <v>0</v>
      </c>
      <c r="DB59" s="85">
        <f>IF(DB16&lt;=Condition!$E$16,0,IF(DB16&lt;=Condition!$F$16,Condition!$D$16,IF(DB16&lt;=Condition!$F$17,Condition!$D$17,IF(DB16&lt;=Condition!$F$18,Condition!$D$18,IF(DB16&gt;Condition!$E$19,Condition!$D$19,"")))))</f>
        <v>0</v>
      </c>
      <c r="DC59" s="85">
        <f>IF(DC16&lt;=Condition!$E$16,0,IF(DC16&lt;=Condition!$F$16,Condition!$D$16,IF(DC16&lt;=Condition!$F$17,Condition!$D$17,IF(DC16&lt;=Condition!$F$18,Condition!$D$18,IF(DC16&gt;Condition!$E$19,Condition!$D$19,"")))))</f>
        <v>0</v>
      </c>
      <c r="DD59" s="85">
        <f>IF(DD16&lt;=Condition!$E$16,0,IF(DD16&lt;=Condition!$F$16,Condition!$D$16,IF(DD16&lt;=Condition!$F$17,Condition!$D$17,IF(DD16&lt;=Condition!$F$18,Condition!$D$18,IF(DD16&gt;Condition!$E$19,Condition!$D$19,"")))))</f>
        <v>0</v>
      </c>
      <c r="DE59" s="85">
        <f>IF(DE16&lt;=Condition!$E$16,0,IF(DE16&lt;=Condition!$F$16,Condition!$D$16,IF(DE16&lt;=Condition!$F$17,Condition!$D$17,IF(DE16&lt;=Condition!$F$18,Condition!$D$18,IF(DE16&gt;Condition!$E$19,Condition!$D$19,"")))))</f>
        <v>0</v>
      </c>
      <c r="DF59" s="85">
        <f>IF(DF16&lt;=Condition!$E$16,0,IF(DF16&lt;=Condition!$F$16,Condition!$D$16,IF(DF16&lt;=Condition!$F$17,Condition!$D$17,IF(DF16&lt;=Condition!$F$18,Condition!$D$18,IF(DF16&gt;Condition!$E$19,Condition!$D$19,"")))))</f>
        <v>0</v>
      </c>
      <c r="DG59" s="85">
        <f>IF(DG16&lt;=Condition!$E$16,0,IF(DG16&lt;=Condition!$F$16,Condition!$D$16,IF(DG16&lt;=Condition!$F$17,Condition!$D$17,IF(DG16&lt;=Condition!$F$18,Condition!$D$18,IF(DG16&gt;Condition!$E$19,Condition!$D$19,"")))))</f>
        <v>0</v>
      </c>
      <c r="DH59" s="85">
        <f>IF(DH16&lt;=Condition!$E$16,0,IF(DH16&lt;=Condition!$F$16,Condition!$D$16,IF(DH16&lt;=Condition!$F$17,Condition!$D$17,IF(DH16&lt;=Condition!$F$18,Condition!$D$18,IF(DH16&gt;Condition!$E$19,Condition!$D$19,"")))))</f>
        <v>0</v>
      </c>
      <c r="DI59" s="85">
        <f>IF(DI16&lt;=Condition!$E$16,0,IF(DI16&lt;=Condition!$F$16,Condition!$D$16,IF(DI16&lt;=Condition!$F$17,Condition!$D$17,IF(DI16&lt;=Condition!$F$18,Condition!$D$18,IF(DI16&gt;Condition!$E$19,Condition!$D$19,"")))))</f>
        <v>0</v>
      </c>
      <c r="DJ59" s="85">
        <f>IF(DJ16&lt;=Condition!$E$16,0,IF(DJ16&lt;=Condition!$F$16,Condition!$D$16,IF(DJ16&lt;=Condition!$F$17,Condition!$D$17,IF(DJ16&lt;=Condition!$F$18,Condition!$D$18,IF(DJ16&gt;Condition!$E$19,Condition!$D$19,"")))))</f>
        <v>0</v>
      </c>
      <c r="DK59" s="85">
        <f>IF(DK16&lt;=Condition!$E$16,0,IF(DK16&lt;=Condition!$F$16,Condition!$D$16,IF(DK16&lt;=Condition!$F$17,Condition!$D$17,IF(DK16&lt;=Condition!$F$18,Condition!$D$18,IF(DK16&gt;Condition!$E$19,Condition!$D$19,"")))))</f>
        <v>0</v>
      </c>
      <c r="DL59" s="85">
        <f>IF(DL16&lt;=Condition!$E$16,0,IF(DL16&lt;=Condition!$F$16,Condition!$D$16,IF(DL16&lt;=Condition!$F$17,Condition!$D$17,IF(DL16&lt;=Condition!$F$18,Condition!$D$18,IF(DL16&gt;Condition!$E$19,Condition!$D$19,"")))))</f>
        <v>0</v>
      </c>
      <c r="DM59" s="85">
        <f>IF(DM16&lt;=Condition!$E$16,0,IF(DM16&lt;=Condition!$F$16,Condition!$D$16,IF(DM16&lt;=Condition!$F$17,Condition!$D$17,IF(DM16&lt;=Condition!$F$18,Condition!$D$18,IF(DM16&gt;Condition!$E$19,Condition!$D$19,"")))))</f>
        <v>0</v>
      </c>
      <c r="DN59" s="85">
        <f>IF(DN16&lt;=Condition!$E$16,0,IF(DN16&lt;=Condition!$F$16,Condition!$D$16,IF(DN16&lt;=Condition!$F$17,Condition!$D$17,IF(DN16&lt;=Condition!$F$18,Condition!$D$18,IF(DN16&gt;Condition!$E$19,Condition!$D$19,"")))))</f>
        <v>0</v>
      </c>
      <c r="DO59" s="85">
        <f>IF(DO16&lt;=Condition!$E$16,0,IF(DO16&lt;=Condition!$F$16,Condition!$D$16,IF(DO16&lt;=Condition!$F$17,Condition!$D$17,IF(DO16&lt;=Condition!$F$18,Condition!$D$18,IF(DO16&gt;Condition!$E$19,Condition!$D$19,"")))))</f>
        <v>0</v>
      </c>
      <c r="DP59" s="85">
        <f>IF(DP16&lt;=Condition!$E$16,0,IF(DP16&lt;=Condition!$F$16,Condition!$D$16,IF(DP16&lt;=Condition!$F$17,Condition!$D$17,IF(DP16&lt;=Condition!$F$18,Condition!$D$18,IF(DP16&gt;Condition!$E$19,Condition!$D$19,"")))))</f>
        <v>0</v>
      </c>
      <c r="DQ59" s="85">
        <f>IF(DQ16&lt;=Condition!$E$16,0,IF(DQ16&lt;=Condition!$F$16,Condition!$D$16,IF(DQ16&lt;=Condition!$F$17,Condition!$D$17,IF(DQ16&lt;=Condition!$F$18,Condition!$D$18,IF(DQ16&gt;Condition!$E$19,Condition!$D$19,"")))))</f>
        <v>0</v>
      </c>
      <c r="DR59" s="85">
        <f>IF(DR16&lt;=Condition!$E$16,0,IF(DR16&lt;=Condition!$F$16,Condition!$D$16,IF(DR16&lt;=Condition!$F$17,Condition!$D$17,IF(DR16&lt;=Condition!$F$18,Condition!$D$18,IF(DR16&gt;Condition!$E$19,Condition!$D$19,"")))))</f>
        <v>0</v>
      </c>
      <c r="DS59" s="85">
        <f>IF(DS16&lt;=Condition!$E$16,0,IF(DS16&lt;=Condition!$F$16,Condition!$D$16,IF(DS16&lt;=Condition!$F$17,Condition!$D$17,IF(DS16&lt;=Condition!$F$18,Condition!$D$18,IF(DS16&gt;Condition!$E$19,Condition!$D$19,"")))))</f>
        <v>0</v>
      </c>
      <c r="DT59" s="85">
        <f>IF(DT16&lt;=Condition!$E$16,0,IF(DT16&lt;=Condition!$F$16,Condition!$D$16,IF(DT16&lt;=Condition!$F$17,Condition!$D$17,IF(DT16&lt;=Condition!$F$18,Condition!$D$18,IF(DT16&gt;Condition!$E$19,Condition!$D$19,"")))))</f>
        <v>0</v>
      </c>
      <c r="DU59" s="85">
        <f>IF(DU16&lt;=Condition!$E$16,0,IF(DU16&lt;=Condition!$F$16,Condition!$D$16,IF(DU16&lt;=Condition!$F$17,Condition!$D$17,IF(DU16&lt;=Condition!$F$18,Condition!$D$18,IF(DU16&gt;Condition!$E$19,Condition!$D$19,"")))))</f>
        <v>0</v>
      </c>
      <c r="DV59" s="85">
        <f>IF(DV16&lt;=Condition!$E$16,0,IF(DV16&lt;=Condition!$F$16,Condition!$D$16,IF(DV16&lt;=Condition!$F$17,Condition!$D$17,IF(DV16&lt;=Condition!$F$18,Condition!$D$18,IF(DV16&gt;Condition!$E$19,Condition!$D$19,"")))))</f>
        <v>0</v>
      </c>
      <c r="DW59" s="85">
        <f>IF(DW16&lt;=Condition!$E$16,0,IF(DW16&lt;=Condition!$F$16,Condition!$D$16,IF(DW16&lt;=Condition!$F$17,Condition!$D$17,IF(DW16&lt;=Condition!$F$18,Condition!$D$18,IF(DW16&gt;Condition!$E$19,Condition!$D$19,"")))))</f>
        <v>0</v>
      </c>
      <c r="DX59" s="85">
        <f>IF(DX16&lt;=Condition!$E$16,0,IF(DX16&lt;=Condition!$F$16,Condition!$D$16,IF(DX16&lt;=Condition!$F$17,Condition!$D$17,IF(DX16&lt;=Condition!$F$18,Condition!$D$18,IF(DX16&gt;Condition!$E$19,Condition!$D$19,"")))))</f>
        <v>0</v>
      </c>
      <c r="DY59" s="85">
        <f>IF(DY16&lt;=Condition!$E$16,0,IF(DY16&lt;=Condition!$F$16,Condition!$D$16,IF(DY16&lt;=Condition!$F$17,Condition!$D$17,IF(DY16&lt;=Condition!$F$18,Condition!$D$18,IF(DY16&gt;Condition!$E$19,Condition!$D$19,"")))))</f>
        <v>0</v>
      </c>
      <c r="DZ59" s="85">
        <f>IF(DZ16&lt;=Condition!$E$16,0,IF(DZ16&lt;=Condition!$F$16,Condition!$D$16,IF(DZ16&lt;=Condition!$F$17,Condition!$D$17,IF(DZ16&lt;=Condition!$F$18,Condition!$D$18,IF(DZ16&gt;Condition!$E$19,Condition!$D$19,"")))))</f>
        <v>0</v>
      </c>
      <c r="EA59" s="85">
        <f>IF(EA16&lt;=Condition!$E$16,0,IF(EA16&lt;=Condition!$F$16,Condition!$D$16,IF(EA16&lt;=Condition!$F$17,Condition!$D$17,IF(EA16&lt;=Condition!$F$18,Condition!$D$18,IF(EA16&gt;Condition!$E$19,Condition!$D$19,"")))))</f>
        <v>0</v>
      </c>
      <c r="EB59" s="85">
        <f>IF(EB16&lt;=Condition!$E$16,0,IF(EB16&lt;=Condition!$F$16,Condition!$D$16,IF(EB16&lt;=Condition!$F$17,Condition!$D$17,IF(EB16&lt;=Condition!$F$18,Condition!$D$18,IF(EB16&gt;Condition!$E$19,Condition!$D$19,"")))))</f>
        <v>0</v>
      </c>
      <c r="EC59" s="85">
        <f>IF(EC16&lt;=Condition!$E$16,0,IF(EC16&lt;=Condition!$F$16,Condition!$D$16,IF(EC16&lt;=Condition!$F$17,Condition!$D$17,IF(EC16&lt;=Condition!$F$18,Condition!$D$18,IF(EC16&gt;Condition!$E$19,Condition!$D$19,"")))))</f>
        <v>0</v>
      </c>
      <c r="ED59" s="85">
        <f>IF(ED16&lt;=Condition!$E$16,0,IF(ED16&lt;=Condition!$F$16,Condition!$D$16,IF(ED16&lt;=Condition!$F$17,Condition!$D$17,IF(ED16&lt;=Condition!$F$18,Condition!$D$18,IF(ED16&gt;Condition!$E$19,Condition!$D$19,"")))))</f>
        <v>0</v>
      </c>
      <c r="EE59" s="85">
        <f>IF(EE16&lt;=Condition!$E$16,0,IF(EE16&lt;=Condition!$F$16,Condition!$D$16,IF(EE16&lt;=Condition!$F$17,Condition!$D$17,IF(EE16&lt;=Condition!$F$18,Condition!$D$18,IF(EE16&gt;Condition!$E$19,Condition!$D$19,"")))))</f>
        <v>0</v>
      </c>
      <c r="EF59" s="85">
        <f>IF(EF16&lt;=Condition!$E$16,0,IF(EF16&lt;=Condition!$F$16,Condition!$D$16,IF(EF16&lt;=Condition!$F$17,Condition!$D$17,IF(EF16&lt;=Condition!$F$18,Condition!$D$18,IF(EF16&gt;Condition!$E$19,Condition!$D$19,"")))))</f>
        <v>0</v>
      </c>
      <c r="EG59" s="85">
        <f>IF(EG16&lt;=Condition!$E$16,0,IF(EG16&lt;=Condition!$F$16,Condition!$D$16,IF(EG16&lt;=Condition!$F$17,Condition!$D$17,IF(EG16&lt;=Condition!$F$18,Condition!$D$18,IF(EG16&gt;Condition!$E$19,Condition!$D$19,"")))))</f>
        <v>0</v>
      </c>
      <c r="EH59" s="85">
        <f>IF(EH16&lt;=Condition!$E$16,0,IF(EH16&lt;=Condition!$F$16,Condition!$D$16,IF(EH16&lt;=Condition!$F$17,Condition!$D$17,IF(EH16&lt;=Condition!$F$18,Condition!$D$18,IF(EH16&gt;Condition!$E$19,Condition!$D$19,"")))))</f>
        <v>0</v>
      </c>
      <c r="EI59" s="85">
        <f>IF(EI16&lt;=Condition!$E$16,0,IF(EI16&lt;=Condition!$F$16,Condition!$D$16,IF(EI16&lt;=Condition!$F$17,Condition!$D$17,IF(EI16&lt;=Condition!$F$18,Condition!$D$18,IF(EI16&gt;Condition!$E$19,Condition!$D$19,"")))))</f>
        <v>0</v>
      </c>
      <c r="EJ59" s="85">
        <f>IF(EJ16&lt;=Condition!$E$16,0,IF(EJ16&lt;=Condition!$F$16,Condition!$D$16,IF(EJ16&lt;=Condition!$F$17,Condition!$D$17,IF(EJ16&lt;=Condition!$F$18,Condition!$D$18,IF(EJ16&gt;Condition!$E$19,Condition!$D$19,"")))))</f>
        <v>0</v>
      </c>
      <c r="EK59" s="85">
        <f>IF(EK16&lt;=Condition!$E$16,0,IF(EK16&lt;=Condition!$F$16,Condition!$D$16,IF(EK16&lt;=Condition!$F$17,Condition!$D$17,IF(EK16&lt;=Condition!$F$18,Condition!$D$18,IF(EK16&gt;Condition!$E$19,Condition!$D$19,"")))))</f>
        <v>0</v>
      </c>
      <c r="EL59" s="85">
        <f>IF(EL16&lt;=Condition!$E$16,0,IF(EL16&lt;=Condition!$F$16,Condition!$D$16,IF(EL16&lt;=Condition!$F$17,Condition!$D$17,IF(EL16&lt;=Condition!$F$18,Condition!$D$18,IF(EL16&gt;Condition!$E$19,Condition!$D$19,"")))))</f>
        <v>0</v>
      </c>
      <c r="EM59" s="85">
        <f>IF(EM16&lt;=Condition!$E$16,0,IF(EM16&lt;=Condition!$F$16,Condition!$D$16,IF(EM16&lt;=Condition!$F$17,Condition!$D$17,IF(EM16&lt;=Condition!$F$18,Condition!$D$18,IF(EM16&gt;Condition!$E$19,Condition!$D$19,"")))))</f>
        <v>0</v>
      </c>
      <c r="EN59" s="85">
        <f>IF(EN16&lt;=Condition!$E$16,0,IF(EN16&lt;=Condition!$F$16,Condition!$D$16,IF(EN16&lt;=Condition!$F$17,Condition!$D$17,IF(EN16&lt;=Condition!$F$18,Condition!$D$18,IF(EN16&gt;Condition!$E$19,Condition!$D$19,"")))))</f>
        <v>0</v>
      </c>
      <c r="EO59" s="85">
        <f>IF(EO16&lt;=Condition!$E$16,0,IF(EO16&lt;=Condition!$F$16,Condition!$D$16,IF(EO16&lt;=Condition!$F$17,Condition!$D$17,IF(EO16&lt;=Condition!$F$18,Condition!$D$18,IF(EO16&gt;Condition!$E$19,Condition!$D$19,"")))))</f>
        <v>0</v>
      </c>
      <c r="EP59" s="85">
        <f>IF(EP16&lt;=Condition!$E$16,0,IF(EP16&lt;=Condition!$F$16,Condition!$D$16,IF(EP16&lt;=Condition!$F$17,Condition!$D$17,IF(EP16&lt;=Condition!$F$18,Condition!$D$18,IF(EP16&gt;Condition!$E$19,Condition!$D$19,"")))))</f>
        <v>0</v>
      </c>
      <c r="EQ59" s="85">
        <f>IF(EQ16&lt;=Condition!$E$16,0,IF(EQ16&lt;=Condition!$F$16,Condition!$D$16,IF(EQ16&lt;=Condition!$F$17,Condition!$D$17,IF(EQ16&lt;=Condition!$F$18,Condition!$D$18,IF(EQ16&gt;Condition!$E$19,Condition!$D$19,"")))))</f>
        <v>0</v>
      </c>
      <c r="ER59" s="85">
        <f>IF(ER16&lt;=Condition!$E$16,0,IF(ER16&lt;=Condition!$F$16,Condition!$D$16,IF(ER16&lt;=Condition!$F$17,Condition!$D$17,IF(ER16&lt;=Condition!$F$18,Condition!$D$18,IF(ER16&gt;Condition!$E$19,Condition!$D$19,"")))))</f>
        <v>0</v>
      </c>
      <c r="ES59" s="85">
        <f>IF(ES16&lt;=Condition!$E$16,0,IF(ES16&lt;=Condition!$F$16,Condition!$D$16,IF(ES16&lt;=Condition!$F$17,Condition!$D$17,IF(ES16&lt;=Condition!$F$18,Condition!$D$18,IF(ES16&gt;Condition!$E$19,Condition!$D$19,"")))))</f>
        <v>0</v>
      </c>
      <c r="ET59" s="85">
        <f>IF(ET16&lt;=Condition!$E$16,0,IF(ET16&lt;=Condition!$F$16,Condition!$D$16,IF(ET16&lt;=Condition!$F$17,Condition!$D$17,IF(ET16&lt;=Condition!$F$18,Condition!$D$18,IF(ET16&gt;Condition!$E$19,Condition!$D$19,"")))))</f>
        <v>0</v>
      </c>
      <c r="EU59" s="85">
        <f>IF(EU16&lt;=Condition!$E$16,0,IF(EU16&lt;=Condition!$F$16,Condition!$D$16,IF(EU16&lt;=Condition!$F$17,Condition!$D$17,IF(EU16&lt;=Condition!$F$18,Condition!$D$18,IF(EU16&gt;Condition!$E$19,Condition!$D$19,"")))))</f>
        <v>0</v>
      </c>
      <c r="EV59" s="85">
        <f>IF(EV16&lt;=Condition!$E$16,0,IF(EV16&lt;=Condition!$F$16,Condition!$D$16,IF(EV16&lt;=Condition!$F$17,Condition!$D$17,IF(EV16&lt;=Condition!$F$18,Condition!$D$18,IF(EV16&gt;Condition!$E$19,Condition!$D$19,"")))))</f>
        <v>0</v>
      </c>
      <c r="EW59" s="85">
        <f>IF(EW16&lt;=Condition!$E$16,0,IF(EW16&lt;=Condition!$F$16,Condition!$D$16,IF(EW16&lt;=Condition!$F$17,Condition!$D$17,IF(EW16&lt;=Condition!$F$18,Condition!$D$18,IF(EW16&gt;Condition!$E$19,Condition!$D$19,"")))))</f>
        <v>0</v>
      </c>
      <c r="EX59" s="85">
        <f>IF(EX16&lt;=Condition!$E$16,0,IF(EX16&lt;=Condition!$F$16,Condition!$D$16,IF(EX16&lt;=Condition!$F$17,Condition!$D$17,IF(EX16&lt;=Condition!$F$18,Condition!$D$18,IF(EX16&gt;Condition!$E$19,Condition!$D$19,"")))))</f>
        <v>0</v>
      </c>
      <c r="EY59" s="85">
        <f>IF(EY16&lt;=Condition!$E$16,0,IF(EY16&lt;=Condition!$F$16,Condition!$D$16,IF(EY16&lt;=Condition!$F$17,Condition!$D$17,IF(EY16&lt;=Condition!$F$18,Condition!$D$18,IF(EY16&gt;Condition!$E$19,Condition!$D$19,"")))))</f>
        <v>0</v>
      </c>
      <c r="EZ59" s="85">
        <f>IF(EZ16&lt;=Condition!$E$16,0,IF(EZ16&lt;=Condition!$F$16,Condition!$D$16,IF(EZ16&lt;=Condition!$F$17,Condition!$D$17,IF(EZ16&lt;=Condition!$F$18,Condition!$D$18,IF(EZ16&gt;Condition!$E$19,Condition!$D$19,"")))))</f>
        <v>0</v>
      </c>
      <c r="FA59" s="85">
        <f>IF(FA16&lt;=Condition!$E$16,0,IF(FA16&lt;=Condition!$F$16,Condition!$D$16,IF(FA16&lt;=Condition!$F$17,Condition!$D$17,IF(FA16&lt;=Condition!$F$18,Condition!$D$18,IF(FA16&gt;Condition!$E$19,Condition!$D$19,"")))))</f>
        <v>0</v>
      </c>
      <c r="FB59" s="85">
        <f>IF(FB16&lt;=Condition!$E$16,0,IF(FB16&lt;=Condition!$F$16,Condition!$D$16,IF(FB16&lt;=Condition!$F$17,Condition!$D$17,IF(FB16&lt;=Condition!$F$18,Condition!$D$18,IF(FB16&gt;Condition!$E$19,Condition!$D$19,"")))))</f>
        <v>0</v>
      </c>
      <c r="FC59" s="85">
        <f>IF(FC16&lt;=Condition!$E$16,0,IF(FC16&lt;=Condition!$F$16,Condition!$D$16,IF(FC16&lt;=Condition!$F$17,Condition!$D$17,IF(FC16&lt;=Condition!$F$18,Condition!$D$18,IF(FC16&gt;Condition!$E$19,Condition!$D$19,"")))))</f>
        <v>0</v>
      </c>
      <c r="FD59" s="85">
        <f>IF(FD16&lt;=Condition!$E$16,0,IF(FD16&lt;=Condition!$F$16,Condition!$D$16,IF(FD16&lt;=Condition!$F$17,Condition!$D$17,IF(FD16&lt;=Condition!$F$18,Condition!$D$18,IF(FD16&gt;Condition!$E$19,Condition!$D$19,"")))))</f>
        <v>0</v>
      </c>
      <c r="FE59" s="85">
        <f>IF(FE16&lt;=Condition!$E$16,0,IF(FE16&lt;=Condition!$F$16,Condition!$D$16,IF(FE16&lt;=Condition!$F$17,Condition!$D$17,IF(FE16&lt;=Condition!$F$18,Condition!$D$18,IF(FE16&gt;Condition!$E$19,Condition!$D$19,"")))))</f>
        <v>0</v>
      </c>
      <c r="FF59" s="85">
        <f>IF(FF16&lt;=Condition!$E$16,0,IF(FF16&lt;=Condition!$F$16,Condition!$D$16,IF(FF16&lt;=Condition!$F$17,Condition!$D$17,IF(FF16&lt;=Condition!$F$18,Condition!$D$18,IF(FF16&gt;Condition!$E$19,Condition!$D$19,"")))))</f>
        <v>0</v>
      </c>
      <c r="FG59" s="85">
        <f>IF(FG16&lt;=Condition!$E$16,0,IF(FG16&lt;=Condition!$F$16,Condition!$D$16,IF(FG16&lt;=Condition!$F$17,Condition!$D$17,IF(FG16&lt;=Condition!$F$18,Condition!$D$18,IF(FG16&gt;Condition!$E$19,Condition!$D$19,"")))))</f>
        <v>0</v>
      </c>
      <c r="FH59" s="85">
        <f>IF(FH16&lt;=Condition!$E$16,0,IF(FH16&lt;=Condition!$F$16,Condition!$D$16,IF(FH16&lt;=Condition!$F$17,Condition!$D$17,IF(FH16&lt;=Condition!$F$18,Condition!$D$18,IF(FH16&gt;Condition!$E$19,Condition!$D$19,"")))))</f>
        <v>0</v>
      </c>
      <c r="FI59" s="85">
        <f>IF(FI16&lt;=Condition!$E$16,0,IF(FI16&lt;=Condition!$F$16,Condition!$D$16,IF(FI16&lt;=Condition!$F$17,Condition!$D$17,IF(FI16&lt;=Condition!$F$18,Condition!$D$18,IF(FI16&gt;Condition!$E$19,Condition!$D$19,"")))))</f>
        <v>0</v>
      </c>
      <c r="FJ59" s="85">
        <f>IF(FJ16&lt;=Condition!$E$16,0,IF(FJ16&lt;=Condition!$F$16,Condition!$D$16,IF(FJ16&lt;=Condition!$F$17,Condition!$D$17,IF(FJ16&lt;=Condition!$F$18,Condition!$D$18,IF(FJ16&gt;Condition!$E$19,Condition!$D$19,"")))))</f>
        <v>0</v>
      </c>
      <c r="FK59" s="85">
        <f>IF(FK16&lt;=Condition!$E$16,0,IF(FK16&lt;=Condition!$F$16,Condition!$D$16,IF(FK16&lt;=Condition!$F$17,Condition!$D$17,IF(FK16&lt;=Condition!$F$18,Condition!$D$18,IF(FK16&gt;Condition!$E$19,Condition!$D$19,"")))))</f>
        <v>0</v>
      </c>
      <c r="FL59" s="85">
        <f>IF(FL16&lt;=Condition!$E$16,0,IF(FL16&lt;=Condition!$F$16,Condition!$D$16,IF(FL16&lt;=Condition!$F$17,Condition!$D$17,IF(FL16&lt;=Condition!$F$18,Condition!$D$18,IF(FL16&gt;Condition!$E$19,Condition!$D$19,"")))))</f>
        <v>0</v>
      </c>
      <c r="FM59" s="85">
        <f>IF(FM16&lt;=Condition!$E$16,0,IF(FM16&lt;=Condition!$F$16,Condition!$D$16,IF(FM16&lt;=Condition!$F$17,Condition!$D$17,IF(FM16&lt;=Condition!$F$18,Condition!$D$18,IF(FM16&gt;Condition!$E$19,Condition!$D$19,"")))))</f>
        <v>0</v>
      </c>
      <c r="FN59" s="85">
        <f>IF(FN16&lt;=Condition!$E$16,0,IF(FN16&lt;=Condition!$F$16,Condition!$D$16,IF(FN16&lt;=Condition!$F$17,Condition!$D$17,IF(FN16&lt;=Condition!$F$18,Condition!$D$18,IF(FN16&gt;Condition!$E$19,Condition!$D$19,"")))))</f>
        <v>0</v>
      </c>
      <c r="FO59" s="85">
        <f>IF(FO16&lt;=Condition!$E$16,0,IF(FO16&lt;=Condition!$F$16,Condition!$D$16,IF(FO16&lt;=Condition!$F$17,Condition!$D$17,IF(FO16&lt;=Condition!$F$18,Condition!$D$18,IF(FO16&gt;Condition!$E$19,Condition!$D$19,"")))))</f>
        <v>0</v>
      </c>
      <c r="FP59" s="85">
        <f>IF(FP16&lt;=Condition!$E$16,0,IF(FP16&lt;=Condition!$F$16,Condition!$D$16,IF(FP16&lt;=Condition!$F$17,Condition!$D$17,IF(FP16&lt;=Condition!$F$18,Condition!$D$18,IF(FP16&gt;Condition!$E$19,Condition!$D$19,"")))))</f>
        <v>0</v>
      </c>
      <c r="FQ59" s="85">
        <f>IF(FQ16&lt;=Condition!$E$16,0,IF(FQ16&lt;=Condition!$F$16,Condition!$D$16,IF(FQ16&lt;=Condition!$F$17,Condition!$D$17,IF(FQ16&lt;=Condition!$F$18,Condition!$D$18,IF(FQ16&gt;Condition!$E$19,Condition!$D$19,"")))))</f>
        <v>0</v>
      </c>
      <c r="FR59" s="85">
        <f>IF(FR16&lt;=Condition!$E$16,0,IF(FR16&lt;=Condition!$F$16,Condition!$D$16,IF(FR16&lt;=Condition!$F$17,Condition!$D$17,IF(FR16&lt;=Condition!$F$18,Condition!$D$18,IF(FR16&gt;Condition!$E$19,Condition!$D$19,"")))))</f>
        <v>0</v>
      </c>
      <c r="FS59" s="85">
        <f>IF(FS16&lt;=Condition!$E$16,0,IF(FS16&lt;=Condition!$F$16,Condition!$D$16,IF(FS16&lt;=Condition!$F$17,Condition!$D$17,IF(FS16&lt;=Condition!$F$18,Condition!$D$18,IF(FS16&gt;Condition!$E$19,Condition!$D$19,"")))))</f>
        <v>0</v>
      </c>
      <c r="FT59" s="85">
        <f>IF(FT16&lt;=Condition!$E$16,0,IF(FT16&lt;=Condition!$F$16,Condition!$D$16,IF(FT16&lt;=Condition!$F$17,Condition!$D$17,IF(FT16&lt;=Condition!$F$18,Condition!$D$18,IF(FT16&gt;Condition!$E$19,Condition!$D$19,"")))))</f>
        <v>0</v>
      </c>
      <c r="FU59" s="85">
        <f>IF(FU16&lt;=Condition!$E$16,0,IF(FU16&lt;=Condition!$F$16,Condition!$D$16,IF(FU16&lt;=Condition!$F$17,Condition!$D$17,IF(FU16&lt;=Condition!$F$18,Condition!$D$18,IF(FU16&gt;Condition!$E$19,Condition!$D$19,"")))))</f>
        <v>0</v>
      </c>
      <c r="FV59" s="85">
        <f>IF(FV16&lt;=Condition!$E$16,0,IF(FV16&lt;=Condition!$F$16,Condition!$D$16,IF(FV16&lt;=Condition!$F$17,Condition!$D$17,IF(FV16&lt;=Condition!$F$18,Condition!$D$18,IF(FV16&gt;Condition!$E$19,Condition!$D$19,"")))))</f>
        <v>0</v>
      </c>
      <c r="FW59" s="85">
        <f>IF(FW16&lt;=Condition!$E$16,0,IF(FW16&lt;=Condition!$F$16,Condition!$D$16,IF(FW16&lt;=Condition!$F$17,Condition!$D$17,IF(FW16&lt;=Condition!$F$18,Condition!$D$18,IF(FW16&gt;Condition!$E$19,Condition!$D$19,"")))))</f>
        <v>0</v>
      </c>
      <c r="FX59" s="85">
        <f>IF(FX16&lt;=Condition!$E$16,0,IF(FX16&lt;=Condition!$F$16,Condition!$D$16,IF(FX16&lt;=Condition!$F$17,Condition!$D$17,IF(FX16&lt;=Condition!$F$18,Condition!$D$18,IF(FX16&gt;Condition!$E$19,Condition!$D$19,"")))))</f>
        <v>0</v>
      </c>
      <c r="FY59" s="85">
        <f>IF(FY16&lt;=Condition!$E$16,0,IF(FY16&lt;=Condition!$F$16,Condition!$D$16,IF(FY16&lt;=Condition!$F$17,Condition!$D$17,IF(FY16&lt;=Condition!$F$18,Condition!$D$18,IF(FY16&gt;Condition!$E$19,Condition!$D$19,"")))))</f>
        <v>0</v>
      </c>
      <c r="FZ59" s="85">
        <f>IF(FZ16&lt;=Condition!$E$16,0,IF(FZ16&lt;=Condition!$F$16,Condition!$D$16,IF(FZ16&lt;=Condition!$F$17,Condition!$D$17,IF(FZ16&lt;=Condition!$F$18,Condition!$D$18,IF(FZ16&gt;Condition!$E$19,Condition!$D$19,"")))))</f>
        <v>0</v>
      </c>
      <c r="GA59" s="85">
        <f>IF(GA16&lt;=Condition!$E$16,0,IF(GA16&lt;=Condition!$F$16,Condition!$D$16,IF(GA16&lt;=Condition!$F$17,Condition!$D$17,IF(GA16&lt;=Condition!$F$18,Condition!$D$18,IF(GA16&gt;Condition!$E$19,Condition!$D$19,"")))))</f>
        <v>0</v>
      </c>
      <c r="GB59" s="85">
        <f>IF(GB16&lt;=Condition!$E$16,0,IF(GB16&lt;=Condition!$F$16,Condition!$D$16,IF(GB16&lt;=Condition!$F$17,Condition!$D$17,IF(GB16&lt;=Condition!$F$18,Condition!$D$18,IF(GB16&gt;Condition!$E$19,Condition!$D$19,"")))))</f>
        <v>0</v>
      </c>
      <c r="GC59" s="85">
        <f>IF(GC16&lt;=Condition!$E$16,0,IF(GC16&lt;=Condition!$F$16,Condition!$D$16,IF(GC16&lt;=Condition!$F$17,Condition!$D$17,IF(GC16&lt;=Condition!$F$18,Condition!$D$18,IF(GC16&gt;Condition!$E$19,Condition!$D$19,"")))))</f>
        <v>0</v>
      </c>
      <c r="GD59" s="85">
        <f>IF(GD16&lt;=Condition!$E$16,0,IF(GD16&lt;=Condition!$F$16,Condition!$D$16,IF(GD16&lt;=Condition!$F$17,Condition!$D$17,IF(GD16&lt;=Condition!$F$18,Condition!$D$18,IF(GD16&gt;Condition!$E$19,Condition!$D$19,"")))))</f>
        <v>0</v>
      </c>
      <c r="GE59" s="85">
        <f>IF(GE16&lt;=Condition!$E$16,0,IF(GE16&lt;=Condition!$F$16,Condition!$D$16,IF(GE16&lt;=Condition!$F$17,Condition!$D$17,IF(GE16&lt;=Condition!$F$18,Condition!$D$18,IF(GE16&gt;Condition!$E$19,Condition!$D$19,"")))))</f>
        <v>0</v>
      </c>
      <c r="GF59" s="85">
        <f>IF(GF16&lt;=Condition!$E$16,0,IF(GF16&lt;=Condition!$F$16,Condition!$D$16,IF(GF16&lt;=Condition!$F$17,Condition!$D$17,IF(GF16&lt;=Condition!$F$18,Condition!$D$18,IF(GF16&gt;Condition!$E$19,Condition!$D$19,"")))))</f>
        <v>0</v>
      </c>
      <c r="GG59" s="85">
        <f>IF(GG16&lt;=Condition!$E$16,0,IF(GG16&lt;=Condition!$F$16,Condition!$D$16,IF(GG16&lt;=Condition!$F$17,Condition!$D$17,IF(GG16&lt;=Condition!$F$18,Condition!$D$18,IF(GG16&gt;Condition!$E$19,Condition!$D$19,"")))))</f>
        <v>0</v>
      </c>
      <c r="GH59" s="85">
        <f>IF(GH16&lt;=Condition!$E$16,0,IF(GH16&lt;=Condition!$F$16,Condition!$D$16,IF(GH16&lt;=Condition!$F$17,Condition!$D$17,IF(GH16&lt;=Condition!$F$18,Condition!$D$18,IF(GH16&gt;Condition!$E$19,Condition!$D$19,"")))))</f>
        <v>0</v>
      </c>
      <c r="GI59" s="85">
        <f>IF(GI16&lt;=Condition!$E$16,0,IF(GI16&lt;=Condition!$F$16,Condition!$D$16,IF(GI16&lt;=Condition!$F$17,Condition!$D$17,IF(GI16&lt;=Condition!$F$18,Condition!$D$18,IF(GI16&gt;Condition!$E$19,Condition!$D$19,"")))))</f>
        <v>0</v>
      </c>
      <c r="GJ59" s="85">
        <f>IF(GJ16&lt;=Condition!$E$16,0,IF(GJ16&lt;=Condition!$F$16,Condition!$D$16,IF(GJ16&lt;=Condition!$F$17,Condition!$D$17,IF(GJ16&lt;=Condition!$F$18,Condition!$D$18,IF(GJ16&gt;Condition!$E$19,Condition!$D$19,"")))))</f>
        <v>0</v>
      </c>
      <c r="GK59" s="85">
        <f>IF(GK16&lt;=Condition!$E$16,0,IF(GK16&lt;=Condition!$F$16,Condition!$D$16,IF(GK16&lt;=Condition!$F$17,Condition!$D$17,IF(GK16&lt;=Condition!$F$18,Condition!$D$18,IF(GK16&gt;Condition!$E$19,Condition!$D$19,"")))))</f>
        <v>0</v>
      </c>
      <c r="GL59" s="85">
        <f>IF(GL16&lt;=Condition!$E$16,0,IF(GL16&lt;=Condition!$F$16,Condition!$D$16,IF(GL16&lt;=Condition!$F$17,Condition!$D$17,IF(GL16&lt;=Condition!$F$18,Condition!$D$18,IF(GL16&gt;Condition!$E$19,Condition!$D$19,"")))))</f>
        <v>0</v>
      </c>
      <c r="GM59" s="85">
        <f>IF(GM16&lt;=Condition!$E$16,0,IF(GM16&lt;=Condition!$F$16,Condition!$D$16,IF(GM16&lt;=Condition!$F$17,Condition!$D$17,IF(GM16&lt;=Condition!$F$18,Condition!$D$18,IF(GM16&gt;Condition!$E$19,Condition!$D$19,"")))))</f>
        <v>0</v>
      </c>
      <c r="GN59" s="85">
        <f>IF(GN16&lt;=Condition!$E$16,0,IF(GN16&lt;=Condition!$F$16,Condition!$D$16,IF(GN16&lt;=Condition!$F$17,Condition!$D$17,IF(GN16&lt;=Condition!$F$18,Condition!$D$18,IF(GN16&gt;Condition!$E$19,Condition!$D$19,"")))))</f>
        <v>0</v>
      </c>
      <c r="GO59" s="85">
        <f>IF(GO16&lt;=Condition!$E$16,0,IF(GO16&lt;=Condition!$F$16,Condition!$D$16,IF(GO16&lt;=Condition!$F$17,Condition!$D$17,IF(GO16&lt;=Condition!$F$18,Condition!$D$18,IF(GO16&gt;Condition!$E$19,Condition!$D$19,"")))))</f>
        <v>0</v>
      </c>
      <c r="GP59" s="85">
        <f>IF(GP16&lt;=Condition!$E$16,0,IF(GP16&lt;=Condition!$F$16,Condition!$D$16,IF(GP16&lt;=Condition!$F$17,Condition!$D$17,IF(GP16&lt;=Condition!$F$18,Condition!$D$18,IF(GP16&gt;Condition!$E$19,Condition!$D$19,"")))))</f>
        <v>0</v>
      </c>
      <c r="GQ59" s="85">
        <f>IF(GQ16&lt;=Condition!$E$16,0,IF(GQ16&lt;=Condition!$F$16,Condition!$D$16,IF(GQ16&lt;=Condition!$F$17,Condition!$D$17,IF(GQ16&lt;=Condition!$F$18,Condition!$D$18,IF(GQ16&gt;Condition!$E$19,Condition!$D$19,"")))))</f>
        <v>0</v>
      </c>
      <c r="GR59" s="85">
        <f>IF(GR16&lt;=Condition!$E$16,0,IF(GR16&lt;=Condition!$F$16,Condition!$D$16,IF(GR16&lt;=Condition!$F$17,Condition!$D$17,IF(GR16&lt;=Condition!$F$18,Condition!$D$18,IF(GR16&gt;Condition!$E$19,Condition!$D$19,"")))))</f>
        <v>0</v>
      </c>
      <c r="GS59" s="85">
        <f>IF(GS16&lt;=Condition!$E$16,0,IF(GS16&lt;=Condition!$F$16,Condition!$D$16,IF(GS16&lt;=Condition!$F$17,Condition!$D$17,IF(GS16&lt;=Condition!$F$18,Condition!$D$18,IF(GS16&gt;Condition!$E$19,Condition!$D$19,"")))))</f>
        <v>0</v>
      </c>
      <c r="GT59" s="85">
        <f>IF(GT16&lt;=Condition!$E$16,0,IF(GT16&lt;=Condition!$F$16,Condition!$D$16,IF(GT16&lt;=Condition!$F$17,Condition!$D$17,IF(GT16&lt;=Condition!$F$18,Condition!$D$18,IF(GT16&gt;Condition!$E$19,Condition!$D$19,"")))))</f>
        <v>0</v>
      </c>
      <c r="GU59" s="85">
        <f>IF(GU16&lt;=Condition!$E$16,0,IF(GU16&lt;=Condition!$F$16,Condition!$D$16,IF(GU16&lt;=Condition!$F$17,Condition!$D$17,IF(GU16&lt;=Condition!$F$18,Condition!$D$18,IF(GU16&gt;Condition!$E$19,Condition!$D$19,"")))))</f>
        <v>0</v>
      </c>
      <c r="GV59" s="85">
        <f>IF(GV16&lt;=Condition!$E$16,0,IF(GV16&lt;=Condition!$F$16,Condition!$D$16,IF(GV16&lt;=Condition!$F$17,Condition!$D$17,IF(GV16&lt;=Condition!$F$18,Condition!$D$18,IF(GV16&gt;Condition!$E$19,Condition!$D$19,"")))))</f>
        <v>0</v>
      </c>
      <c r="GW59" s="85">
        <f>IF(GW16&lt;=Condition!$E$16,0,IF(GW16&lt;=Condition!$F$16,Condition!$D$16,IF(GW16&lt;=Condition!$F$17,Condition!$D$17,IF(GW16&lt;=Condition!$F$18,Condition!$D$18,IF(GW16&gt;Condition!$E$19,Condition!$D$19,"")))))</f>
        <v>0</v>
      </c>
      <c r="GX59" s="85">
        <f>IF(GX16&lt;=Condition!$E$16,0,IF(GX16&lt;=Condition!$F$16,Condition!$D$16,IF(GX16&lt;=Condition!$F$17,Condition!$D$17,IF(GX16&lt;=Condition!$F$18,Condition!$D$18,IF(GX16&gt;Condition!$E$19,Condition!$D$19,"")))))</f>
        <v>0</v>
      </c>
      <c r="GY59" s="85">
        <f>IF(GY16&lt;=Condition!$E$16,0,IF(GY16&lt;=Condition!$F$16,Condition!$D$16,IF(GY16&lt;=Condition!$F$17,Condition!$D$17,IF(GY16&lt;=Condition!$F$18,Condition!$D$18,IF(GY16&gt;Condition!$E$19,Condition!$D$19,"")))))</f>
        <v>0</v>
      </c>
      <c r="GZ59" s="85">
        <f>IF(GZ16&lt;=Condition!$E$16,0,IF(GZ16&lt;=Condition!$F$16,Condition!$D$16,IF(GZ16&lt;=Condition!$F$17,Condition!$D$17,IF(GZ16&lt;=Condition!$F$18,Condition!$D$18,IF(GZ16&gt;Condition!$E$19,Condition!$D$19,"")))))</f>
        <v>0</v>
      </c>
      <c r="HA59" s="85">
        <f>IF(HA16&lt;=Condition!$E$16,0,IF(HA16&lt;=Condition!$F$16,Condition!$D$16,IF(HA16&lt;=Condition!$F$17,Condition!$D$17,IF(HA16&lt;=Condition!$F$18,Condition!$D$18,IF(HA16&gt;Condition!$E$19,Condition!$D$19,"")))))</f>
        <v>0</v>
      </c>
      <c r="HB59" s="85">
        <f>IF(HB16&lt;=Condition!$E$16,0,IF(HB16&lt;=Condition!$F$16,Condition!$D$16,IF(HB16&lt;=Condition!$F$17,Condition!$D$17,IF(HB16&lt;=Condition!$F$18,Condition!$D$18,IF(HB16&gt;Condition!$E$19,Condition!$D$19,"")))))</f>
        <v>0</v>
      </c>
      <c r="HC59" s="85">
        <f>IF(HC16&lt;=Condition!$E$16,0,IF(HC16&lt;=Condition!$F$16,Condition!$D$16,IF(HC16&lt;=Condition!$F$17,Condition!$D$17,IF(HC16&lt;=Condition!$F$18,Condition!$D$18,IF(HC16&gt;Condition!$E$19,Condition!$D$19,"")))))</f>
        <v>0</v>
      </c>
      <c r="HD59" s="85">
        <f>IF(HD16&lt;=Condition!$E$16,0,IF(HD16&lt;=Condition!$F$16,Condition!$D$16,IF(HD16&lt;=Condition!$F$17,Condition!$D$17,IF(HD16&lt;=Condition!$F$18,Condition!$D$18,IF(HD16&gt;Condition!$E$19,Condition!$D$19,"")))))</f>
        <v>0</v>
      </c>
      <c r="HE59" s="85">
        <f>IF(HE16&lt;=Condition!$E$16,0,IF(HE16&lt;=Condition!$F$16,Condition!$D$16,IF(HE16&lt;=Condition!$F$17,Condition!$D$17,IF(HE16&lt;=Condition!$F$18,Condition!$D$18,IF(HE16&gt;Condition!$E$19,Condition!$D$19,"")))))</f>
        <v>0</v>
      </c>
      <c r="HF59" s="85">
        <f>IF(HF16&lt;=Condition!$E$16,0,IF(HF16&lt;=Condition!$F$16,Condition!$D$16,IF(HF16&lt;=Condition!$F$17,Condition!$D$17,IF(HF16&lt;=Condition!$F$18,Condition!$D$18,IF(HF16&gt;Condition!$E$19,Condition!$D$19,"")))))</f>
        <v>0</v>
      </c>
      <c r="HG59" s="85">
        <f>IF(HG16&lt;=Condition!$E$16,0,IF(HG16&lt;=Condition!$F$16,Condition!$D$16,IF(HG16&lt;=Condition!$F$17,Condition!$D$17,IF(HG16&lt;=Condition!$F$18,Condition!$D$18,IF(HG16&gt;Condition!$E$19,Condition!$D$19,"")))))</f>
        <v>0</v>
      </c>
      <c r="HH59" s="85">
        <f>IF(HH16&lt;=Condition!$E$16,0,IF(HH16&lt;=Condition!$F$16,Condition!$D$16,IF(HH16&lt;=Condition!$F$17,Condition!$D$17,IF(HH16&lt;=Condition!$F$18,Condition!$D$18,IF(HH16&gt;Condition!$E$19,Condition!$D$19,"")))))</f>
        <v>0</v>
      </c>
      <c r="HI59" s="85">
        <f>IF(HI16&lt;=Condition!$E$16,0,IF(HI16&lt;=Condition!$F$16,Condition!$D$16,IF(HI16&lt;=Condition!$F$17,Condition!$D$17,IF(HI16&lt;=Condition!$F$18,Condition!$D$18,IF(HI16&gt;Condition!$E$19,Condition!$D$19,"")))))</f>
        <v>0</v>
      </c>
      <c r="HJ59" s="85">
        <f>IF(HJ16&lt;=Condition!$E$16,0,IF(HJ16&lt;=Condition!$F$16,Condition!$D$16,IF(HJ16&lt;=Condition!$F$17,Condition!$D$17,IF(HJ16&lt;=Condition!$F$18,Condition!$D$18,IF(HJ16&gt;Condition!$E$19,Condition!$D$19,"")))))</f>
        <v>0</v>
      </c>
      <c r="HK59" s="85">
        <f>IF(HK16&lt;=Condition!$E$16,0,IF(HK16&lt;=Condition!$F$16,Condition!$D$16,IF(HK16&lt;=Condition!$F$17,Condition!$D$17,IF(HK16&lt;=Condition!$F$18,Condition!$D$18,IF(HK16&gt;Condition!$E$19,Condition!$D$19,"")))))</f>
        <v>0</v>
      </c>
      <c r="HL59" s="85">
        <f>IF(HL16&lt;=Condition!$E$16,0,IF(HL16&lt;=Condition!$F$16,Condition!$D$16,IF(HL16&lt;=Condition!$F$17,Condition!$D$17,IF(HL16&lt;=Condition!$F$18,Condition!$D$18,IF(HL16&gt;Condition!$E$19,Condition!$D$19,"")))))</f>
        <v>0</v>
      </c>
      <c r="HM59" s="85">
        <f>IF(HM16&lt;=Condition!$E$16,0,IF(HM16&lt;=Condition!$F$16,Condition!$D$16,IF(HM16&lt;=Condition!$F$17,Condition!$D$17,IF(HM16&lt;=Condition!$F$18,Condition!$D$18,IF(HM16&gt;Condition!$E$19,Condition!$D$19,"")))))</f>
        <v>0</v>
      </c>
      <c r="HN59" s="85">
        <f>IF(HN16&lt;=Condition!$E$16,0,IF(HN16&lt;=Condition!$F$16,Condition!$D$16,IF(HN16&lt;=Condition!$F$17,Condition!$D$17,IF(HN16&lt;=Condition!$F$18,Condition!$D$18,IF(HN16&gt;Condition!$E$19,Condition!$D$19,"")))))</f>
        <v>0</v>
      </c>
      <c r="HO59" s="85">
        <f>IF(HO16&lt;=Condition!$E$16,0,IF(HO16&lt;=Condition!$F$16,Condition!$D$16,IF(HO16&lt;=Condition!$F$17,Condition!$D$17,IF(HO16&lt;=Condition!$F$18,Condition!$D$18,IF(HO16&gt;Condition!$E$19,Condition!$D$19,"")))))</f>
        <v>0</v>
      </c>
      <c r="HP59" s="85">
        <f>IF(HP16&lt;=Condition!$E$16,0,IF(HP16&lt;=Condition!$F$16,Condition!$D$16,IF(HP16&lt;=Condition!$F$17,Condition!$D$17,IF(HP16&lt;=Condition!$F$18,Condition!$D$18,IF(HP16&gt;Condition!$E$19,Condition!$D$19,"")))))</f>
        <v>0</v>
      </c>
      <c r="HQ59" s="85">
        <f>IF(HQ16&lt;=Condition!$E$16,0,IF(HQ16&lt;=Condition!$F$16,Condition!$D$16,IF(HQ16&lt;=Condition!$F$17,Condition!$D$17,IF(HQ16&lt;=Condition!$F$18,Condition!$D$18,IF(HQ16&gt;Condition!$E$19,Condition!$D$19,"")))))</f>
        <v>0</v>
      </c>
      <c r="HR59" s="85">
        <f>IF(HR16&lt;=Condition!$E$16,0,IF(HR16&lt;=Condition!$F$16,Condition!$D$16,IF(HR16&lt;=Condition!$F$17,Condition!$D$17,IF(HR16&lt;=Condition!$F$18,Condition!$D$18,IF(HR16&gt;Condition!$E$19,Condition!$D$19,"")))))</f>
        <v>0</v>
      </c>
      <c r="HS59" s="85">
        <f>IF(HS16&lt;=Condition!$E$16,0,IF(HS16&lt;=Condition!$F$16,Condition!$D$16,IF(HS16&lt;=Condition!$F$17,Condition!$D$17,IF(HS16&lt;=Condition!$F$18,Condition!$D$18,IF(HS16&gt;Condition!$E$19,Condition!$D$19,"")))))</f>
        <v>0</v>
      </c>
      <c r="HT59" s="85">
        <f>IF(HT16&lt;=Condition!$E$16,0,IF(HT16&lt;=Condition!$F$16,Condition!$D$16,IF(HT16&lt;=Condition!$F$17,Condition!$D$17,IF(HT16&lt;=Condition!$F$18,Condition!$D$18,IF(HT16&gt;Condition!$E$19,Condition!$D$19,"")))))</f>
        <v>0</v>
      </c>
      <c r="HU59" s="85">
        <f>IF(HU16&lt;=Condition!$E$16,0,IF(HU16&lt;=Condition!$F$16,Condition!$D$16,IF(HU16&lt;=Condition!$F$17,Condition!$D$17,IF(HU16&lt;=Condition!$F$18,Condition!$D$18,IF(HU16&gt;Condition!$E$19,Condition!$D$19,"")))))</f>
        <v>0</v>
      </c>
      <c r="HV59" s="85">
        <f>IF(HV16&lt;=Condition!$E$16,0,IF(HV16&lt;=Condition!$F$16,Condition!$D$16,IF(HV16&lt;=Condition!$F$17,Condition!$D$17,IF(HV16&lt;=Condition!$F$18,Condition!$D$18,IF(HV16&gt;Condition!$E$19,Condition!$D$19,"")))))</f>
        <v>0</v>
      </c>
      <c r="HW59" s="85">
        <f>IF(HW16&lt;=Condition!$E$16,0,IF(HW16&lt;=Condition!$F$16,Condition!$D$16,IF(HW16&lt;=Condition!$F$17,Condition!$D$17,IF(HW16&lt;=Condition!$F$18,Condition!$D$18,IF(HW16&gt;Condition!$E$19,Condition!$D$19,"")))))</f>
        <v>0</v>
      </c>
      <c r="HX59" s="85">
        <f>IF(HX16&lt;=Condition!$E$16,0,IF(HX16&lt;=Condition!$F$16,Condition!$D$16,IF(HX16&lt;=Condition!$F$17,Condition!$D$17,IF(HX16&lt;=Condition!$F$18,Condition!$D$18,IF(HX16&gt;Condition!$E$19,Condition!$D$19,"")))))</f>
        <v>0</v>
      </c>
      <c r="HY59" s="85">
        <f>IF(HY16&lt;=Condition!$E$16,0,IF(HY16&lt;=Condition!$F$16,Condition!$D$16,IF(HY16&lt;=Condition!$F$17,Condition!$D$17,IF(HY16&lt;=Condition!$F$18,Condition!$D$18,IF(HY16&gt;Condition!$E$19,Condition!$D$19,"")))))</f>
        <v>0</v>
      </c>
      <c r="HZ59" s="85">
        <f>IF(HZ16&lt;=Condition!$E$16,0,IF(HZ16&lt;=Condition!$F$16,Condition!$D$16,IF(HZ16&lt;=Condition!$F$17,Condition!$D$17,IF(HZ16&lt;=Condition!$F$18,Condition!$D$18,IF(HZ16&gt;Condition!$E$19,Condition!$D$19,"")))))</f>
        <v>0</v>
      </c>
      <c r="IA59" s="85">
        <f>IF(IA16&lt;=Condition!$E$16,0,IF(IA16&lt;=Condition!$F$16,Condition!$D$16,IF(IA16&lt;=Condition!$F$17,Condition!$D$17,IF(IA16&lt;=Condition!$F$18,Condition!$D$18,IF(IA16&gt;Condition!$E$19,Condition!$D$19,"")))))</f>
        <v>0</v>
      </c>
      <c r="IB59" s="85">
        <f>IF(IB16&lt;=Condition!$E$16,0,IF(IB16&lt;=Condition!$F$16,Condition!$D$16,IF(IB16&lt;=Condition!$F$17,Condition!$D$17,IF(IB16&lt;=Condition!$F$18,Condition!$D$18,IF(IB16&gt;Condition!$E$19,Condition!$D$19,"")))))</f>
        <v>0</v>
      </c>
      <c r="IC59" s="85">
        <f>IF(IC16&lt;=Condition!$E$16,0,IF(IC16&lt;=Condition!$F$16,Condition!$D$16,IF(IC16&lt;=Condition!$F$17,Condition!$D$17,IF(IC16&lt;=Condition!$F$18,Condition!$D$18,IF(IC16&gt;Condition!$E$19,Condition!$D$19,"")))))</f>
        <v>0</v>
      </c>
      <c r="ID59" s="85">
        <f>IF(ID16&lt;=Condition!$E$16,0,IF(ID16&lt;=Condition!$F$16,Condition!$D$16,IF(ID16&lt;=Condition!$F$17,Condition!$D$17,IF(ID16&lt;=Condition!$F$18,Condition!$D$18,IF(ID16&gt;Condition!$E$19,Condition!$D$19,"")))))</f>
        <v>0</v>
      </c>
      <c r="IE59" s="85">
        <f>IF(IE16&lt;=Condition!$E$16,0,IF(IE16&lt;=Condition!$F$16,Condition!$D$16,IF(IE16&lt;=Condition!$F$17,Condition!$D$17,IF(IE16&lt;=Condition!$F$18,Condition!$D$18,IF(IE16&gt;Condition!$E$19,Condition!$D$19,"")))))</f>
        <v>0</v>
      </c>
      <c r="IF59" s="85">
        <f>IF(IF16&lt;=Condition!$E$16,0,IF(IF16&lt;=Condition!$F$16,Condition!$D$16,IF(IF16&lt;=Condition!$F$17,Condition!$D$17,IF(IF16&lt;=Condition!$F$18,Condition!$D$18,IF(IF16&gt;Condition!$E$19,Condition!$D$19,"")))))</f>
        <v>0</v>
      </c>
      <c r="IG59" s="85">
        <f>IF(IG16&lt;=Condition!$E$16,0,IF(IG16&lt;=Condition!$F$16,Condition!$D$16,IF(IG16&lt;=Condition!$F$17,Condition!$D$17,IF(IG16&lt;=Condition!$F$18,Condition!$D$18,IF(IG16&gt;Condition!$E$19,Condition!$D$19,"")))))</f>
        <v>0</v>
      </c>
      <c r="IH59" s="85">
        <f>IF(IH16&lt;=Condition!$E$16,0,IF(IH16&lt;=Condition!$F$16,Condition!$D$16,IF(IH16&lt;=Condition!$F$17,Condition!$D$17,IF(IH16&lt;=Condition!$F$18,Condition!$D$18,IF(IH16&gt;Condition!$E$19,Condition!$D$19,"")))))</f>
        <v>0</v>
      </c>
      <c r="II59" s="85">
        <f>IF(II16&lt;=Condition!$E$16,0,IF(II16&lt;=Condition!$F$16,Condition!$D$16,IF(II16&lt;=Condition!$F$17,Condition!$D$17,IF(II16&lt;=Condition!$F$18,Condition!$D$18,IF(II16&gt;Condition!$E$19,Condition!$D$19,"")))))</f>
        <v>0</v>
      </c>
      <c r="IJ59" s="85">
        <f>IF(IJ16&lt;=Condition!$E$16,0,IF(IJ16&lt;=Condition!$F$16,Condition!$D$16,IF(IJ16&lt;=Condition!$F$17,Condition!$D$17,IF(IJ16&lt;=Condition!$F$18,Condition!$D$18,IF(IJ16&gt;Condition!$E$19,Condition!$D$19,"")))))</f>
        <v>0</v>
      </c>
      <c r="IK59" s="85">
        <f>IF(IK16&lt;=Condition!$E$16,0,IF(IK16&lt;=Condition!$F$16,Condition!$D$16,IF(IK16&lt;=Condition!$F$17,Condition!$D$17,IF(IK16&lt;=Condition!$F$18,Condition!$D$18,IF(IK16&gt;Condition!$E$19,Condition!$D$19,"")))))</f>
        <v>0</v>
      </c>
      <c r="IL59" s="85">
        <f>IF(IL16&lt;=Condition!$E$16,0,IF(IL16&lt;=Condition!$F$16,Condition!$D$16,IF(IL16&lt;=Condition!$F$17,Condition!$D$17,IF(IL16&lt;=Condition!$F$18,Condition!$D$18,IF(IL16&gt;Condition!$E$19,Condition!$D$19,"")))))</f>
        <v>0</v>
      </c>
      <c r="IM59" s="85">
        <f>IF(IM16&lt;=Condition!$E$16,0,IF(IM16&lt;=Condition!$F$16,Condition!$D$16,IF(IM16&lt;=Condition!$F$17,Condition!$D$17,IF(IM16&lt;=Condition!$F$18,Condition!$D$18,IF(IM16&gt;Condition!$E$19,Condition!$D$19,"")))))</f>
        <v>0</v>
      </c>
      <c r="IN59" s="85">
        <f>IF(IN16&lt;=Condition!$E$16,0,IF(IN16&lt;=Condition!$F$16,Condition!$D$16,IF(IN16&lt;=Condition!$F$17,Condition!$D$17,IF(IN16&lt;=Condition!$F$18,Condition!$D$18,IF(IN16&gt;Condition!$E$19,Condition!$D$19,"")))))</f>
        <v>0</v>
      </c>
      <c r="IO59" s="85">
        <f>IF(IO16&lt;=Condition!$E$16,0,IF(IO16&lt;=Condition!$F$16,Condition!$D$16,IF(IO16&lt;=Condition!$F$17,Condition!$D$17,IF(IO16&lt;=Condition!$F$18,Condition!$D$18,IF(IO16&gt;Condition!$E$19,Condition!$D$19,"")))))</f>
        <v>0</v>
      </c>
      <c r="IP59" s="85">
        <f>IF(IP16&lt;=Condition!$E$16,0,IF(IP16&lt;=Condition!$F$16,Condition!$D$16,IF(IP16&lt;=Condition!$F$17,Condition!$D$17,IF(IP16&lt;=Condition!$F$18,Condition!$D$18,IF(IP16&gt;Condition!$E$19,Condition!$D$19,"")))))</f>
        <v>0</v>
      </c>
      <c r="IQ59" s="85">
        <f>IF(IQ16&lt;=Condition!$E$16,0,IF(IQ16&lt;=Condition!$F$16,Condition!$D$16,IF(IQ16&lt;=Condition!$F$17,Condition!$D$17,IF(IQ16&lt;=Condition!$F$18,Condition!$D$18,IF(IQ16&gt;Condition!$E$19,Condition!$D$19,"")))))</f>
        <v>0</v>
      </c>
      <c r="IR59" s="85">
        <f>IF(IR16&lt;=Condition!$E$16,0,IF(IR16&lt;=Condition!$F$16,Condition!$D$16,IF(IR16&lt;=Condition!$F$17,Condition!$D$17,IF(IR16&lt;=Condition!$F$18,Condition!$D$18,IF(IR16&gt;Condition!$E$19,Condition!$D$19,"")))))</f>
        <v>0</v>
      </c>
      <c r="IS59" s="85">
        <f>IF(IS16&lt;=Condition!$E$16,0,IF(IS16&lt;=Condition!$F$16,Condition!$D$16,IF(IS16&lt;=Condition!$F$17,Condition!$D$17,IF(IS16&lt;=Condition!$F$18,Condition!$D$18,IF(IS16&gt;Condition!$E$19,Condition!$D$19,"")))))</f>
        <v>0</v>
      </c>
      <c r="IT59" s="85">
        <f>IF(IT16&lt;=Condition!$E$16,0,IF(IT16&lt;=Condition!$F$16,Condition!$D$16,IF(IT16&lt;=Condition!$F$17,Condition!$D$17,IF(IT16&lt;=Condition!$F$18,Condition!$D$18,IF(IT16&gt;Condition!$E$19,Condition!$D$19,"")))))</f>
        <v>0</v>
      </c>
      <c r="IU59" s="85">
        <f>IF(IU16&lt;=Condition!$E$16,0,IF(IU16&lt;=Condition!$F$16,Condition!$D$16,IF(IU16&lt;=Condition!$F$17,Condition!$D$17,IF(IU16&lt;=Condition!$F$18,Condition!$D$18,IF(IU16&gt;Condition!$E$19,Condition!$D$19,"")))))</f>
        <v>0</v>
      </c>
      <c r="IV59" s="85">
        <f>IF(IV16&lt;=Condition!$E$16,0,IF(IV16&lt;=Condition!$F$16,Condition!$D$16,IF(IV16&lt;=Condition!$F$17,Condition!$D$17,IF(IV16&lt;=Condition!$F$18,Condition!$D$18,IF(IV16&gt;Condition!$E$19,Condition!$D$19,"")))))</f>
        <v>0</v>
      </c>
      <c r="IW59" s="85">
        <f>IF(IW16&lt;=Condition!$E$16,0,IF(IW16&lt;=Condition!$F$16,Condition!$D$16,IF(IW16&lt;=Condition!$F$17,Condition!$D$17,IF(IW16&lt;=Condition!$F$18,Condition!$D$18,IF(IW16&gt;Condition!$E$19,Condition!$D$19,"")))))</f>
        <v>0</v>
      </c>
      <c r="IX59" s="85">
        <f>IF(IX16&lt;=Condition!$E$16,0,IF(IX16&lt;=Condition!$F$16,Condition!$D$16,IF(IX16&lt;=Condition!$F$17,Condition!$D$17,IF(IX16&lt;=Condition!$F$18,Condition!$D$18,IF(IX16&gt;Condition!$E$19,Condition!$D$19,"")))))</f>
        <v>0</v>
      </c>
      <c r="IY59" s="85">
        <f>IF(IY16&lt;=Condition!$E$16,0,IF(IY16&lt;=Condition!$F$16,Condition!$D$16,IF(IY16&lt;=Condition!$F$17,Condition!$D$17,IF(IY16&lt;=Condition!$F$18,Condition!$D$18,IF(IY16&gt;Condition!$E$19,Condition!$D$19,"")))))</f>
        <v>0</v>
      </c>
      <c r="IZ59" s="85">
        <f>IF(IZ16&lt;=Condition!$E$16,0,IF(IZ16&lt;=Condition!$F$16,Condition!$D$16,IF(IZ16&lt;=Condition!$F$17,Condition!$D$17,IF(IZ16&lt;=Condition!$F$18,Condition!$D$18,IF(IZ16&gt;Condition!$E$19,Condition!$D$19,"")))))</f>
        <v>0</v>
      </c>
      <c r="JA59" s="85">
        <f>IF(JA16&lt;=Condition!$E$16,0,IF(JA16&lt;=Condition!$F$16,Condition!$D$16,IF(JA16&lt;=Condition!$F$17,Condition!$D$17,IF(JA16&lt;=Condition!$F$18,Condition!$D$18,IF(JA16&gt;Condition!$E$19,Condition!$D$19,"")))))</f>
        <v>0</v>
      </c>
      <c r="JB59" s="85">
        <f>IF(JB16&lt;=Condition!$E$16,0,IF(JB16&lt;=Condition!$F$16,Condition!$D$16,IF(JB16&lt;=Condition!$F$17,Condition!$D$17,IF(JB16&lt;=Condition!$F$18,Condition!$D$18,IF(JB16&gt;Condition!$E$19,Condition!$D$19,"")))))</f>
        <v>0</v>
      </c>
      <c r="JC59" s="85">
        <f>IF(JC16&lt;=Condition!$E$16,0,IF(JC16&lt;=Condition!$F$16,Condition!$D$16,IF(JC16&lt;=Condition!$F$17,Condition!$D$17,IF(JC16&lt;=Condition!$F$18,Condition!$D$18,IF(JC16&gt;Condition!$E$19,Condition!$D$19,"")))))</f>
        <v>0</v>
      </c>
      <c r="JD59" s="85">
        <f>IF(JD16&lt;=Condition!$E$16,0,IF(JD16&lt;=Condition!$F$16,Condition!$D$16,IF(JD16&lt;=Condition!$F$17,Condition!$D$17,IF(JD16&lt;=Condition!$F$18,Condition!$D$18,IF(JD16&gt;Condition!$E$19,Condition!$D$19,"")))))</f>
        <v>0</v>
      </c>
      <c r="JE59" s="85">
        <f>IF(JE16&lt;=Condition!$E$16,0,IF(JE16&lt;=Condition!$F$16,Condition!$D$16,IF(JE16&lt;=Condition!$F$17,Condition!$D$17,IF(JE16&lt;=Condition!$F$18,Condition!$D$18,IF(JE16&gt;Condition!$E$19,Condition!$D$19,"")))))</f>
        <v>0</v>
      </c>
      <c r="JF59" s="85">
        <f>IF(JF16&lt;=Condition!$E$16,0,IF(JF16&lt;=Condition!$F$16,Condition!$D$16,IF(JF16&lt;=Condition!$F$17,Condition!$D$17,IF(JF16&lt;=Condition!$F$18,Condition!$D$18,IF(JF16&gt;Condition!$E$19,Condition!$D$19,"")))))</f>
        <v>0</v>
      </c>
      <c r="JG59" s="85">
        <f>IF(JG16&lt;=Condition!$E$16,0,IF(JG16&lt;=Condition!$F$16,Condition!$D$16,IF(JG16&lt;=Condition!$F$17,Condition!$D$17,IF(JG16&lt;=Condition!$F$18,Condition!$D$18,IF(JG16&gt;Condition!$E$19,Condition!$D$19,"")))))</f>
        <v>0</v>
      </c>
      <c r="JH59" s="85">
        <f>IF(JH16&lt;=Condition!$E$16,0,IF(JH16&lt;=Condition!$F$16,Condition!$D$16,IF(JH16&lt;=Condition!$F$17,Condition!$D$17,IF(JH16&lt;=Condition!$F$18,Condition!$D$18,IF(JH16&gt;Condition!$E$19,Condition!$D$19,"")))))</f>
        <v>0</v>
      </c>
      <c r="JI59" s="85">
        <f>IF(JI16&lt;=Condition!$E$16,0,IF(JI16&lt;=Condition!$F$16,Condition!$D$16,IF(JI16&lt;=Condition!$F$17,Condition!$D$17,IF(JI16&lt;=Condition!$F$18,Condition!$D$18,IF(JI16&gt;Condition!$E$19,Condition!$D$19,"")))))</f>
        <v>0</v>
      </c>
      <c r="JJ59" s="85">
        <f>IF(JJ16&lt;=Condition!$E$16,0,IF(JJ16&lt;=Condition!$F$16,Condition!$D$16,IF(JJ16&lt;=Condition!$F$17,Condition!$D$17,IF(JJ16&lt;=Condition!$F$18,Condition!$D$18,IF(JJ16&gt;Condition!$E$19,Condition!$D$19,"")))))</f>
        <v>0</v>
      </c>
      <c r="JK59" s="85">
        <f>IF(JK16&lt;=Condition!$E$16,0,IF(JK16&lt;=Condition!$F$16,Condition!$D$16,IF(JK16&lt;=Condition!$F$17,Condition!$D$17,IF(JK16&lt;=Condition!$F$18,Condition!$D$18,IF(JK16&gt;Condition!$E$19,Condition!$D$19,"")))))</f>
        <v>0</v>
      </c>
      <c r="JL59" s="85">
        <f>IF(JL16&lt;=Condition!$E$16,0,IF(JL16&lt;=Condition!$F$16,Condition!$D$16,IF(JL16&lt;=Condition!$F$17,Condition!$D$17,IF(JL16&lt;=Condition!$F$18,Condition!$D$18,IF(JL16&gt;Condition!$E$19,Condition!$D$19,"")))))</f>
        <v>0</v>
      </c>
      <c r="JM59" s="85">
        <f>IF(JM16&lt;=Condition!$E$16,0,IF(JM16&lt;=Condition!$F$16,Condition!$D$16,IF(JM16&lt;=Condition!$F$17,Condition!$D$17,IF(JM16&lt;=Condition!$F$18,Condition!$D$18,IF(JM16&gt;Condition!$E$19,Condition!$D$19,"")))))</f>
        <v>0</v>
      </c>
      <c r="JN59" s="85">
        <f>IF(JN16&lt;=Condition!$E$16,0,IF(JN16&lt;=Condition!$F$16,Condition!$D$16,IF(JN16&lt;=Condition!$F$17,Condition!$D$17,IF(JN16&lt;=Condition!$F$18,Condition!$D$18,IF(JN16&gt;Condition!$E$19,Condition!$D$19,"")))))</f>
        <v>0</v>
      </c>
      <c r="JO59" s="85">
        <f>IF(JO16&lt;=Condition!$E$16,0,IF(JO16&lt;=Condition!$F$16,Condition!$D$16,IF(JO16&lt;=Condition!$F$17,Condition!$D$17,IF(JO16&lt;=Condition!$F$18,Condition!$D$18,IF(JO16&gt;Condition!$E$19,Condition!$D$19,"")))))</f>
        <v>0</v>
      </c>
      <c r="JP59" s="85">
        <f>IF(JP16&lt;=Condition!$E$16,0,IF(JP16&lt;=Condition!$F$16,Condition!$D$16,IF(JP16&lt;=Condition!$F$17,Condition!$D$17,IF(JP16&lt;=Condition!$F$18,Condition!$D$18,IF(JP16&gt;Condition!$E$19,Condition!$D$19,"")))))</f>
        <v>0</v>
      </c>
      <c r="JQ59" s="85">
        <f>IF(JQ16&lt;=Condition!$E$16,0,IF(JQ16&lt;=Condition!$F$16,Condition!$D$16,IF(JQ16&lt;=Condition!$F$17,Condition!$D$17,IF(JQ16&lt;=Condition!$F$18,Condition!$D$18,IF(JQ16&gt;Condition!$E$19,Condition!$D$19,"")))))</f>
        <v>0</v>
      </c>
      <c r="JR59" s="85">
        <f>IF(JR16&lt;=Condition!$E$16,0,IF(JR16&lt;=Condition!$F$16,Condition!$D$16,IF(JR16&lt;=Condition!$F$17,Condition!$D$17,IF(JR16&lt;=Condition!$F$18,Condition!$D$18,IF(JR16&gt;Condition!$E$19,Condition!$D$19,"")))))</f>
        <v>0</v>
      </c>
      <c r="JS59" s="85">
        <f>IF(JS16&lt;=Condition!$E$16,0,IF(JS16&lt;=Condition!$F$16,Condition!$D$16,IF(JS16&lt;=Condition!$F$17,Condition!$D$17,IF(JS16&lt;=Condition!$F$18,Condition!$D$18,IF(JS16&gt;Condition!$E$19,Condition!$D$19,"")))))</f>
        <v>0</v>
      </c>
      <c r="JT59" s="85">
        <f>IF(JT16&lt;=Condition!$E$16,0,IF(JT16&lt;=Condition!$F$16,Condition!$D$16,IF(JT16&lt;=Condition!$F$17,Condition!$D$17,IF(JT16&lt;=Condition!$F$18,Condition!$D$18,IF(JT16&gt;Condition!$E$19,Condition!$D$19,"")))))</f>
        <v>0</v>
      </c>
      <c r="JU59" s="85">
        <f>IF(JU16&lt;=Condition!$E$16,0,IF(JU16&lt;=Condition!$F$16,Condition!$D$16,IF(JU16&lt;=Condition!$F$17,Condition!$D$17,IF(JU16&lt;=Condition!$F$18,Condition!$D$18,IF(JU16&gt;Condition!$E$19,Condition!$D$19,"")))))</f>
        <v>0</v>
      </c>
      <c r="JV59" s="85">
        <f>IF(JV16&lt;=Condition!$E$16,0,IF(JV16&lt;=Condition!$F$16,Condition!$D$16,IF(JV16&lt;=Condition!$F$17,Condition!$D$17,IF(JV16&lt;=Condition!$F$18,Condition!$D$18,IF(JV16&gt;Condition!$E$19,Condition!$D$19,"")))))</f>
        <v>0</v>
      </c>
      <c r="JW59" s="85">
        <f>IF(JW16&lt;=Condition!$E$16,0,IF(JW16&lt;=Condition!$F$16,Condition!$D$16,IF(JW16&lt;=Condition!$F$17,Condition!$D$17,IF(JW16&lt;=Condition!$F$18,Condition!$D$18,IF(JW16&gt;Condition!$E$19,Condition!$D$19,"")))))</f>
        <v>0</v>
      </c>
      <c r="JX59" s="85">
        <f>IF(JX16&lt;=Condition!$E$16,0,IF(JX16&lt;=Condition!$F$16,Condition!$D$16,IF(JX16&lt;=Condition!$F$17,Condition!$D$17,IF(JX16&lt;=Condition!$F$18,Condition!$D$18,IF(JX16&gt;Condition!$E$19,Condition!$D$19,"")))))</f>
        <v>0</v>
      </c>
      <c r="JY59" s="85">
        <f>IF(JY16&lt;=Condition!$E$16,0,IF(JY16&lt;=Condition!$F$16,Condition!$D$16,IF(JY16&lt;=Condition!$F$17,Condition!$D$17,IF(JY16&lt;=Condition!$F$18,Condition!$D$18,IF(JY16&gt;Condition!$E$19,Condition!$D$19,"")))))</f>
        <v>0</v>
      </c>
      <c r="JZ59" s="85">
        <f>IF(JZ16&lt;=Condition!$E$16,0,IF(JZ16&lt;=Condition!$F$16,Condition!$D$16,IF(JZ16&lt;=Condition!$F$17,Condition!$D$17,IF(JZ16&lt;=Condition!$F$18,Condition!$D$18,IF(JZ16&gt;Condition!$E$19,Condition!$D$19,"")))))</f>
        <v>0</v>
      </c>
      <c r="KA59" s="85">
        <f>IF(KA16&lt;=Condition!$E$16,0,IF(KA16&lt;=Condition!$F$16,Condition!$D$16,IF(KA16&lt;=Condition!$F$17,Condition!$D$17,IF(KA16&lt;=Condition!$F$18,Condition!$D$18,IF(KA16&gt;Condition!$E$19,Condition!$D$19,"")))))</f>
        <v>0</v>
      </c>
      <c r="KB59" s="85">
        <f>IF(KB16&lt;=Condition!$E$16,0,IF(KB16&lt;=Condition!$F$16,Condition!$D$16,IF(KB16&lt;=Condition!$F$17,Condition!$D$17,IF(KB16&lt;=Condition!$F$18,Condition!$D$18,IF(KB16&gt;Condition!$E$19,Condition!$D$19,"")))))</f>
        <v>0</v>
      </c>
      <c r="KC59" s="85">
        <f>IF(KC16&lt;=Condition!$E$16,0,IF(KC16&lt;=Condition!$F$16,Condition!$D$16,IF(KC16&lt;=Condition!$F$17,Condition!$D$17,IF(KC16&lt;=Condition!$F$18,Condition!$D$18,IF(KC16&gt;Condition!$E$19,Condition!$D$19,"")))))</f>
        <v>0</v>
      </c>
      <c r="KD59" s="85">
        <f>IF(KD16&lt;=Condition!$E$16,0,IF(KD16&lt;=Condition!$F$16,Condition!$D$16,IF(KD16&lt;=Condition!$F$17,Condition!$D$17,IF(KD16&lt;=Condition!$F$18,Condition!$D$18,IF(KD16&gt;Condition!$E$19,Condition!$D$19,"")))))</f>
        <v>0</v>
      </c>
      <c r="KE59" s="85">
        <f>IF(KE16&lt;=Condition!$E$16,0,IF(KE16&lt;=Condition!$F$16,Condition!$D$16,IF(KE16&lt;=Condition!$F$17,Condition!$D$17,IF(KE16&lt;=Condition!$F$18,Condition!$D$18,IF(KE16&gt;Condition!$E$19,Condition!$D$19,"")))))</f>
        <v>0</v>
      </c>
      <c r="KF59" s="85">
        <f>IF(KF16&lt;=Condition!$E$16,0,IF(KF16&lt;=Condition!$F$16,Condition!$D$16,IF(KF16&lt;=Condition!$F$17,Condition!$D$17,IF(KF16&lt;=Condition!$F$18,Condition!$D$18,IF(KF16&gt;Condition!$E$19,Condition!$D$19,"")))))</f>
        <v>0</v>
      </c>
      <c r="KG59" s="85">
        <f>IF(KG16&lt;=Condition!$E$16,0,IF(KG16&lt;=Condition!$F$16,Condition!$D$16,IF(KG16&lt;=Condition!$F$17,Condition!$D$17,IF(KG16&lt;=Condition!$F$18,Condition!$D$18,IF(KG16&gt;Condition!$E$19,Condition!$D$19,"")))))</f>
        <v>0</v>
      </c>
      <c r="KH59" s="85">
        <f>IF(KH16&lt;=Condition!$E$16,0,IF(KH16&lt;=Condition!$F$16,Condition!$D$16,IF(KH16&lt;=Condition!$F$17,Condition!$D$17,IF(KH16&lt;=Condition!$F$18,Condition!$D$18,IF(KH16&gt;Condition!$E$19,Condition!$D$19,"")))))</f>
        <v>0</v>
      </c>
      <c r="KI59" s="85">
        <f>IF(KI16&lt;=Condition!$E$16,0,IF(KI16&lt;=Condition!$F$16,Condition!$D$16,IF(KI16&lt;=Condition!$F$17,Condition!$D$17,IF(KI16&lt;=Condition!$F$18,Condition!$D$18,IF(KI16&gt;Condition!$E$19,Condition!$D$19,"")))))</f>
        <v>0</v>
      </c>
    </row>
    <row r="60" spans="2:295" x14ac:dyDescent="0.25">
      <c r="B60" s="15">
        <f t="shared" ref="B60:E60" si="15">B17</f>
        <v>5</v>
      </c>
      <c r="C60" s="25" t="str">
        <f t="shared" si="15"/>
        <v>DSL-DHK</v>
      </c>
      <c r="D60" s="25" t="str">
        <f t="shared" si="15"/>
        <v>Md. Rakibul Islam</v>
      </c>
      <c r="E60" s="26">
        <f t="shared" si="15"/>
        <v>5690</v>
      </c>
      <c r="F60" s="112">
        <f t="shared" si="4"/>
        <v>0</v>
      </c>
      <c r="G60" s="112">
        <f t="shared" si="5"/>
        <v>0</v>
      </c>
      <c r="H60" s="85">
        <f>IF(H17&lt;=Condition!$E$16,0,IF(H17&lt;=Condition!$F$16,Condition!$D$16,IF(H17&lt;=Condition!$F$17,Condition!$D$17,IF(H17&lt;=Condition!$F$18,Condition!$D$18,IF(H17&gt;Condition!$E$19,Condition!$D$19,"")))))</f>
        <v>0</v>
      </c>
      <c r="I60" s="85">
        <f>IF(I17&lt;=Condition!$E$16,0,IF(I17&lt;=Condition!$F$16,Condition!$D$16,IF(I17&lt;=Condition!$F$17,Condition!$D$17,IF(I17&lt;=Condition!$F$18,Condition!$D$18,IF(I17&gt;Condition!$E$19,Condition!$D$19,"")))))</f>
        <v>0</v>
      </c>
      <c r="J60" s="85">
        <f>IF(J17&lt;=Condition!$E$16,0,IF(J17&lt;=Condition!$F$16,Condition!$D$16,IF(J17&lt;=Condition!$F$17,Condition!$D$17,IF(J17&lt;=Condition!$F$18,Condition!$D$18,IF(J17&gt;Condition!$E$19,Condition!$D$19,"")))))</f>
        <v>0</v>
      </c>
      <c r="K60" s="85">
        <f>IF(K17&lt;=Condition!$E$16,0,IF(K17&lt;=Condition!$F$16,Condition!$D$16,IF(K17&lt;=Condition!$F$17,Condition!$D$17,IF(K17&lt;=Condition!$F$18,Condition!$D$18,IF(K17&gt;Condition!$E$19,Condition!$D$19,"")))))</f>
        <v>0</v>
      </c>
      <c r="L60" s="85">
        <f>IF(L17&lt;=Condition!$E$16,0,IF(L17&lt;=Condition!$F$16,Condition!$D$16,IF(L17&lt;=Condition!$F$17,Condition!$D$17,IF(L17&lt;=Condition!$F$18,Condition!$D$18,IF(L17&gt;Condition!$E$19,Condition!$D$19,"")))))</f>
        <v>0</v>
      </c>
      <c r="M60" s="85">
        <f>IF(M17&lt;=Condition!$E$16,0,IF(M17&lt;=Condition!$F$16,Condition!$D$16,IF(M17&lt;=Condition!$F$17,Condition!$D$17,IF(M17&lt;=Condition!$F$18,Condition!$D$18,IF(M17&gt;Condition!$E$19,Condition!$D$19,"")))))</f>
        <v>0</v>
      </c>
      <c r="N60" s="85">
        <f>IF(N17&lt;=Condition!$E$16,0,IF(N17&lt;=Condition!$F$16,Condition!$D$16,IF(N17&lt;=Condition!$F$17,Condition!$D$17,IF(N17&lt;=Condition!$F$18,Condition!$D$18,IF(N17&gt;Condition!$E$19,Condition!$D$19,"")))))</f>
        <v>0</v>
      </c>
      <c r="O60" s="85">
        <f>IF(O17&lt;=Condition!$E$16,0,IF(O17&lt;=Condition!$F$16,Condition!$D$16,IF(O17&lt;=Condition!$F$17,Condition!$D$17,IF(O17&lt;=Condition!$F$18,Condition!$D$18,IF(O17&gt;Condition!$E$19,Condition!$D$19,"")))))</f>
        <v>0</v>
      </c>
      <c r="P60" s="85">
        <f>IF(P17&lt;=Condition!$E$16,0,IF(P17&lt;=Condition!$F$16,Condition!$D$16,IF(P17&lt;=Condition!$F$17,Condition!$D$17,IF(P17&lt;=Condition!$F$18,Condition!$D$18,IF(P17&gt;Condition!$E$19,Condition!$D$19,"")))))</f>
        <v>0</v>
      </c>
      <c r="Q60" s="85">
        <f>IF(Q17&lt;=Condition!$E$16,0,IF(Q17&lt;=Condition!$F$16,Condition!$D$16,IF(Q17&lt;=Condition!$F$17,Condition!$D$17,IF(Q17&lt;=Condition!$F$18,Condition!$D$18,IF(Q17&gt;Condition!$E$19,Condition!$D$19,"")))))</f>
        <v>0</v>
      </c>
      <c r="R60" s="85">
        <f>IF(R17&lt;=Condition!$E$16,0,IF(R17&lt;=Condition!$F$16,Condition!$D$16,IF(R17&lt;=Condition!$F$17,Condition!$D$17,IF(R17&lt;=Condition!$F$18,Condition!$D$18,IF(R17&gt;Condition!$E$19,Condition!$D$19,"")))))</f>
        <v>0</v>
      </c>
      <c r="S60" s="85">
        <f>IF(S17&lt;=Condition!$E$16,0,IF(S17&lt;=Condition!$F$16,Condition!$D$16,IF(S17&lt;=Condition!$F$17,Condition!$D$17,IF(S17&lt;=Condition!$F$18,Condition!$D$18,IF(S17&gt;Condition!$E$19,Condition!$D$19,"")))))</f>
        <v>0</v>
      </c>
      <c r="T60" s="85">
        <f>IF(T17&lt;=Condition!$E$16,0,IF(T17&lt;=Condition!$F$16,Condition!$D$16,IF(T17&lt;=Condition!$F$17,Condition!$D$17,IF(T17&lt;=Condition!$F$18,Condition!$D$18,IF(T17&gt;Condition!$E$19,Condition!$D$19,"")))))</f>
        <v>0</v>
      </c>
      <c r="U60" s="85">
        <f>IF(U17&lt;=Condition!$E$16,0,IF(U17&lt;=Condition!$F$16,Condition!$D$16,IF(U17&lt;=Condition!$F$17,Condition!$D$17,IF(U17&lt;=Condition!$F$18,Condition!$D$18,IF(U17&gt;Condition!$E$19,Condition!$D$19,"")))))</f>
        <v>0</v>
      </c>
      <c r="V60" s="85">
        <f>IF(V17&lt;=Condition!$E$16,0,IF(V17&lt;=Condition!$F$16,Condition!$D$16,IF(V17&lt;=Condition!$F$17,Condition!$D$17,IF(V17&lt;=Condition!$F$18,Condition!$D$18,IF(V17&gt;Condition!$E$19,Condition!$D$19,"")))))</f>
        <v>0</v>
      </c>
      <c r="W60" s="85">
        <f>IF(W17&lt;=Condition!$E$16,0,IF(W17&lt;=Condition!$F$16,Condition!$D$16,IF(W17&lt;=Condition!$F$17,Condition!$D$17,IF(W17&lt;=Condition!$F$18,Condition!$D$18,IF(W17&gt;Condition!$E$19,Condition!$D$19,"")))))</f>
        <v>0</v>
      </c>
      <c r="X60" s="85">
        <f>IF(X17&lt;=Condition!$E$16,0,IF(X17&lt;=Condition!$F$16,Condition!$D$16,IF(X17&lt;=Condition!$F$17,Condition!$D$17,IF(X17&lt;=Condition!$F$18,Condition!$D$18,IF(X17&gt;Condition!$E$19,Condition!$D$19,"")))))</f>
        <v>0</v>
      </c>
      <c r="Y60" s="85">
        <f>IF(Y17&lt;=Condition!$E$16,0,IF(Y17&lt;=Condition!$F$16,Condition!$D$16,IF(Y17&lt;=Condition!$F$17,Condition!$D$17,IF(Y17&lt;=Condition!$F$18,Condition!$D$18,IF(Y17&gt;Condition!$E$19,Condition!$D$19,"")))))</f>
        <v>0</v>
      </c>
      <c r="Z60" s="85">
        <f>IF(Z17&lt;=Condition!$E$16,0,IF(Z17&lt;=Condition!$F$16,Condition!$D$16,IF(Z17&lt;=Condition!$F$17,Condition!$D$17,IF(Z17&lt;=Condition!$F$18,Condition!$D$18,IF(Z17&gt;Condition!$E$19,Condition!$D$19,"")))))</f>
        <v>0</v>
      </c>
      <c r="AA60" s="85">
        <f>IF(AA17&lt;=Condition!$E$16,0,IF(AA17&lt;=Condition!$F$16,Condition!$D$16,IF(AA17&lt;=Condition!$F$17,Condition!$D$17,IF(AA17&lt;=Condition!$F$18,Condition!$D$18,IF(AA17&gt;Condition!$E$19,Condition!$D$19,"")))))</f>
        <v>0</v>
      </c>
      <c r="AB60" s="85">
        <f>IF(AB17&lt;=Condition!$E$16,0,IF(AB17&lt;=Condition!$F$16,Condition!$D$16,IF(AB17&lt;=Condition!$F$17,Condition!$D$17,IF(AB17&lt;=Condition!$F$18,Condition!$D$18,IF(AB17&gt;Condition!$E$19,Condition!$D$19,"")))))</f>
        <v>0</v>
      </c>
      <c r="AC60" s="85">
        <f>IF(AC17&lt;=Condition!$E$16,0,IF(AC17&lt;=Condition!$F$16,Condition!$D$16,IF(AC17&lt;=Condition!$F$17,Condition!$D$17,IF(AC17&lt;=Condition!$F$18,Condition!$D$18,IF(AC17&gt;Condition!$E$19,Condition!$D$19,"")))))</f>
        <v>0</v>
      </c>
      <c r="AD60" s="85">
        <f>IF(AD17&lt;=Condition!$E$16,0,IF(AD17&lt;=Condition!$F$16,Condition!$D$16,IF(AD17&lt;=Condition!$F$17,Condition!$D$17,IF(AD17&lt;=Condition!$F$18,Condition!$D$18,IF(AD17&gt;Condition!$E$19,Condition!$D$19,"")))))</f>
        <v>0</v>
      </c>
      <c r="AE60" s="85">
        <f>IF(AE17&lt;=Condition!$E$16,0,IF(AE17&lt;=Condition!$F$16,Condition!$D$16,IF(AE17&lt;=Condition!$F$17,Condition!$D$17,IF(AE17&lt;=Condition!$F$18,Condition!$D$18,IF(AE17&gt;Condition!$E$19,Condition!$D$19,"")))))</f>
        <v>0</v>
      </c>
      <c r="AF60" s="85">
        <f>IF(AF17&lt;=Condition!$E$16,0,IF(AF17&lt;=Condition!$F$16,Condition!$D$16,IF(AF17&lt;=Condition!$F$17,Condition!$D$17,IF(AF17&lt;=Condition!$F$18,Condition!$D$18,IF(AF17&gt;Condition!$E$19,Condition!$D$19,"")))))</f>
        <v>0</v>
      </c>
      <c r="AG60" s="85">
        <f>IF(AG17&lt;=Condition!$E$16,0,IF(AG17&lt;=Condition!$F$16,Condition!$D$16,IF(AG17&lt;=Condition!$F$17,Condition!$D$17,IF(AG17&lt;=Condition!$F$18,Condition!$D$18,IF(AG17&gt;Condition!$E$19,Condition!$D$19,"")))))</f>
        <v>0</v>
      </c>
      <c r="AH60" s="85">
        <f>IF(AH17&lt;=Condition!$E$16,0,IF(AH17&lt;=Condition!$F$16,Condition!$D$16,IF(AH17&lt;=Condition!$F$17,Condition!$D$17,IF(AH17&lt;=Condition!$F$18,Condition!$D$18,IF(AH17&gt;Condition!$E$19,Condition!$D$19,"")))))</f>
        <v>0</v>
      </c>
      <c r="AI60" s="85">
        <f>IF(AI17&lt;=Condition!$E$16,0,IF(AI17&lt;=Condition!$F$16,Condition!$D$16,IF(AI17&lt;=Condition!$F$17,Condition!$D$17,IF(AI17&lt;=Condition!$F$18,Condition!$D$18,IF(AI17&gt;Condition!$E$19,Condition!$D$19,"")))))</f>
        <v>0</v>
      </c>
      <c r="AJ60" s="85">
        <f>IF(AJ17&lt;=Condition!$E$16,0,IF(AJ17&lt;=Condition!$F$16,Condition!$D$16,IF(AJ17&lt;=Condition!$F$17,Condition!$D$17,IF(AJ17&lt;=Condition!$F$18,Condition!$D$18,IF(AJ17&gt;Condition!$E$19,Condition!$D$19,"")))))</f>
        <v>0</v>
      </c>
      <c r="AK60" s="85">
        <f>IF(AK17&lt;=Condition!$E$16,0,IF(AK17&lt;=Condition!$F$16,Condition!$D$16,IF(AK17&lt;=Condition!$F$17,Condition!$D$17,IF(AK17&lt;=Condition!$F$18,Condition!$D$18,IF(AK17&gt;Condition!$E$19,Condition!$D$19,"")))))</f>
        <v>0</v>
      </c>
      <c r="AL60" s="85">
        <f>IF(AL17&lt;=Condition!$E$16,0,IF(AL17&lt;=Condition!$F$16,Condition!$D$16,IF(AL17&lt;=Condition!$F$17,Condition!$D$17,IF(AL17&lt;=Condition!$F$18,Condition!$D$18,IF(AL17&gt;Condition!$E$19,Condition!$D$19,"")))))</f>
        <v>0</v>
      </c>
      <c r="AM60" s="85">
        <f>IF(AM17&lt;=Condition!$E$16,0,IF(AM17&lt;=Condition!$F$16,Condition!$D$16,IF(AM17&lt;=Condition!$F$17,Condition!$D$17,IF(AM17&lt;=Condition!$F$18,Condition!$D$18,IF(AM17&gt;Condition!$E$19,Condition!$D$19,"")))))</f>
        <v>0</v>
      </c>
      <c r="AN60" s="85">
        <f>IF(AN17&lt;=Condition!$E$16,0,IF(AN17&lt;=Condition!$F$16,Condition!$D$16,IF(AN17&lt;=Condition!$F$17,Condition!$D$17,IF(AN17&lt;=Condition!$F$18,Condition!$D$18,IF(AN17&gt;Condition!$E$19,Condition!$D$19,"")))))</f>
        <v>0</v>
      </c>
      <c r="AO60" s="85">
        <f>IF(AO17&lt;=Condition!$E$16,0,IF(AO17&lt;=Condition!$F$16,Condition!$D$16,IF(AO17&lt;=Condition!$F$17,Condition!$D$17,IF(AO17&lt;=Condition!$F$18,Condition!$D$18,IF(AO17&gt;Condition!$E$19,Condition!$D$19,"")))))</f>
        <v>0</v>
      </c>
      <c r="AP60" s="85">
        <f>IF(AP17&lt;=Condition!$E$16,0,IF(AP17&lt;=Condition!$F$16,Condition!$D$16,IF(AP17&lt;=Condition!$F$17,Condition!$D$17,IF(AP17&lt;=Condition!$F$18,Condition!$D$18,IF(AP17&gt;Condition!$E$19,Condition!$D$19,"")))))</f>
        <v>0</v>
      </c>
      <c r="AQ60" s="85">
        <f>IF(AQ17&lt;=Condition!$E$16,0,IF(AQ17&lt;=Condition!$F$16,Condition!$D$16,IF(AQ17&lt;=Condition!$F$17,Condition!$D$17,IF(AQ17&lt;=Condition!$F$18,Condition!$D$18,IF(AQ17&gt;Condition!$E$19,Condition!$D$19,"")))))</f>
        <v>0</v>
      </c>
      <c r="AR60" s="85">
        <f>IF(AR17&lt;=Condition!$E$16,0,IF(AR17&lt;=Condition!$F$16,Condition!$D$16,IF(AR17&lt;=Condition!$F$17,Condition!$D$17,IF(AR17&lt;=Condition!$F$18,Condition!$D$18,IF(AR17&gt;Condition!$E$19,Condition!$D$19,"")))))</f>
        <v>0</v>
      </c>
      <c r="AS60" s="85">
        <f>IF(AS17&lt;=Condition!$E$16,0,IF(AS17&lt;=Condition!$F$16,Condition!$D$16,IF(AS17&lt;=Condition!$F$17,Condition!$D$17,IF(AS17&lt;=Condition!$F$18,Condition!$D$18,IF(AS17&gt;Condition!$E$19,Condition!$D$19,"")))))</f>
        <v>0</v>
      </c>
      <c r="AT60" s="85">
        <f>IF(AT17&lt;=Condition!$E$16,0,IF(AT17&lt;=Condition!$F$16,Condition!$D$16,IF(AT17&lt;=Condition!$F$17,Condition!$D$17,IF(AT17&lt;=Condition!$F$18,Condition!$D$18,IF(AT17&gt;Condition!$E$19,Condition!$D$19,"")))))</f>
        <v>0</v>
      </c>
      <c r="AU60" s="85">
        <f>IF(AU17&lt;=Condition!$E$16,0,IF(AU17&lt;=Condition!$F$16,Condition!$D$16,IF(AU17&lt;=Condition!$F$17,Condition!$D$17,IF(AU17&lt;=Condition!$F$18,Condition!$D$18,IF(AU17&gt;Condition!$E$19,Condition!$D$19,"")))))</f>
        <v>0</v>
      </c>
      <c r="AV60" s="85">
        <f>IF(AV17&lt;=Condition!$E$16,0,IF(AV17&lt;=Condition!$F$16,Condition!$D$16,IF(AV17&lt;=Condition!$F$17,Condition!$D$17,IF(AV17&lt;=Condition!$F$18,Condition!$D$18,IF(AV17&gt;Condition!$E$19,Condition!$D$19,"")))))</f>
        <v>0</v>
      </c>
      <c r="AW60" s="85">
        <f>IF(AW17&lt;=Condition!$E$16,0,IF(AW17&lt;=Condition!$F$16,Condition!$D$16,IF(AW17&lt;=Condition!$F$17,Condition!$D$17,IF(AW17&lt;=Condition!$F$18,Condition!$D$18,IF(AW17&gt;Condition!$E$19,Condition!$D$19,"")))))</f>
        <v>0</v>
      </c>
      <c r="AX60" s="85">
        <f>IF(AX17&lt;=Condition!$E$16,0,IF(AX17&lt;=Condition!$F$16,Condition!$D$16,IF(AX17&lt;=Condition!$F$17,Condition!$D$17,IF(AX17&lt;=Condition!$F$18,Condition!$D$18,IF(AX17&gt;Condition!$E$19,Condition!$D$19,"")))))</f>
        <v>0</v>
      </c>
      <c r="AY60" s="85">
        <f>IF(AY17&lt;=Condition!$E$16,0,IF(AY17&lt;=Condition!$F$16,Condition!$D$16,IF(AY17&lt;=Condition!$F$17,Condition!$D$17,IF(AY17&lt;=Condition!$F$18,Condition!$D$18,IF(AY17&gt;Condition!$E$19,Condition!$D$19,"")))))</f>
        <v>0</v>
      </c>
      <c r="AZ60" s="85">
        <f>IF(AZ17&lt;=Condition!$E$16,0,IF(AZ17&lt;=Condition!$F$16,Condition!$D$16,IF(AZ17&lt;=Condition!$F$17,Condition!$D$17,IF(AZ17&lt;=Condition!$F$18,Condition!$D$18,IF(AZ17&gt;Condition!$E$19,Condition!$D$19,"")))))</f>
        <v>0</v>
      </c>
      <c r="BA60" s="85">
        <f>IF(BA17&lt;=Condition!$E$16,0,IF(BA17&lt;=Condition!$F$16,Condition!$D$16,IF(BA17&lt;=Condition!$F$17,Condition!$D$17,IF(BA17&lt;=Condition!$F$18,Condition!$D$18,IF(BA17&gt;Condition!$E$19,Condition!$D$19,"")))))</f>
        <v>0</v>
      </c>
      <c r="BB60" s="85">
        <f>IF(BB17&lt;=Condition!$E$16,0,IF(BB17&lt;=Condition!$F$16,Condition!$D$16,IF(BB17&lt;=Condition!$F$17,Condition!$D$17,IF(BB17&lt;=Condition!$F$18,Condition!$D$18,IF(BB17&gt;Condition!$E$19,Condition!$D$19,"")))))</f>
        <v>0</v>
      </c>
      <c r="BC60" s="85">
        <f>IF(BC17&lt;=Condition!$E$16,0,IF(BC17&lt;=Condition!$F$16,Condition!$D$16,IF(BC17&lt;=Condition!$F$17,Condition!$D$17,IF(BC17&lt;=Condition!$F$18,Condition!$D$18,IF(BC17&gt;Condition!$E$19,Condition!$D$19,"")))))</f>
        <v>0</v>
      </c>
      <c r="BD60" s="85">
        <f>IF(BD17&lt;=Condition!$E$16,0,IF(BD17&lt;=Condition!$F$16,Condition!$D$16,IF(BD17&lt;=Condition!$F$17,Condition!$D$17,IF(BD17&lt;=Condition!$F$18,Condition!$D$18,IF(BD17&gt;Condition!$E$19,Condition!$D$19,"")))))</f>
        <v>0</v>
      </c>
      <c r="BE60" s="85">
        <f>IF(BE17&lt;=Condition!$E$16,0,IF(BE17&lt;=Condition!$F$16,Condition!$D$16,IF(BE17&lt;=Condition!$F$17,Condition!$D$17,IF(BE17&lt;=Condition!$F$18,Condition!$D$18,IF(BE17&gt;Condition!$E$19,Condition!$D$19,"")))))</f>
        <v>0</v>
      </c>
      <c r="BF60" s="85">
        <f>IF(BF17&lt;=Condition!$E$16,0,IF(BF17&lt;=Condition!$F$16,Condition!$D$16,IF(BF17&lt;=Condition!$F$17,Condition!$D$17,IF(BF17&lt;=Condition!$F$18,Condition!$D$18,IF(BF17&gt;Condition!$E$19,Condition!$D$19,"")))))</f>
        <v>0</v>
      </c>
      <c r="BG60" s="85">
        <f>IF(BG17&lt;=Condition!$E$16,0,IF(BG17&lt;=Condition!$F$16,Condition!$D$16,IF(BG17&lt;=Condition!$F$17,Condition!$D$17,IF(BG17&lt;=Condition!$F$18,Condition!$D$18,IF(BG17&gt;Condition!$E$19,Condition!$D$19,"")))))</f>
        <v>0</v>
      </c>
      <c r="BH60" s="85">
        <f>IF(BH17&lt;=Condition!$E$16,0,IF(BH17&lt;=Condition!$F$16,Condition!$D$16,IF(BH17&lt;=Condition!$F$17,Condition!$D$17,IF(BH17&lt;=Condition!$F$18,Condition!$D$18,IF(BH17&gt;Condition!$E$19,Condition!$D$19,"")))))</f>
        <v>0</v>
      </c>
      <c r="BI60" s="85">
        <f>IF(BI17&lt;=Condition!$E$16,0,IF(BI17&lt;=Condition!$F$16,Condition!$D$16,IF(BI17&lt;=Condition!$F$17,Condition!$D$17,IF(BI17&lt;=Condition!$F$18,Condition!$D$18,IF(BI17&gt;Condition!$E$19,Condition!$D$19,"")))))</f>
        <v>0</v>
      </c>
      <c r="BJ60" s="85">
        <f>IF(BJ17&lt;=Condition!$E$16,0,IF(BJ17&lt;=Condition!$F$16,Condition!$D$16,IF(BJ17&lt;=Condition!$F$17,Condition!$D$17,IF(BJ17&lt;=Condition!$F$18,Condition!$D$18,IF(BJ17&gt;Condition!$E$19,Condition!$D$19,"")))))</f>
        <v>0</v>
      </c>
      <c r="BK60" s="85">
        <f>IF(BK17&lt;=Condition!$E$16,0,IF(BK17&lt;=Condition!$F$16,Condition!$D$16,IF(BK17&lt;=Condition!$F$17,Condition!$D$17,IF(BK17&lt;=Condition!$F$18,Condition!$D$18,IF(BK17&gt;Condition!$E$19,Condition!$D$19,"")))))</f>
        <v>0</v>
      </c>
      <c r="BL60" s="85">
        <f>IF(BL17&lt;=Condition!$E$16,0,IF(BL17&lt;=Condition!$F$16,Condition!$D$16,IF(BL17&lt;=Condition!$F$17,Condition!$D$17,IF(BL17&lt;=Condition!$F$18,Condition!$D$18,IF(BL17&gt;Condition!$E$19,Condition!$D$19,"")))))</f>
        <v>0</v>
      </c>
      <c r="BM60" s="85">
        <f>IF(BM17&lt;=Condition!$E$16,0,IF(BM17&lt;=Condition!$F$16,Condition!$D$16,IF(BM17&lt;=Condition!$F$17,Condition!$D$17,IF(BM17&lt;=Condition!$F$18,Condition!$D$18,IF(BM17&gt;Condition!$E$19,Condition!$D$19,"")))))</f>
        <v>0</v>
      </c>
      <c r="BN60" s="85">
        <f>IF(BN17&lt;=Condition!$E$16,0,IF(BN17&lt;=Condition!$F$16,Condition!$D$16,IF(BN17&lt;=Condition!$F$17,Condition!$D$17,IF(BN17&lt;=Condition!$F$18,Condition!$D$18,IF(BN17&gt;Condition!$E$19,Condition!$D$19,"")))))</f>
        <v>0</v>
      </c>
      <c r="BO60" s="85">
        <f>IF(BO17&lt;=Condition!$E$16,0,IF(BO17&lt;=Condition!$F$16,Condition!$D$16,IF(BO17&lt;=Condition!$F$17,Condition!$D$17,IF(BO17&lt;=Condition!$F$18,Condition!$D$18,IF(BO17&gt;Condition!$E$19,Condition!$D$19,"")))))</f>
        <v>0</v>
      </c>
      <c r="BP60" s="85">
        <f>IF(BP17&lt;=Condition!$E$16,0,IF(BP17&lt;=Condition!$F$16,Condition!$D$16,IF(BP17&lt;=Condition!$F$17,Condition!$D$17,IF(BP17&lt;=Condition!$F$18,Condition!$D$18,IF(BP17&gt;Condition!$E$19,Condition!$D$19,"")))))</f>
        <v>0</v>
      </c>
      <c r="BQ60" s="85">
        <f>IF(BQ17&lt;=Condition!$E$16,0,IF(BQ17&lt;=Condition!$F$16,Condition!$D$16,IF(BQ17&lt;=Condition!$F$17,Condition!$D$17,IF(BQ17&lt;=Condition!$F$18,Condition!$D$18,IF(BQ17&gt;Condition!$E$19,Condition!$D$19,"")))))</f>
        <v>0</v>
      </c>
      <c r="BR60" s="85">
        <f>IF(BR17&lt;=Condition!$E$16,0,IF(BR17&lt;=Condition!$F$16,Condition!$D$16,IF(BR17&lt;=Condition!$F$17,Condition!$D$17,IF(BR17&lt;=Condition!$F$18,Condition!$D$18,IF(BR17&gt;Condition!$E$19,Condition!$D$19,"")))))</f>
        <v>0</v>
      </c>
      <c r="BS60" s="85">
        <f>IF(BS17&lt;=Condition!$E$16,0,IF(BS17&lt;=Condition!$F$16,Condition!$D$16,IF(BS17&lt;=Condition!$F$17,Condition!$D$17,IF(BS17&lt;=Condition!$F$18,Condition!$D$18,IF(BS17&gt;Condition!$E$19,Condition!$D$19,"")))))</f>
        <v>0</v>
      </c>
      <c r="BT60" s="85">
        <f>IF(BT17&lt;=Condition!$E$16,0,IF(BT17&lt;=Condition!$F$16,Condition!$D$16,IF(BT17&lt;=Condition!$F$17,Condition!$D$17,IF(BT17&lt;=Condition!$F$18,Condition!$D$18,IF(BT17&gt;Condition!$E$19,Condition!$D$19,"")))))</f>
        <v>0</v>
      </c>
      <c r="BU60" s="85">
        <f>IF(BU17&lt;=Condition!$E$16,0,IF(BU17&lt;=Condition!$F$16,Condition!$D$16,IF(BU17&lt;=Condition!$F$17,Condition!$D$17,IF(BU17&lt;=Condition!$F$18,Condition!$D$18,IF(BU17&gt;Condition!$E$19,Condition!$D$19,"")))))</f>
        <v>0</v>
      </c>
      <c r="BV60" s="85">
        <f>IF(BV17&lt;=Condition!$E$16,0,IF(BV17&lt;=Condition!$F$16,Condition!$D$16,IF(BV17&lt;=Condition!$F$17,Condition!$D$17,IF(BV17&lt;=Condition!$F$18,Condition!$D$18,IF(BV17&gt;Condition!$E$19,Condition!$D$19,"")))))</f>
        <v>0</v>
      </c>
      <c r="BW60" s="85">
        <f>IF(BW17&lt;=Condition!$E$16,0,IF(BW17&lt;=Condition!$F$16,Condition!$D$16,IF(BW17&lt;=Condition!$F$17,Condition!$D$17,IF(BW17&lt;=Condition!$F$18,Condition!$D$18,IF(BW17&gt;Condition!$E$19,Condition!$D$19,"")))))</f>
        <v>0</v>
      </c>
      <c r="BX60" s="85">
        <f>IF(BX17&lt;=Condition!$E$16,0,IF(BX17&lt;=Condition!$F$16,Condition!$D$16,IF(BX17&lt;=Condition!$F$17,Condition!$D$17,IF(BX17&lt;=Condition!$F$18,Condition!$D$18,IF(BX17&gt;Condition!$E$19,Condition!$D$19,"")))))</f>
        <v>0</v>
      </c>
      <c r="BY60" s="85">
        <f>IF(BY17&lt;=Condition!$E$16,0,IF(BY17&lt;=Condition!$F$16,Condition!$D$16,IF(BY17&lt;=Condition!$F$17,Condition!$D$17,IF(BY17&lt;=Condition!$F$18,Condition!$D$18,IF(BY17&gt;Condition!$E$19,Condition!$D$19,"")))))</f>
        <v>0</v>
      </c>
      <c r="BZ60" s="85">
        <f>IF(BZ17&lt;=Condition!$E$16,0,IF(BZ17&lt;=Condition!$F$16,Condition!$D$16,IF(BZ17&lt;=Condition!$F$17,Condition!$D$17,IF(BZ17&lt;=Condition!$F$18,Condition!$D$18,IF(BZ17&gt;Condition!$E$19,Condition!$D$19,"")))))</f>
        <v>0</v>
      </c>
      <c r="CA60" s="85">
        <f>IF(CA17&lt;=Condition!$E$16,0,IF(CA17&lt;=Condition!$F$16,Condition!$D$16,IF(CA17&lt;=Condition!$F$17,Condition!$D$17,IF(CA17&lt;=Condition!$F$18,Condition!$D$18,IF(CA17&gt;Condition!$E$19,Condition!$D$19,"")))))</f>
        <v>0</v>
      </c>
      <c r="CB60" s="85">
        <f>IF(CB17&lt;=Condition!$E$16,0,IF(CB17&lt;=Condition!$F$16,Condition!$D$16,IF(CB17&lt;=Condition!$F$17,Condition!$D$17,IF(CB17&lt;=Condition!$F$18,Condition!$D$18,IF(CB17&gt;Condition!$E$19,Condition!$D$19,"")))))</f>
        <v>0</v>
      </c>
      <c r="CC60" s="85">
        <f>IF(CC17&lt;=Condition!$E$16,0,IF(CC17&lt;=Condition!$F$16,Condition!$D$16,IF(CC17&lt;=Condition!$F$17,Condition!$D$17,IF(CC17&lt;=Condition!$F$18,Condition!$D$18,IF(CC17&gt;Condition!$E$19,Condition!$D$19,"")))))</f>
        <v>0</v>
      </c>
      <c r="CD60" s="85">
        <f>IF(CD17&lt;=Condition!$E$16,0,IF(CD17&lt;=Condition!$F$16,Condition!$D$16,IF(CD17&lt;=Condition!$F$17,Condition!$D$17,IF(CD17&lt;=Condition!$F$18,Condition!$D$18,IF(CD17&gt;Condition!$E$19,Condition!$D$19,"")))))</f>
        <v>0</v>
      </c>
      <c r="CE60" s="85">
        <f>IF(CE17&lt;=Condition!$E$16,0,IF(CE17&lt;=Condition!$F$16,Condition!$D$16,IF(CE17&lt;=Condition!$F$17,Condition!$D$17,IF(CE17&lt;=Condition!$F$18,Condition!$D$18,IF(CE17&gt;Condition!$E$19,Condition!$D$19,"")))))</f>
        <v>0</v>
      </c>
      <c r="CF60" s="85">
        <f>IF(CF17&lt;=Condition!$E$16,0,IF(CF17&lt;=Condition!$F$16,Condition!$D$16,IF(CF17&lt;=Condition!$F$17,Condition!$D$17,IF(CF17&lt;=Condition!$F$18,Condition!$D$18,IF(CF17&gt;Condition!$E$19,Condition!$D$19,"")))))</f>
        <v>0</v>
      </c>
      <c r="CG60" s="85">
        <f>IF(CG17&lt;=Condition!$E$16,0,IF(CG17&lt;=Condition!$F$16,Condition!$D$16,IF(CG17&lt;=Condition!$F$17,Condition!$D$17,IF(CG17&lt;=Condition!$F$18,Condition!$D$18,IF(CG17&gt;Condition!$E$19,Condition!$D$19,"")))))</f>
        <v>0</v>
      </c>
      <c r="CH60" s="85">
        <f>IF(CH17&lt;=Condition!$E$16,0,IF(CH17&lt;=Condition!$F$16,Condition!$D$16,IF(CH17&lt;=Condition!$F$17,Condition!$D$17,IF(CH17&lt;=Condition!$F$18,Condition!$D$18,IF(CH17&gt;Condition!$E$19,Condition!$D$19,"")))))</f>
        <v>0</v>
      </c>
      <c r="CI60" s="85">
        <f>IF(CI17&lt;=Condition!$E$16,0,IF(CI17&lt;=Condition!$F$16,Condition!$D$16,IF(CI17&lt;=Condition!$F$17,Condition!$D$17,IF(CI17&lt;=Condition!$F$18,Condition!$D$18,IF(CI17&gt;Condition!$E$19,Condition!$D$19,"")))))</f>
        <v>0</v>
      </c>
      <c r="CJ60" s="85">
        <f>IF(CJ17&lt;=Condition!$E$16,0,IF(CJ17&lt;=Condition!$F$16,Condition!$D$16,IF(CJ17&lt;=Condition!$F$17,Condition!$D$17,IF(CJ17&lt;=Condition!$F$18,Condition!$D$18,IF(CJ17&gt;Condition!$E$19,Condition!$D$19,"")))))</f>
        <v>0</v>
      </c>
      <c r="CK60" s="85">
        <f>IF(CK17&lt;=Condition!$E$16,0,IF(CK17&lt;=Condition!$F$16,Condition!$D$16,IF(CK17&lt;=Condition!$F$17,Condition!$D$17,IF(CK17&lt;=Condition!$F$18,Condition!$D$18,IF(CK17&gt;Condition!$E$19,Condition!$D$19,"")))))</f>
        <v>0</v>
      </c>
      <c r="CL60" s="85">
        <f>IF(CL17&lt;=Condition!$E$16,0,IF(CL17&lt;=Condition!$F$16,Condition!$D$16,IF(CL17&lt;=Condition!$F$17,Condition!$D$17,IF(CL17&lt;=Condition!$F$18,Condition!$D$18,IF(CL17&gt;Condition!$E$19,Condition!$D$19,"")))))</f>
        <v>0</v>
      </c>
      <c r="CM60" s="85">
        <f>IF(CM17&lt;=Condition!$E$16,0,IF(CM17&lt;=Condition!$F$16,Condition!$D$16,IF(CM17&lt;=Condition!$F$17,Condition!$D$17,IF(CM17&lt;=Condition!$F$18,Condition!$D$18,IF(CM17&gt;Condition!$E$19,Condition!$D$19,"")))))</f>
        <v>0</v>
      </c>
      <c r="CN60" s="85">
        <f>IF(CN17&lt;=Condition!$E$16,0,IF(CN17&lt;=Condition!$F$16,Condition!$D$16,IF(CN17&lt;=Condition!$F$17,Condition!$D$17,IF(CN17&lt;=Condition!$F$18,Condition!$D$18,IF(CN17&gt;Condition!$E$19,Condition!$D$19,"")))))</f>
        <v>0</v>
      </c>
      <c r="CO60" s="85">
        <f>IF(CO17&lt;=Condition!$E$16,0,IF(CO17&lt;=Condition!$F$16,Condition!$D$16,IF(CO17&lt;=Condition!$F$17,Condition!$D$17,IF(CO17&lt;=Condition!$F$18,Condition!$D$18,IF(CO17&gt;Condition!$E$19,Condition!$D$19,"")))))</f>
        <v>0</v>
      </c>
      <c r="CP60" s="85">
        <f>IF(CP17&lt;=Condition!$E$16,0,IF(CP17&lt;=Condition!$F$16,Condition!$D$16,IF(CP17&lt;=Condition!$F$17,Condition!$D$17,IF(CP17&lt;=Condition!$F$18,Condition!$D$18,IF(CP17&gt;Condition!$E$19,Condition!$D$19,"")))))</f>
        <v>0</v>
      </c>
      <c r="CQ60" s="85">
        <f>IF(CQ17&lt;=Condition!$E$16,0,IF(CQ17&lt;=Condition!$F$16,Condition!$D$16,IF(CQ17&lt;=Condition!$F$17,Condition!$D$17,IF(CQ17&lt;=Condition!$F$18,Condition!$D$18,IF(CQ17&gt;Condition!$E$19,Condition!$D$19,"")))))</f>
        <v>0</v>
      </c>
      <c r="CR60" s="85">
        <f>IF(CR17&lt;=Condition!$E$16,0,IF(CR17&lt;=Condition!$F$16,Condition!$D$16,IF(CR17&lt;=Condition!$F$17,Condition!$D$17,IF(CR17&lt;=Condition!$F$18,Condition!$D$18,IF(CR17&gt;Condition!$E$19,Condition!$D$19,"")))))</f>
        <v>0</v>
      </c>
      <c r="CS60" s="85">
        <f>IF(CS17&lt;=Condition!$E$16,0,IF(CS17&lt;=Condition!$F$16,Condition!$D$16,IF(CS17&lt;=Condition!$F$17,Condition!$D$17,IF(CS17&lt;=Condition!$F$18,Condition!$D$18,IF(CS17&gt;Condition!$E$19,Condition!$D$19,"")))))</f>
        <v>0</v>
      </c>
      <c r="CT60" s="85">
        <f>IF(CT17&lt;=Condition!$E$16,0,IF(CT17&lt;=Condition!$F$16,Condition!$D$16,IF(CT17&lt;=Condition!$F$17,Condition!$D$17,IF(CT17&lt;=Condition!$F$18,Condition!$D$18,IF(CT17&gt;Condition!$E$19,Condition!$D$19,"")))))</f>
        <v>0</v>
      </c>
      <c r="CU60" s="85">
        <f>IF(CU17&lt;=Condition!$E$16,0,IF(CU17&lt;=Condition!$F$16,Condition!$D$16,IF(CU17&lt;=Condition!$F$17,Condition!$D$17,IF(CU17&lt;=Condition!$F$18,Condition!$D$18,IF(CU17&gt;Condition!$E$19,Condition!$D$19,"")))))</f>
        <v>0</v>
      </c>
      <c r="CV60" s="85">
        <f>IF(CV17&lt;=Condition!$E$16,0,IF(CV17&lt;=Condition!$F$16,Condition!$D$16,IF(CV17&lt;=Condition!$F$17,Condition!$D$17,IF(CV17&lt;=Condition!$F$18,Condition!$D$18,IF(CV17&gt;Condition!$E$19,Condition!$D$19,"")))))</f>
        <v>0</v>
      </c>
      <c r="CW60" s="85">
        <f>IF(CW17&lt;=Condition!$E$16,0,IF(CW17&lt;=Condition!$F$16,Condition!$D$16,IF(CW17&lt;=Condition!$F$17,Condition!$D$17,IF(CW17&lt;=Condition!$F$18,Condition!$D$18,IF(CW17&gt;Condition!$E$19,Condition!$D$19,"")))))</f>
        <v>0</v>
      </c>
      <c r="CX60" s="85">
        <f>IF(CX17&lt;=Condition!$E$16,0,IF(CX17&lt;=Condition!$F$16,Condition!$D$16,IF(CX17&lt;=Condition!$F$17,Condition!$D$17,IF(CX17&lt;=Condition!$F$18,Condition!$D$18,IF(CX17&gt;Condition!$E$19,Condition!$D$19,"")))))</f>
        <v>0</v>
      </c>
      <c r="CY60" s="85">
        <f>IF(CY17&lt;=Condition!$E$16,0,IF(CY17&lt;=Condition!$F$16,Condition!$D$16,IF(CY17&lt;=Condition!$F$17,Condition!$D$17,IF(CY17&lt;=Condition!$F$18,Condition!$D$18,IF(CY17&gt;Condition!$E$19,Condition!$D$19,"")))))</f>
        <v>0</v>
      </c>
      <c r="CZ60" s="85">
        <f>IF(CZ17&lt;=Condition!$E$16,0,IF(CZ17&lt;=Condition!$F$16,Condition!$D$16,IF(CZ17&lt;=Condition!$F$17,Condition!$D$17,IF(CZ17&lt;=Condition!$F$18,Condition!$D$18,IF(CZ17&gt;Condition!$E$19,Condition!$D$19,"")))))</f>
        <v>0</v>
      </c>
      <c r="DA60" s="85">
        <f>IF(DA17&lt;=Condition!$E$16,0,IF(DA17&lt;=Condition!$F$16,Condition!$D$16,IF(DA17&lt;=Condition!$F$17,Condition!$D$17,IF(DA17&lt;=Condition!$F$18,Condition!$D$18,IF(DA17&gt;Condition!$E$19,Condition!$D$19,"")))))</f>
        <v>0</v>
      </c>
      <c r="DB60" s="85">
        <f>IF(DB17&lt;=Condition!$E$16,0,IF(DB17&lt;=Condition!$F$16,Condition!$D$16,IF(DB17&lt;=Condition!$F$17,Condition!$D$17,IF(DB17&lt;=Condition!$F$18,Condition!$D$18,IF(DB17&gt;Condition!$E$19,Condition!$D$19,"")))))</f>
        <v>0</v>
      </c>
      <c r="DC60" s="85">
        <f>IF(DC17&lt;=Condition!$E$16,0,IF(DC17&lt;=Condition!$F$16,Condition!$D$16,IF(DC17&lt;=Condition!$F$17,Condition!$D$17,IF(DC17&lt;=Condition!$F$18,Condition!$D$18,IF(DC17&gt;Condition!$E$19,Condition!$D$19,"")))))</f>
        <v>0</v>
      </c>
      <c r="DD60" s="85">
        <f>IF(DD17&lt;=Condition!$E$16,0,IF(DD17&lt;=Condition!$F$16,Condition!$D$16,IF(DD17&lt;=Condition!$F$17,Condition!$D$17,IF(DD17&lt;=Condition!$F$18,Condition!$D$18,IF(DD17&gt;Condition!$E$19,Condition!$D$19,"")))))</f>
        <v>0</v>
      </c>
      <c r="DE60" s="85">
        <f>IF(DE17&lt;=Condition!$E$16,0,IF(DE17&lt;=Condition!$F$16,Condition!$D$16,IF(DE17&lt;=Condition!$F$17,Condition!$D$17,IF(DE17&lt;=Condition!$F$18,Condition!$D$18,IF(DE17&gt;Condition!$E$19,Condition!$D$19,"")))))</f>
        <v>0</v>
      </c>
      <c r="DF60" s="85">
        <f>IF(DF17&lt;=Condition!$E$16,0,IF(DF17&lt;=Condition!$F$16,Condition!$D$16,IF(DF17&lt;=Condition!$F$17,Condition!$D$17,IF(DF17&lt;=Condition!$F$18,Condition!$D$18,IF(DF17&gt;Condition!$E$19,Condition!$D$19,"")))))</f>
        <v>0</v>
      </c>
      <c r="DG60" s="85">
        <f>IF(DG17&lt;=Condition!$E$16,0,IF(DG17&lt;=Condition!$F$16,Condition!$D$16,IF(DG17&lt;=Condition!$F$17,Condition!$D$17,IF(DG17&lt;=Condition!$F$18,Condition!$D$18,IF(DG17&gt;Condition!$E$19,Condition!$D$19,"")))))</f>
        <v>0</v>
      </c>
      <c r="DH60" s="85">
        <f>IF(DH17&lt;=Condition!$E$16,0,IF(DH17&lt;=Condition!$F$16,Condition!$D$16,IF(DH17&lt;=Condition!$F$17,Condition!$D$17,IF(DH17&lt;=Condition!$F$18,Condition!$D$18,IF(DH17&gt;Condition!$E$19,Condition!$D$19,"")))))</f>
        <v>0</v>
      </c>
      <c r="DI60" s="85">
        <f>IF(DI17&lt;=Condition!$E$16,0,IF(DI17&lt;=Condition!$F$16,Condition!$D$16,IF(DI17&lt;=Condition!$F$17,Condition!$D$17,IF(DI17&lt;=Condition!$F$18,Condition!$D$18,IF(DI17&gt;Condition!$E$19,Condition!$D$19,"")))))</f>
        <v>0</v>
      </c>
      <c r="DJ60" s="85">
        <f>IF(DJ17&lt;=Condition!$E$16,0,IF(DJ17&lt;=Condition!$F$16,Condition!$D$16,IF(DJ17&lt;=Condition!$F$17,Condition!$D$17,IF(DJ17&lt;=Condition!$F$18,Condition!$D$18,IF(DJ17&gt;Condition!$E$19,Condition!$D$19,"")))))</f>
        <v>0</v>
      </c>
      <c r="DK60" s="85">
        <f>IF(DK17&lt;=Condition!$E$16,0,IF(DK17&lt;=Condition!$F$16,Condition!$D$16,IF(DK17&lt;=Condition!$F$17,Condition!$D$17,IF(DK17&lt;=Condition!$F$18,Condition!$D$18,IF(DK17&gt;Condition!$E$19,Condition!$D$19,"")))))</f>
        <v>0</v>
      </c>
      <c r="DL60" s="85">
        <f>IF(DL17&lt;=Condition!$E$16,0,IF(DL17&lt;=Condition!$F$16,Condition!$D$16,IF(DL17&lt;=Condition!$F$17,Condition!$D$17,IF(DL17&lt;=Condition!$F$18,Condition!$D$18,IF(DL17&gt;Condition!$E$19,Condition!$D$19,"")))))</f>
        <v>0</v>
      </c>
      <c r="DM60" s="85">
        <f>IF(DM17&lt;=Condition!$E$16,0,IF(DM17&lt;=Condition!$F$16,Condition!$D$16,IF(DM17&lt;=Condition!$F$17,Condition!$D$17,IF(DM17&lt;=Condition!$F$18,Condition!$D$18,IF(DM17&gt;Condition!$E$19,Condition!$D$19,"")))))</f>
        <v>0</v>
      </c>
      <c r="DN60" s="85">
        <f>IF(DN17&lt;=Condition!$E$16,0,IF(DN17&lt;=Condition!$F$16,Condition!$D$16,IF(DN17&lt;=Condition!$F$17,Condition!$D$17,IF(DN17&lt;=Condition!$F$18,Condition!$D$18,IF(DN17&gt;Condition!$E$19,Condition!$D$19,"")))))</f>
        <v>0</v>
      </c>
      <c r="DO60" s="85">
        <f>IF(DO17&lt;=Condition!$E$16,0,IF(DO17&lt;=Condition!$F$16,Condition!$D$16,IF(DO17&lt;=Condition!$F$17,Condition!$D$17,IF(DO17&lt;=Condition!$F$18,Condition!$D$18,IF(DO17&gt;Condition!$E$19,Condition!$D$19,"")))))</f>
        <v>0</v>
      </c>
      <c r="DP60" s="85">
        <f>IF(DP17&lt;=Condition!$E$16,0,IF(DP17&lt;=Condition!$F$16,Condition!$D$16,IF(DP17&lt;=Condition!$F$17,Condition!$D$17,IF(DP17&lt;=Condition!$F$18,Condition!$D$18,IF(DP17&gt;Condition!$E$19,Condition!$D$19,"")))))</f>
        <v>0</v>
      </c>
      <c r="DQ60" s="85">
        <f>IF(DQ17&lt;=Condition!$E$16,0,IF(DQ17&lt;=Condition!$F$16,Condition!$D$16,IF(DQ17&lt;=Condition!$F$17,Condition!$D$17,IF(DQ17&lt;=Condition!$F$18,Condition!$D$18,IF(DQ17&gt;Condition!$E$19,Condition!$D$19,"")))))</f>
        <v>0</v>
      </c>
      <c r="DR60" s="85">
        <f>IF(DR17&lt;=Condition!$E$16,0,IF(DR17&lt;=Condition!$F$16,Condition!$D$16,IF(DR17&lt;=Condition!$F$17,Condition!$D$17,IF(DR17&lt;=Condition!$F$18,Condition!$D$18,IF(DR17&gt;Condition!$E$19,Condition!$D$19,"")))))</f>
        <v>0</v>
      </c>
      <c r="DS60" s="85">
        <f>IF(DS17&lt;=Condition!$E$16,0,IF(DS17&lt;=Condition!$F$16,Condition!$D$16,IF(DS17&lt;=Condition!$F$17,Condition!$D$17,IF(DS17&lt;=Condition!$F$18,Condition!$D$18,IF(DS17&gt;Condition!$E$19,Condition!$D$19,"")))))</f>
        <v>0</v>
      </c>
      <c r="DT60" s="85">
        <f>IF(DT17&lt;=Condition!$E$16,0,IF(DT17&lt;=Condition!$F$16,Condition!$D$16,IF(DT17&lt;=Condition!$F$17,Condition!$D$17,IF(DT17&lt;=Condition!$F$18,Condition!$D$18,IF(DT17&gt;Condition!$E$19,Condition!$D$19,"")))))</f>
        <v>0</v>
      </c>
      <c r="DU60" s="85">
        <f>IF(DU17&lt;=Condition!$E$16,0,IF(DU17&lt;=Condition!$F$16,Condition!$D$16,IF(DU17&lt;=Condition!$F$17,Condition!$D$17,IF(DU17&lt;=Condition!$F$18,Condition!$D$18,IF(DU17&gt;Condition!$E$19,Condition!$D$19,"")))))</f>
        <v>0</v>
      </c>
      <c r="DV60" s="85">
        <f>IF(DV17&lt;=Condition!$E$16,0,IF(DV17&lt;=Condition!$F$16,Condition!$D$16,IF(DV17&lt;=Condition!$F$17,Condition!$D$17,IF(DV17&lt;=Condition!$F$18,Condition!$D$18,IF(DV17&gt;Condition!$E$19,Condition!$D$19,"")))))</f>
        <v>0</v>
      </c>
      <c r="DW60" s="85">
        <f>IF(DW17&lt;=Condition!$E$16,0,IF(DW17&lt;=Condition!$F$16,Condition!$D$16,IF(DW17&lt;=Condition!$F$17,Condition!$D$17,IF(DW17&lt;=Condition!$F$18,Condition!$D$18,IF(DW17&gt;Condition!$E$19,Condition!$D$19,"")))))</f>
        <v>0</v>
      </c>
      <c r="DX60" s="85">
        <f>IF(DX17&lt;=Condition!$E$16,0,IF(DX17&lt;=Condition!$F$16,Condition!$D$16,IF(DX17&lt;=Condition!$F$17,Condition!$D$17,IF(DX17&lt;=Condition!$F$18,Condition!$D$18,IF(DX17&gt;Condition!$E$19,Condition!$D$19,"")))))</f>
        <v>0</v>
      </c>
      <c r="DY60" s="85">
        <f>IF(DY17&lt;=Condition!$E$16,0,IF(DY17&lt;=Condition!$F$16,Condition!$D$16,IF(DY17&lt;=Condition!$F$17,Condition!$D$17,IF(DY17&lt;=Condition!$F$18,Condition!$D$18,IF(DY17&gt;Condition!$E$19,Condition!$D$19,"")))))</f>
        <v>0</v>
      </c>
      <c r="DZ60" s="85">
        <f>IF(DZ17&lt;=Condition!$E$16,0,IF(DZ17&lt;=Condition!$F$16,Condition!$D$16,IF(DZ17&lt;=Condition!$F$17,Condition!$D$17,IF(DZ17&lt;=Condition!$F$18,Condition!$D$18,IF(DZ17&gt;Condition!$E$19,Condition!$D$19,"")))))</f>
        <v>0</v>
      </c>
      <c r="EA60" s="85">
        <f>IF(EA17&lt;=Condition!$E$16,0,IF(EA17&lt;=Condition!$F$16,Condition!$D$16,IF(EA17&lt;=Condition!$F$17,Condition!$D$17,IF(EA17&lt;=Condition!$F$18,Condition!$D$18,IF(EA17&gt;Condition!$E$19,Condition!$D$19,"")))))</f>
        <v>0</v>
      </c>
      <c r="EB60" s="85">
        <f>IF(EB17&lt;=Condition!$E$16,0,IF(EB17&lt;=Condition!$F$16,Condition!$D$16,IF(EB17&lt;=Condition!$F$17,Condition!$D$17,IF(EB17&lt;=Condition!$F$18,Condition!$D$18,IF(EB17&gt;Condition!$E$19,Condition!$D$19,"")))))</f>
        <v>0</v>
      </c>
      <c r="EC60" s="85">
        <f>IF(EC17&lt;=Condition!$E$16,0,IF(EC17&lt;=Condition!$F$16,Condition!$D$16,IF(EC17&lt;=Condition!$F$17,Condition!$D$17,IF(EC17&lt;=Condition!$F$18,Condition!$D$18,IF(EC17&gt;Condition!$E$19,Condition!$D$19,"")))))</f>
        <v>0</v>
      </c>
      <c r="ED60" s="85">
        <f>IF(ED17&lt;=Condition!$E$16,0,IF(ED17&lt;=Condition!$F$16,Condition!$D$16,IF(ED17&lt;=Condition!$F$17,Condition!$D$17,IF(ED17&lt;=Condition!$F$18,Condition!$D$18,IF(ED17&gt;Condition!$E$19,Condition!$D$19,"")))))</f>
        <v>0</v>
      </c>
      <c r="EE60" s="85">
        <f>IF(EE17&lt;=Condition!$E$16,0,IF(EE17&lt;=Condition!$F$16,Condition!$D$16,IF(EE17&lt;=Condition!$F$17,Condition!$D$17,IF(EE17&lt;=Condition!$F$18,Condition!$D$18,IF(EE17&gt;Condition!$E$19,Condition!$D$19,"")))))</f>
        <v>0</v>
      </c>
      <c r="EF60" s="85">
        <f>IF(EF17&lt;=Condition!$E$16,0,IF(EF17&lt;=Condition!$F$16,Condition!$D$16,IF(EF17&lt;=Condition!$F$17,Condition!$D$17,IF(EF17&lt;=Condition!$F$18,Condition!$D$18,IF(EF17&gt;Condition!$E$19,Condition!$D$19,"")))))</f>
        <v>0</v>
      </c>
      <c r="EG60" s="85">
        <f>IF(EG17&lt;=Condition!$E$16,0,IF(EG17&lt;=Condition!$F$16,Condition!$D$16,IF(EG17&lt;=Condition!$F$17,Condition!$D$17,IF(EG17&lt;=Condition!$F$18,Condition!$D$18,IF(EG17&gt;Condition!$E$19,Condition!$D$19,"")))))</f>
        <v>0</v>
      </c>
      <c r="EH60" s="85">
        <f>IF(EH17&lt;=Condition!$E$16,0,IF(EH17&lt;=Condition!$F$16,Condition!$D$16,IF(EH17&lt;=Condition!$F$17,Condition!$D$17,IF(EH17&lt;=Condition!$F$18,Condition!$D$18,IF(EH17&gt;Condition!$E$19,Condition!$D$19,"")))))</f>
        <v>0</v>
      </c>
      <c r="EI60" s="85">
        <f>IF(EI17&lt;=Condition!$E$16,0,IF(EI17&lt;=Condition!$F$16,Condition!$D$16,IF(EI17&lt;=Condition!$F$17,Condition!$D$17,IF(EI17&lt;=Condition!$F$18,Condition!$D$18,IF(EI17&gt;Condition!$E$19,Condition!$D$19,"")))))</f>
        <v>0</v>
      </c>
      <c r="EJ60" s="85">
        <f>IF(EJ17&lt;=Condition!$E$16,0,IF(EJ17&lt;=Condition!$F$16,Condition!$D$16,IF(EJ17&lt;=Condition!$F$17,Condition!$D$17,IF(EJ17&lt;=Condition!$F$18,Condition!$D$18,IF(EJ17&gt;Condition!$E$19,Condition!$D$19,"")))))</f>
        <v>0</v>
      </c>
      <c r="EK60" s="85">
        <f>IF(EK17&lt;=Condition!$E$16,0,IF(EK17&lt;=Condition!$F$16,Condition!$D$16,IF(EK17&lt;=Condition!$F$17,Condition!$D$17,IF(EK17&lt;=Condition!$F$18,Condition!$D$18,IF(EK17&gt;Condition!$E$19,Condition!$D$19,"")))))</f>
        <v>0</v>
      </c>
      <c r="EL60" s="85">
        <f>IF(EL17&lt;=Condition!$E$16,0,IF(EL17&lt;=Condition!$F$16,Condition!$D$16,IF(EL17&lt;=Condition!$F$17,Condition!$D$17,IF(EL17&lt;=Condition!$F$18,Condition!$D$18,IF(EL17&gt;Condition!$E$19,Condition!$D$19,"")))))</f>
        <v>0</v>
      </c>
      <c r="EM60" s="85">
        <f>IF(EM17&lt;=Condition!$E$16,0,IF(EM17&lt;=Condition!$F$16,Condition!$D$16,IF(EM17&lt;=Condition!$F$17,Condition!$D$17,IF(EM17&lt;=Condition!$F$18,Condition!$D$18,IF(EM17&gt;Condition!$E$19,Condition!$D$19,"")))))</f>
        <v>0</v>
      </c>
      <c r="EN60" s="85">
        <f>IF(EN17&lt;=Condition!$E$16,0,IF(EN17&lt;=Condition!$F$16,Condition!$D$16,IF(EN17&lt;=Condition!$F$17,Condition!$D$17,IF(EN17&lt;=Condition!$F$18,Condition!$D$18,IF(EN17&gt;Condition!$E$19,Condition!$D$19,"")))))</f>
        <v>0</v>
      </c>
      <c r="EO60" s="85">
        <f>IF(EO17&lt;=Condition!$E$16,0,IF(EO17&lt;=Condition!$F$16,Condition!$D$16,IF(EO17&lt;=Condition!$F$17,Condition!$D$17,IF(EO17&lt;=Condition!$F$18,Condition!$D$18,IF(EO17&gt;Condition!$E$19,Condition!$D$19,"")))))</f>
        <v>0</v>
      </c>
      <c r="EP60" s="85">
        <f>IF(EP17&lt;=Condition!$E$16,0,IF(EP17&lt;=Condition!$F$16,Condition!$D$16,IF(EP17&lt;=Condition!$F$17,Condition!$D$17,IF(EP17&lt;=Condition!$F$18,Condition!$D$18,IF(EP17&gt;Condition!$E$19,Condition!$D$19,"")))))</f>
        <v>0</v>
      </c>
      <c r="EQ60" s="85">
        <f>IF(EQ17&lt;=Condition!$E$16,0,IF(EQ17&lt;=Condition!$F$16,Condition!$D$16,IF(EQ17&lt;=Condition!$F$17,Condition!$D$17,IF(EQ17&lt;=Condition!$F$18,Condition!$D$18,IF(EQ17&gt;Condition!$E$19,Condition!$D$19,"")))))</f>
        <v>0</v>
      </c>
      <c r="ER60" s="85">
        <f>IF(ER17&lt;=Condition!$E$16,0,IF(ER17&lt;=Condition!$F$16,Condition!$D$16,IF(ER17&lt;=Condition!$F$17,Condition!$D$17,IF(ER17&lt;=Condition!$F$18,Condition!$D$18,IF(ER17&gt;Condition!$E$19,Condition!$D$19,"")))))</f>
        <v>0</v>
      </c>
      <c r="ES60" s="85">
        <f>IF(ES17&lt;=Condition!$E$16,0,IF(ES17&lt;=Condition!$F$16,Condition!$D$16,IF(ES17&lt;=Condition!$F$17,Condition!$D$17,IF(ES17&lt;=Condition!$F$18,Condition!$D$18,IF(ES17&gt;Condition!$E$19,Condition!$D$19,"")))))</f>
        <v>0</v>
      </c>
      <c r="ET60" s="85">
        <f>IF(ET17&lt;=Condition!$E$16,0,IF(ET17&lt;=Condition!$F$16,Condition!$D$16,IF(ET17&lt;=Condition!$F$17,Condition!$D$17,IF(ET17&lt;=Condition!$F$18,Condition!$D$18,IF(ET17&gt;Condition!$E$19,Condition!$D$19,"")))))</f>
        <v>0</v>
      </c>
      <c r="EU60" s="85">
        <f>IF(EU17&lt;=Condition!$E$16,0,IF(EU17&lt;=Condition!$F$16,Condition!$D$16,IF(EU17&lt;=Condition!$F$17,Condition!$D$17,IF(EU17&lt;=Condition!$F$18,Condition!$D$18,IF(EU17&gt;Condition!$E$19,Condition!$D$19,"")))))</f>
        <v>0</v>
      </c>
      <c r="EV60" s="85">
        <f>IF(EV17&lt;=Condition!$E$16,0,IF(EV17&lt;=Condition!$F$16,Condition!$D$16,IF(EV17&lt;=Condition!$F$17,Condition!$D$17,IF(EV17&lt;=Condition!$F$18,Condition!$D$18,IF(EV17&gt;Condition!$E$19,Condition!$D$19,"")))))</f>
        <v>0</v>
      </c>
      <c r="EW60" s="85">
        <f>IF(EW17&lt;=Condition!$E$16,0,IF(EW17&lt;=Condition!$F$16,Condition!$D$16,IF(EW17&lt;=Condition!$F$17,Condition!$D$17,IF(EW17&lt;=Condition!$F$18,Condition!$D$18,IF(EW17&gt;Condition!$E$19,Condition!$D$19,"")))))</f>
        <v>0</v>
      </c>
      <c r="EX60" s="85">
        <f>IF(EX17&lt;=Condition!$E$16,0,IF(EX17&lt;=Condition!$F$16,Condition!$D$16,IF(EX17&lt;=Condition!$F$17,Condition!$D$17,IF(EX17&lt;=Condition!$F$18,Condition!$D$18,IF(EX17&gt;Condition!$E$19,Condition!$D$19,"")))))</f>
        <v>0</v>
      </c>
      <c r="EY60" s="85">
        <f>IF(EY17&lt;=Condition!$E$16,0,IF(EY17&lt;=Condition!$F$16,Condition!$D$16,IF(EY17&lt;=Condition!$F$17,Condition!$D$17,IF(EY17&lt;=Condition!$F$18,Condition!$D$18,IF(EY17&gt;Condition!$E$19,Condition!$D$19,"")))))</f>
        <v>0</v>
      </c>
      <c r="EZ60" s="85">
        <f>IF(EZ17&lt;=Condition!$E$16,0,IF(EZ17&lt;=Condition!$F$16,Condition!$D$16,IF(EZ17&lt;=Condition!$F$17,Condition!$D$17,IF(EZ17&lt;=Condition!$F$18,Condition!$D$18,IF(EZ17&gt;Condition!$E$19,Condition!$D$19,"")))))</f>
        <v>0</v>
      </c>
      <c r="FA60" s="85">
        <f>IF(FA17&lt;=Condition!$E$16,0,IF(FA17&lt;=Condition!$F$16,Condition!$D$16,IF(FA17&lt;=Condition!$F$17,Condition!$D$17,IF(FA17&lt;=Condition!$F$18,Condition!$D$18,IF(FA17&gt;Condition!$E$19,Condition!$D$19,"")))))</f>
        <v>0</v>
      </c>
      <c r="FB60" s="85">
        <f>IF(FB17&lt;=Condition!$E$16,0,IF(FB17&lt;=Condition!$F$16,Condition!$D$16,IF(FB17&lt;=Condition!$F$17,Condition!$D$17,IF(FB17&lt;=Condition!$F$18,Condition!$D$18,IF(FB17&gt;Condition!$E$19,Condition!$D$19,"")))))</f>
        <v>0</v>
      </c>
      <c r="FC60" s="85">
        <f>IF(FC17&lt;=Condition!$E$16,0,IF(FC17&lt;=Condition!$F$16,Condition!$D$16,IF(FC17&lt;=Condition!$F$17,Condition!$D$17,IF(FC17&lt;=Condition!$F$18,Condition!$D$18,IF(FC17&gt;Condition!$E$19,Condition!$D$19,"")))))</f>
        <v>0</v>
      </c>
      <c r="FD60" s="85">
        <f>IF(FD17&lt;=Condition!$E$16,0,IF(FD17&lt;=Condition!$F$16,Condition!$D$16,IF(FD17&lt;=Condition!$F$17,Condition!$D$17,IF(FD17&lt;=Condition!$F$18,Condition!$D$18,IF(FD17&gt;Condition!$E$19,Condition!$D$19,"")))))</f>
        <v>0</v>
      </c>
      <c r="FE60" s="85">
        <f>IF(FE17&lt;=Condition!$E$16,0,IF(FE17&lt;=Condition!$F$16,Condition!$D$16,IF(FE17&lt;=Condition!$F$17,Condition!$D$17,IF(FE17&lt;=Condition!$F$18,Condition!$D$18,IF(FE17&gt;Condition!$E$19,Condition!$D$19,"")))))</f>
        <v>0</v>
      </c>
      <c r="FF60" s="85">
        <f>IF(FF17&lt;=Condition!$E$16,0,IF(FF17&lt;=Condition!$F$16,Condition!$D$16,IF(FF17&lt;=Condition!$F$17,Condition!$D$17,IF(FF17&lt;=Condition!$F$18,Condition!$D$18,IF(FF17&gt;Condition!$E$19,Condition!$D$19,"")))))</f>
        <v>0</v>
      </c>
      <c r="FG60" s="85">
        <f>IF(FG17&lt;=Condition!$E$16,0,IF(FG17&lt;=Condition!$F$16,Condition!$D$16,IF(FG17&lt;=Condition!$F$17,Condition!$D$17,IF(FG17&lt;=Condition!$F$18,Condition!$D$18,IF(FG17&gt;Condition!$E$19,Condition!$D$19,"")))))</f>
        <v>0</v>
      </c>
      <c r="FH60" s="85">
        <f>IF(FH17&lt;=Condition!$E$16,0,IF(FH17&lt;=Condition!$F$16,Condition!$D$16,IF(FH17&lt;=Condition!$F$17,Condition!$D$17,IF(FH17&lt;=Condition!$F$18,Condition!$D$18,IF(FH17&gt;Condition!$E$19,Condition!$D$19,"")))))</f>
        <v>0</v>
      </c>
      <c r="FI60" s="85">
        <f>IF(FI17&lt;=Condition!$E$16,0,IF(FI17&lt;=Condition!$F$16,Condition!$D$16,IF(FI17&lt;=Condition!$F$17,Condition!$D$17,IF(FI17&lt;=Condition!$F$18,Condition!$D$18,IF(FI17&gt;Condition!$E$19,Condition!$D$19,"")))))</f>
        <v>0</v>
      </c>
      <c r="FJ60" s="85">
        <f>IF(FJ17&lt;=Condition!$E$16,0,IF(FJ17&lt;=Condition!$F$16,Condition!$D$16,IF(FJ17&lt;=Condition!$F$17,Condition!$D$17,IF(FJ17&lt;=Condition!$F$18,Condition!$D$18,IF(FJ17&gt;Condition!$E$19,Condition!$D$19,"")))))</f>
        <v>0</v>
      </c>
      <c r="FK60" s="85">
        <f>IF(FK17&lt;=Condition!$E$16,0,IF(FK17&lt;=Condition!$F$16,Condition!$D$16,IF(FK17&lt;=Condition!$F$17,Condition!$D$17,IF(FK17&lt;=Condition!$F$18,Condition!$D$18,IF(FK17&gt;Condition!$E$19,Condition!$D$19,"")))))</f>
        <v>0</v>
      </c>
      <c r="FL60" s="85">
        <f>IF(FL17&lt;=Condition!$E$16,0,IF(FL17&lt;=Condition!$F$16,Condition!$D$16,IF(FL17&lt;=Condition!$F$17,Condition!$D$17,IF(FL17&lt;=Condition!$F$18,Condition!$D$18,IF(FL17&gt;Condition!$E$19,Condition!$D$19,"")))))</f>
        <v>0</v>
      </c>
      <c r="FM60" s="85">
        <f>IF(FM17&lt;=Condition!$E$16,0,IF(FM17&lt;=Condition!$F$16,Condition!$D$16,IF(FM17&lt;=Condition!$F$17,Condition!$D$17,IF(FM17&lt;=Condition!$F$18,Condition!$D$18,IF(FM17&gt;Condition!$E$19,Condition!$D$19,"")))))</f>
        <v>0</v>
      </c>
      <c r="FN60" s="85">
        <f>IF(FN17&lt;=Condition!$E$16,0,IF(FN17&lt;=Condition!$F$16,Condition!$D$16,IF(FN17&lt;=Condition!$F$17,Condition!$D$17,IF(FN17&lt;=Condition!$F$18,Condition!$D$18,IF(FN17&gt;Condition!$E$19,Condition!$D$19,"")))))</f>
        <v>0</v>
      </c>
      <c r="FO60" s="85">
        <f>IF(FO17&lt;=Condition!$E$16,0,IF(FO17&lt;=Condition!$F$16,Condition!$D$16,IF(FO17&lt;=Condition!$F$17,Condition!$D$17,IF(FO17&lt;=Condition!$F$18,Condition!$D$18,IF(FO17&gt;Condition!$E$19,Condition!$D$19,"")))))</f>
        <v>0</v>
      </c>
      <c r="FP60" s="85">
        <f>IF(FP17&lt;=Condition!$E$16,0,IF(FP17&lt;=Condition!$F$16,Condition!$D$16,IF(FP17&lt;=Condition!$F$17,Condition!$D$17,IF(FP17&lt;=Condition!$F$18,Condition!$D$18,IF(FP17&gt;Condition!$E$19,Condition!$D$19,"")))))</f>
        <v>0</v>
      </c>
      <c r="FQ60" s="85">
        <f>IF(FQ17&lt;=Condition!$E$16,0,IF(FQ17&lt;=Condition!$F$16,Condition!$D$16,IF(FQ17&lt;=Condition!$F$17,Condition!$D$17,IF(FQ17&lt;=Condition!$F$18,Condition!$D$18,IF(FQ17&gt;Condition!$E$19,Condition!$D$19,"")))))</f>
        <v>0</v>
      </c>
      <c r="FR60" s="85">
        <f>IF(FR17&lt;=Condition!$E$16,0,IF(FR17&lt;=Condition!$F$16,Condition!$D$16,IF(FR17&lt;=Condition!$F$17,Condition!$D$17,IF(FR17&lt;=Condition!$F$18,Condition!$D$18,IF(FR17&gt;Condition!$E$19,Condition!$D$19,"")))))</f>
        <v>0</v>
      </c>
      <c r="FS60" s="85">
        <f>IF(FS17&lt;=Condition!$E$16,0,IF(FS17&lt;=Condition!$F$16,Condition!$D$16,IF(FS17&lt;=Condition!$F$17,Condition!$D$17,IF(FS17&lt;=Condition!$F$18,Condition!$D$18,IF(FS17&gt;Condition!$E$19,Condition!$D$19,"")))))</f>
        <v>0</v>
      </c>
      <c r="FT60" s="85">
        <f>IF(FT17&lt;=Condition!$E$16,0,IF(FT17&lt;=Condition!$F$16,Condition!$D$16,IF(FT17&lt;=Condition!$F$17,Condition!$D$17,IF(FT17&lt;=Condition!$F$18,Condition!$D$18,IF(FT17&gt;Condition!$E$19,Condition!$D$19,"")))))</f>
        <v>0</v>
      </c>
      <c r="FU60" s="85">
        <f>IF(FU17&lt;=Condition!$E$16,0,IF(FU17&lt;=Condition!$F$16,Condition!$D$16,IF(FU17&lt;=Condition!$F$17,Condition!$D$17,IF(FU17&lt;=Condition!$F$18,Condition!$D$18,IF(FU17&gt;Condition!$E$19,Condition!$D$19,"")))))</f>
        <v>0</v>
      </c>
      <c r="FV60" s="85">
        <f>IF(FV17&lt;=Condition!$E$16,0,IF(FV17&lt;=Condition!$F$16,Condition!$D$16,IF(FV17&lt;=Condition!$F$17,Condition!$D$17,IF(FV17&lt;=Condition!$F$18,Condition!$D$18,IF(FV17&gt;Condition!$E$19,Condition!$D$19,"")))))</f>
        <v>0</v>
      </c>
      <c r="FW60" s="85">
        <f>IF(FW17&lt;=Condition!$E$16,0,IF(FW17&lt;=Condition!$F$16,Condition!$D$16,IF(FW17&lt;=Condition!$F$17,Condition!$D$17,IF(FW17&lt;=Condition!$F$18,Condition!$D$18,IF(FW17&gt;Condition!$E$19,Condition!$D$19,"")))))</f>
        <v>0</v>
      </c>
      <c r="FX60" s="85">
        <f>IF(FX17&lt;=Condition!$E$16,0,IF(FX17&lt;=Condition!$F$16,Condition!$D$16,IF(FX17&lt;=Condition!$F$17,Condition!$D$17,IF(FX17&lt;=Condition!$F$18,Condition!$D$18,IF(FX17&gt;Condition!$E$19,Condition!$D$19,"")))))</f>
        <v>0</v>
      </c>
      <c r="FY60" s="85">
        <f>IF(FY17&lt;=Condition!$E$16,0,IF(FY17&lt;=Condition!$F$16,Condition!$D$16,IF(FY17&lt;=Condition!$F$17,Condition!$D$17,IF(FY17&lt;=Condition!$F$18,Condition!$D$18,IF(FY17&gt;Condition!$E$19,Condition!$D$19,"")))))</f>
        <v>0</v>
      </c>
      <c r="FZ60" s="85">
        <f>IF(FZ17&lt;=Condition!$E$16,0,IF(FZ17&lt;=Condition!$F$16,Condition!$D$16,IF(FZ17&lt;=Condition!$F$17,Condition!$D$17,IF(FZ17&lt;=Condition!$F$18,Condition!$D$18,IF(FZ17&gt;Condition!$E$19,Condition!$D$19,"")))))</f>
        <v>0</v>
      </c>
      <c r="GA60" s="85">
        <f>IF(GA17&lt;=Condition!$E$16,0,IF(GA17&lt;=Condition!$F$16,Condition!$D$16,IF(GA17&lt;=Condition!$F$17,Condition!$D$17,IF(GA17&lt;=Condition!$F$18,Condition!$D$18,IF(GA17&gt;Condition!$E$19,Condition!$D$19,"")))))</f>
        <v>0</v>
      </c>
      <c r="GB60" s="85">
        <f>IF(GB17&lt;=Condition!$E$16,0,IF(GB17&lt;=Condition!$F$16,Condition!$D$16,IF(GB17&lt;=Condition!$F$17,Condition!$D$17,IF(GB17&lt;=Condition!$F$18,Condition!$D$18,IF(GB17&gt;Condition!$E$19,Condition!$D$19,"")))))</f>
        <v>0</v>
      </c>
      <c r="GC60" s="85">
        <f>IF(GC17&lt;=Condition!$E$16,0,IF(GC17&lt;=Condition!$F$16,Condition!$D$16,IF(GC17&lt;=Condition!$F$17,Condition!$D$17,IF(GC17&lt;=Condition!$F$18,Condition!$D$18,IF(GC17&gt;Condition!$E$19,Condition!$D$19,"")))))</f>
        <v>0</v>
      </c>
      <c r="GD60" s="85">
        <f>IF(GD17&lt;=Condition!$E$16,0,IF(GD17&lt;=Condition!$F$16,Condition!$D$16,IF(GD17&lt;=Condition!$F$17,Condition!$D$17,IF(GD17&lt;=Condition!$F$18,Condition!$D$18,IF(GD17&gt;Condition!$E$19,Condition!$D$19,"")))))</f>
        <v>0</v>
      </c>
      <c r="GE60" s="85">
        <f>IF(GE17&lt;=Condition!$E$16,0,IF(GE17&lt;=Condition!$F$16,Condition!$D$16,IF(GE17&lt;=Condition!$F$17,Condition!$D$17,IF(GE17&lt;=Condition!$F$18,Condition!$D$18,IF(GE17&gt;Condition!$E$19,Condition!$D$19,"")))))</f>
        <v>0</v>
      </c>
      <c r="GF60" s="85">
        <f>IF(GF17&lt;=Condition!$E$16,0,IF(GF17&lt;=Condition!$F$16,Condition!$D$16,IF(GF17&lt;=Condition!$F$17,Condition!$D$17,IF(GF17&lt;=Condition!$F$18,Condition!$D$18,IF(GF17&gt;Condition!$E$19,Condition!$D$19,"")))))</f>
        <v>0</v>
      </c>
      <c r="GG60" s="85">
        <f>IF(GG17&lt;=Condition!$E$16,0,IF(GG17&lt;=Condition!$F$16,Condition!$D$16,IF(GG17&lt;=Condition!$F$17,Condition!$D$17,IF(GG17&lt;=Condition!$F$18,Condition!$D$18,IF(GG17&gt;Condition!$E$19,Condition!$D$19,"")))))</f>
        <v>0</v>
      </c>
      <c r="GH60" s="85">
        <f>IF(GH17&lt;=Condition!$E$16,0,IF(GH17&lt;=Condition!$F$16,Condition!$D$16,IF(GH17&lt;=Condition!$F$17,Condition!$D$17,IF(GH17&lt;=Condition!$F$18,Condition!$D$18,IF(GH17&gt;Condition!$E$19,Condition!$D$19,"")))))</f>
        <v>0</v>
      </c>
      <c r="GI60" s="85">
        <f>IF(GI17&lt;=Condition!$E$16,0,IF(GI17&lt;=Condition!$F$16,Condition!$D$16,IF(GI17&lt;=Condition!$F$17,Condition!$D$17,IF(GI17&lt;=Condition!$F$18,Condition!$D$18,IF(GI17&gt;Condition!$E$19,Condition!$D$19,"")))))</f>
        <v>0</v>
      </c>
      <c r="GJ60" s="85">
        <f>IF(GJ17&lt;=Condition!$E$16,0,IF(GJ17&lt;=Condition!$F$16,Condition!$D$16,IF(GJ17&lt;=Condition!$F$17,Condition!$D$17,IF(GJ17&lt;=Condition!$F$18,Condition!$D$18,IF(GJ17&gt;Condition!$E$19,Condition!$D$19,"")))))</f>
        <v>0</v>
      </c>
      <c r="GK60" s="85">
        <f>IF(GK17&lt;=Condition!$E$16,0,IF(GK17&lt;=Condition!$F$16,Condition!$D$16,IF(GK17&lt;=Condition!$F$17,Condition!$D$17,IF(GK17&lt;=Condition!$F$18,Condition!$D$18,IF(GK17&gt;Condition!$E$19,Condition!$D$19,"")))))</f>
        <v>0</v>
      </c>
      <c r="GL60" s="85">
        <f>IF(GL17&lt;=Condition!$E$16,0,IF(GL17&lt;=Condition!$F$16,Condition!$D$16,IF(GL17&lt;=Condition!$F$17,Condition!$D$17,IF(GL17&lt;=Condition!$F$18,Condition!$D$18,IF(GL17&gt;Condition!$E$19,Condition!$D$19,"")))))</f>
        <v>0</v>
      </c>
      <c r="GM60" s="85">
        <f>IF(GM17&lt;=Condition!$E$16,0,IF(GM17&lt;=Condition!$F$16,Condition!$D$16,IF(GM17&lt;=Condition!$F$17,Condition!$D$17,IF(GM17&lt;=Condition!$F$18,Condition!$D$18,IF(GM17&gt;Condition!$E$19,Condition!$D$19,"")))))</f>
        <v>0</v>
      </c>
      <c r="GN60" s="85">
        <f>IF(GN17&lt;=Condition!$E$16,0,IF(GN17&lt;=Condition!$F$16,Condition!$D$16,IF(GN17&lt;=Condition!$F$17,Condition!$D$17,IF(GN17&lt;=Condition!$F$18,Condition!$D$18,IF(GN17&gt;Condition!$E$19,Condition!$D$19,"")))))</f>
        <v>0</v>
      </c>
      <c r="GO60" s="85">
        <f>IF(GO17&lt;=Condition!$E$16,0,IF(GO17&lt;=Condition!$F$16,Condition!$D$16,IF(GO17&lt;=Condition!$F$17,Condition!$D$17,IF(GO17&lt;=Condition!$F$18,Condition!$D$18,IF(GO17&gt;Condition!$E$19,Condition!$D$19,"")))))</f>
        <v>0</v>
      </c>
      <c r="GP60" s="85">
        <f>IF(GP17&lt;=Condition!$E$16,0,IF(GP17&lt;=Condition!$F$16,Condition!$D$16,IF(GP17&lt;=Condition!$F$17,Condition!$D$17,IF(GP17&lt;=Condition!$F$18,Condition!$D$18,IF(GP17&gt;Condition!$E$19,Condition!$D$19,"")))))</f>
        <v>0</v>
      </c>
      <c r="GQ60" s="85">
        <f>IF(GQ17&lt;=Condition!$E$16,0,IF(GQ17&lt;=Condition!$F$16,Condition!$D$16,IF(GQ17&lt;=Condition!$F$17,Condition!$D$17,IF(GQ17&lt;=Condition!$F$18,Condition!$D$18,IF(GQ17&gt;Condition!$E$19,Condition!$D$19,"")))))</f>
        <v>0</v>
      </c>
      <c r="GR60" s="85">
        <f>IF(GR17&lt;=Condition!$E$16,0,IF(GR17&lt;=Condition!$F$16,Condition!$D$16,IF(GR17&lt;=Condition!$F$17,Condition!$D$17,IF(GR17&lt;=Condition!$F$18,Condition!$D$18,IF(GR17&gt;Condition!$E$19,Condition!$D$19,"")))))</f>
        <v>0</v>
      </c>
      <c r="GS60" s="85">
        <f>IF(GS17&lt;=Condition!$E$16,0,IF(GS17&lt;=Condition!$F$16,Condition!$D$16,IF(GS17&lt;=Condition!$F$17,Condition!$D$17,IF(GS17&lt;=Condition!$F$18,Condition!$D$18,IF(GS17&gt;Condition!$E$19,Condition!$D$19,"")))))</f>
        <v>0</v>
      </c>
      <c r="GT60" s="85">
        <f>IF(GT17&lt;=Condition!$E$16,0,IF(GT17&lt;=Condition!$F$16,Condition!$D$16,IF(GT17&lt;=Condition!$F$17,Condition!$D$17,IF(GT17&lt;=Condition!$F$18,Condition!$D$18,IF(GT17&gt;Condition!$E$19,Condition!$D$19,"")))))</f>
        <v>0</v>
      </c>
      <c r="GU60" s="85">
        <f>IF(GU17&lt;=Condition!$E$16,0,IF(GU17&lt;=Condition!$F$16,Condition!$D$16,IF(GU17&lt;=Condition!$F$17,Condition!$D$17,IF(GU17&lt;=Condition!$F$18,Condition!$D$18,IF(GU17&gt;Condition!$E$19,Condition!$D$19,"")))))</f>
        <v>0</v>
      </c>
      <c r="GV60" s="85">
        <f>IF(GV17&lt;=Condition!$E$16,0,IF(GV17&lt;=Condition!$F$16,Condition!$D$16,IF(GV17&lt;=Condition!$F$17,Condition!$D$17,IF(GV17&lt;=Condition!$F$18,Condition!$D$18,IF(GV17&gt;Condition!$E$19,Condition!$D$19,"")))))</f>
        <v>0</v>
      </c>
      <c r="GW60" s="85">
        <f>IF(GW17&lt;=Condition!$E$16,0,IF(GW17&lt;=Condition!$F$16,Condition!$D$16,IF(GW17&lt;=Condition!$F$17,Condition!$D$17,IF(GW17&lt;=Condition!$F$18,Condition!$D$18,IF(GW17&gt;Condition!$E$19,Condition!$D$19,"")))))</f>
        <v>0</v>
      </c>
      <c r="GX60" s="85">
        <f>IF(GX17&lt;=Condition!$E$16,0,IF(GX17&lt;=Condition!$F$16,Condition!$D$16,IF(GX17&lt;=Condition!$F$17,Condition!$D$17,IF(GX17&lt;=Condition!$F$18,Condition!$D$18,IF(GX17&gt;Condition!$E$19,Condition!$D$19,"")))))</f>
        <v>0</v>
      </c>
      <c r="GY60" s="85">
        <f>IF(GY17&lt;=Condition!$E$16,0,IF(GY17&lt;=Condition!$F$16,Condition!$D$16,IF(GY17&lt;=Condition!$F$17,Condition!$D$17,IF(GY17&lt;=Condition!$F$18,Condition!$D$18,IF(GY17&gt;Condition!$E$19,Condition!$D$19,"")))))</f>
        <v>0</v>
      </c>
      <c r="GZ60" s="85">
        <f>IF(GZ17&lt;=Condition!$E$16,0,IF(GZ17&lt;=Condition!$F$16,Condition!$D$16,IF(GZ17&lt;=Condition!$F$17,Condition!$D$17,IF(GZ17&lt;=Condition!$F$18,Condition!$D$18,IF(GZ17&gt;Condition!$E$19,Condition!$D$19,"")))))</f>
        <v>0</v>
      </c>
      <c r="HA60" s="85">
        <f>IF(HA17&lt;=Condition!$E$16,0,IF(HA17&lt;=Condition!$F$16,Condition!$D$16,IF(HA17&lt;=Condition!$F$17,Condition!$D$17,IF(HA17&lt;=Condition!$F$18,Condition!$D$18,IF(HA17&gt;Condition!$E$19,Condition!$D$19,"")))))</f>
        <v>0</v>
      </c>
      <c r="HB60" s="85">
        <f>IF(HB17&lt;=Condition!$E$16,0,IF(HB17&lt;=Condition!$F$16,Condition!$D$16,IF(HB17&lt;=Condition!$F$17,Condition!$D$17,IF(HB17&lt;=Condition!$F$18,Condition!$D$18,IF(HB17&gt;Condition!$E$19,Condition!$D$19,"")))))</f>
        <v>0</v>
      </c>
      <c r="HC60" s="85">
        <f>IF(HC17&lt;=Condition!$E$16,0,IF(HC17&lt;=Condition!$F$16,Condition!$D$16,IF(HC17&lt;=Condition!$F$17,Condition!$D$17,IF(HC17&lt;=Condition!$F$18,Condition!$D$18,IF(HC17&gt;Condition!$E$19,Condition!$D$19,"")))))</f>
        <v>0</v>
      </c>
      <c r="HD60" s="85">
        <f>IF(HD17&lt;=Condition!$E$16,0,IF(HD17&lt;=Condition!$F$16,Condition!$D$16,IF(HD17&lt;=Condition!$F$17,Condition!$D$17,IF(HD17&lt;=Condition!$F$18,Condition!$D$18,IF(HD17&gt;Condition!$E$19,Condition!$D$19,"")))))</f>
        <v>0</v>
      </c>
      <c r="HE60" s="85">
        <f>IF(HE17&lt;=Condition!$E$16,0,IF(HE17&lt;=Condition!$F$16,Condition!$D$16,IF(HE17&lt;=Condition!$F$17,Condition!$D$17,IF(HE17&lt;=Condition!$F$18,Condition!$D$18,IF(HE17&gt;Condition!$E$19,Condition!$D$19,"")))))</f>
        <v>0</v>
      </c>
      <c r="HF60" s="85">
        <f>IF(HF17&lt;=Condition!$E$16,0,IF(HF17&lt;=Condition!$F$16,Condition!$D$16,IF(HF17&lt;=Condition!$F$17,Condition!$D$17,IF(HF17&lt;=Condition!$F$18,Condition!$D$18,IF(HF17&gt;Condition!$E$19,Condition!$D$19,"")))))</f>
        <v>0</v>
      </c>
      <c r="HG60" s="85">
        <f>IF(HG17&lt;=Condition!$E$16,0,IF(HG17&lt;=Condition!$F$16,Condition!$D$16,IF(HG17&lt;=Condition!$F$17,Condition!$D$17,IF(HG17&lt;=Condition!$F$18,Condition!$D$18,IF(HG17&gt;Condition!$E$19,Condition!$D$19,"")))))</f>
        <v>0</v>
      </c>
      <c r="HH60" s="85">
        <f>IF(HH17&lt;=Condition!$E$16,0,IF(HH17&lt;=Condition!$F$16,Condition!$D$16,IF(HH17&lt;=Condition!$F$17,Condition!$D$17,IF(HH17&lt;=Condition!$F$18,Condition!$D$18,IF(HH17&gt;Condition!$E$19,Condition!$D$19,"")))))</f>
        <v>0</v>
      </c>
      <c r="HI60" s="85">
        <f>IF(HI17&lt;=Condition!$E$16,0,IF(HI17&lt;=Condition!$F$16,Condition!$D$16,IF(HI17&lt;=Condition!$F$17,Condition!$D$17,IF(HI17&lt;=Condition!$F$18,Condition!$D$18,IF(HI17&gt;Condition!$E$19,Condition!$D$19,"")))))</f>
        <v>0</v>
      </c>
      <c r="HJ60" s="85">
        <f>IF(HJ17&lt;=Condition!$E$16,0,IF(HJ17&lt;=Condition!$F$16,Condition!$D$16,IF(HJ17&lt;=Condition!$F$17,Condition!$D$17,IF(HJ17&lt;=Condition!$F$18,Condition!$D$18,IF(HJ17&gt;Condition!$E$19,Condition!$D$19,"")))))</f>
        <v>0</v>
      </c>
      <c r="HK60" s="85">
        <f>IF(HK17&lt;=Condition!$E$16,0,IF(HK17&lt;=Condition!$F$16,Condition!$D$16,IF(HK17&lt;=Condition!$F$17,Condition!$D$17,IF(HK17&lt;=Condition!$F$18,Condition!$D$18,IF(HK17&gt;Condition!$E$19,Condition!$D$19,"")))))</f>
        <v>0</v>
      </c>
      <c r="HL60" s="85">
        <f>IF(HL17&lt;=Condition!$E$16,0,IF(HL17&lt;=Condition!$F$16,Condition!$D$16,IF(HL17&lt;=Condition!$F$17,Condition!$D$17,IF(HL17&lt;=Condition!$F$18,Condition!$D$18,IF(HL17&gt;Condition!$E$19,Condition!$D$19,"")))))</f>
        <v>0</v>
      </c>
      <c r="HM60" s="85">
        <f>IF(HM17&lt;=Condition!$E$16,0,IF(HM17&lt;=Condition!$F$16,Condition!$D$16,IF(HM17&lt;=Condition!$F$17,Condition!$D$17,IF(HM17&lt;=Condition!$F$18,Condition!$D$18,IF(HM17&gt;Condition!$E$19,Condition!$D$19,"")))))</f>
        <v>0</v>
      </c>
      <c r="HN60" s="85">
        <f>IF(HN17&lt;=Condition!$E$16,0,IF(HN17&lt;=Condition!$F$16,Condition!$D$16,IF(HN17&lt;=Condition!$F$17,Condition!$D$17,IF(HN17&lt;=Condition!$F$18,Condition!$D$18,IF(HN17&gt;Condition!$E$19,Condition!$D$19,"")))))</f>
        <v>0</v>
      </c>
      <c r="HO60" s="85">
        <f>IF(HO17&lt;=Condition!$E$16,0,IF(HO17&lt;=Condition!$F$16,Condition!$D$16,IF(HO17&lt;=Condition!$F$17,Condition!$D$17,IF(HO17&lt;=Condition!$F$18,Condition!$D$18,IF(HO17&gt;Condition!$E$19,Condition!$D$19,"")))))</f>
        <v>0</v>
      </c>
      <c r="HP60" s="85">
        <f>IF(HP17&lt;=Condition!$E$16,0,IF(HP17&lt;=Condition!$F$16,Condition!$D$16,IF(HP17&lt;=Condition!$F$17,Condition!$D$17,IF(HP17&lt;=Condition!$F$18,Condition!$D$18,IF(HP17&gt;Condition!$E$19,Condition!$D$19,"")))))</f>
        <v>0</v>
      </c>
      <c r="HQ60" s="85">
        <f>IF(HQ17&lt;=Condition!$E$16,0,IF(HQ17&lt;=Condition!$F$16,Condition!$D$16,IF(HQ17&lt;=Condition!$F$17,Condition!$D$17,IF(HQ17&lt;=Condition!$F$18,Condition!$D$18,IF(HQ17&gt;Condition!$E$19,Condition!$D$19,"")))))</f>
        <v>0</v>
      </c>
      <c r="HR60" s="85">
        <f>IF(HR17&lt;=Condition!$E$16,0,IF(HR17&lt;=Condition!$F$16,Condition!$D$16,IF(HR17&lt;=Condition!$F$17,Condition!$D$17,IF(HR17&lt;=Condition!$F$18,Condition!$D$18,IF(HR17&gt;Condition!$E$19,Condition!$D$19,"")))))</f>
        <v>0</v>
      </c>
      <c r="HS60" s="85">
        <f>IF(HS17&lt;=Condition!$E$16,0,IF(HS17&lt;=Condition!$F$16,Condition!$D$16,IF(HS17&lt;=Condition!$F$17,Condition!$D$17,IF(HS17&lt;=Condition!$F$18,Condition!$D$18,IF(HS17&gt;Condition!$E$19,Condition!$D$19,"")))))</f>
        <v>0</v>
      </c>
      <c r="HT60" s="85">
        <f>IF(HT17&lt;=Condition!$E$16,0,IF(HT17&lt;=Condition!$F$16,Condition!$D$16,IF(HT17&lt;=Condition!$F$17,Condition!$D$17,IF(HT17&lt;=Condition!$F$18,Condition!$D$18,IF(HT17&gt;Condition!$E$19,Condition!$D$19,"")))))</f>
        <v>0</v>
      </c>
      <c r="HU60" s="85">
        <f>IF(HU17&lt;=Condition!$E$16,0,IF(HU17&lt;=Condition!$F$16,Condition!$D$16,IF(HU17&lt;=Condition!$F$17,Condition!$D$17,IF(HU17&lt;=Condition!$F$18,Condition!$D$18,IF(HU17&gt;Condition!$E$19,Condition!$D$19,"")))))</f>
        <v>0</v>
      </c>
      <c r="HV60" s="85">
        <f>IF(HV17&lt;=Condition!$E$16,0,IF(HV17&lt;=Condition!$F$16,Condition!$D$16,IF(HV17&lt;=Condition!$F$17,Condition!$D$17,IF(HV17&lt;=Condition!$F$18,Condition!$D$18,IF(HV17&gt;Condition!$E$19,Condition!$D$19,"")))))</f>
        <v>0</v>
      </c>
      <c r="HW60" s="85">
        <f>IF(HW17&lt;=Condition!$E$16,0,IF(HW17&lt;=Condition!$F$16,Condition!$D$16,IF(HW17&lt;=Condition!$F$17,Condition!$D$17,IF(HW17&lt;=Condition!$F$18,Condition!$D$18,IF(HW17&gt;Condition!$E$19,Condition!$D$19,"")))))</f>
        <v>0</v>
      </c>
      <c r="HX60" s="85">
        <f>IF(HX17&lt;=Condition!$E$16,0,IF(HX17&lt;=Condition!$F$16,Condition!$D$16,IF(HX17&lt;=Condition!$F$17,Condition!$D$17,IF(HX17&lt;=Condition!$F$18,Condition!$D$18,IF(HX17&gt;Condition!$E$19,Condition!$D$19,"")))))</f>
        <v>0</v>
      </c>
      <c r="HY60" s="85">
        <f>IF(HY17&lt;=Condition!$E$16,0,IF(HY17&lt;=Condition!$F$16,Condition!$D$16,IF(HY17&lt;=Condition!$F$17,Condition!$D$17,IF(HY17&lt;=Condition!$F$18,Condition!$D$18,IF(HY17&gt;Condition!$E$19,Condition!$D$19,"")))))</f>
        <v>0</v>
      </c>
      <c r="HZ60" s="85">
        <f>IF(HZ17&lt;=Condition!$E$16,0,IF(HZ17&lt;=Condition!$F$16,Condition!$D$16,IF(HZ17&lt;=Condition!$F$17,Condition!$D$17,IF(HZ17&lt;=Condition!$F$18,Condition!$D$18,IF(HZ17&gt;Condition!$E$19,Condition!$D$19,"")))))</f>
        <v>0</v>
      </c>
      <c r="IA60" s="85">
        <f>IF(IA17&lt;=Condition!$E$16,0,IF(IA17&lt;=Condition!$F$16,Condition!$D$16,IF(IA17&lt;=Condition!$F$17,Condition!$D$17,IF(IA17&lt;=Condition!$F$18,Condition!$D$18,IF(IA17&gt;Condition!$E$19,Condition!$D$19,"")))))</f>
        <v>0</v>
      </c>
      <c r="IB60" s="85">
        <f>IF(IB17&lt;=Condition!$E$16,0,IF(IB17&lt;=Condition!$F$16,Condition!$D$16,IF(IB17&lt;=Condition!$F$17,Condition!$D$17,IF(IB17&lt;=Condition!$F$18,Condition!$D$18,IF(IB17&gt;Condition!$E$19,Condition!$D$19,"")))))</f>
        <v>0</v>
      </c>
      <c r="IC60" s="85">
        <f>IF(IC17&lt;=Condition!$E$16,0,IF(IC17&lt;=Condition!$F$16,Condition!$D$16,IF(IC17&lt;=Condition!$F$17,Condition!$D$17,IF(IC17&lt;=Condition!$F$18,Condition!$D$18,IF(IC17&gt;Condition!$E$19,Condition!$D$19,"")))))</f>
        <v>0</v>
      </c>
      <c r="ID60" s="85">
        <f>IF(ID17&lt;=Condition!$E$16,0,IF(ID17&lt;=Condition!$F$16,Condition!$D$16,IF(ID17&lt;=Condition!$F$17,Condition!$D$17,IF(ID17&lt;=Condition!$F$18,Condition!$D$18,IF(ID17&gt;Condition!$E$19,Condition!$D$19,"")))))</f>
        <v>0</v>
      </c>
      <c r="IE60" s="85">
        <f>IF(IE17&lt;=Condition!$E$16,0,IF(IE17&lt;=Condition!$F$16,Condition!$D$16,IF(IE17&lt;=Condition!$F$17,Condition!$D$17,IF(IE17&lt;=Condition!$F$18,Condition!$D$18,IF(IE17&gt;Condition!$E$19,Condition!$D$19,"")))))</f>
        <v>0</v>
      </c>
      <c r="IF60" s="85">
        <f>IF(IF17&lt;=Condition!$E$16,0,IF(IF17&lt;=Condition!$F$16,Condition!$D$16,IF(IF17&lt;=Condition!$F$17,Condition!$D$17,IF(IF17&lt;=Condition!$F$18,Condition!$D$18,IF(IF17&gt;Condition!$E$19,Condition!$D$19,"")))))</f>
        <v>0</v>
      </c>
      <c r="IG60" s="85">
        <f>IF(IG17&lt;=Condition!$E$16,0,IF(IG17&lt;=Condition!$F$16,Condition!$D$16,IF(IG17&lt;=Condition!$F$17,Condition!$D$17,IF(IG17&lt;=Condition!$F$18,Condition!$D$18,IF(IG17&gt;Condition!$E$19,Condition!$D$19,"")))))</f>
        <v>0</v>
      </c>
      <c r="IH60" s="85">
        <f>IF(IH17&lt;=Condition!$E$16,0,IF(IH17&lt;=Condition!$F$16,Condition!$D$16,IF(IH17&lt;=Condition!$F$17,Condition!$D$17,IF(IH17&lt;=Condition!$F$18,Condition!$D$18,IF(IH17&gt;Condition!$E$19,Condition!$D$19,"")))))</f>
        <v>0</v>
      </c>
      <c r="II60" s="85">
        <f>IF(II17&lt;=Condition!$E$16,0,IF(II17&lt;=Condition!$F$16,Condition!$D$16,IF(II17&lt;=Condition!$F$17,Condition!$D$17,IF(II17&lt;=Condition!$F$18,Condition!$D$18,IF(II17&gt;Condition!$E$19,Condition!$D$19,"")))))</f>
        <v>0</v>
      </c>
      <c r="IJ60" s="85">
        <f>IF(IJ17&lt;=Condition!$E$16,0,IF(IJ17&lt;=Condition!$F$16,Condition!$D$16,IF(IJ17&lt;=Condition!$F$17,Condition!$D$17,IF(IJ17&lt;=Condition!$F$18,Condition!$D$18,IF(IJ17&gt;Condition!$E$19,Condition!$D$19,"")))))</f>
        <v>0</v>
      </c>
      <c r="IK60" s="85">
        <f>IF(IK17&lt;=Condition!$E$16,0,IF(IK17&lt;=Condition!$F$16,Condition!$D$16,IF(IK17&lt;=Condition!$F$17,Condition!$D$17,IF(IK17&lt;=Condition!$F$18,Condition!$D$18,IF(IK17&gt;Condition!$E$19,Condition!$D$19,"")))))</f>
        <v>0</v>
      </c>
      <c r="IL60" s="85">
        <f>IF(IL17&lt;=Condition!$E$16,0,IF(IL17&lt;=Condition!$F$16,Condition!$D$16,IF(IL17&lt;=Condition!$F$17,Condition!$D$17,IF(IL17&lt;=Condition!$F$18,Condition!$D$18,IF(IL17&gt;Condition!$E$19,Condition!$D$19,"")))))</f>
        <v>0</v>
      </c>
      <c r="IM60" s="85">
        <f>IF(IM17&lt;=Condition!$E$16,0,IF(IM17&lt;=Condition!$F$16,Condition!$D$16,IF(IM17&lt;=Condition!$F$17,Condition!$D$17,IF(IM17&lt;=Condition!$F$18,Condition!$D$18,IF(IM17&gt;Condition!$E$19,Condition!$D$19,"")))))</f>
        <v>0</v>
      </c>
      <c r="IN60" s="85">
        <f>IF(IN17&lt;=Condition!$E$16,0,IF(IN17&lt;=Condition!$F$16,Condition!$D$16,IF(IN17&lt;=Condition!$F$17,Condition!$D$17,IF(IN17&lt;=Condition!$F$18,Condition!$D$18,IF(IN17&gt;Condition!$E$19,Condition!$D$19,"")))))</f>
        <v>0</v>
      </c>
      <c r="IO60" s="85">
        <f>IF(IO17&lt;=Condition!$E$16,0,IF(IO17&lt;=Condition!$F$16,Condition!$D$16,IF(IO17&lt;=Condition!$F$17,Condition!$D$17,IF(IO17&lt;=Condition!$F$18,Condition!$D$18,IF(IO17&gt;Condition!$E$19,Condition!$D$19,"")))))</f>
        <v>0</v>
      </c>
      <c r="IP60" s="85">
        <f>IF(IP17&lt;=Condition!$E$16,0,IF(IP17&lt;=Condition!$F$16,Condition!$D$16,IF(IP17&lt;=Condition!$F$17,Condition!$D$17,IF(IP17&lt;=Condition!$F$18,Condition!$D$18,IF(IP17&gt;Condition!$E$19,Condition!$D$19,"")))))</f>
        <v>0</v>
      </c>
      <c r="IQ60" s="85">
        <f>IF(IQ17&lt;=Condition!$E$16,0,IF(IQ17&lt;=Condition!$F$16,Condition!$D$16,IF(IQ17&lt;=Condition!$F$17,Condition!$D$17,IF(IQ17&lt;=Condition!$F$18,Condition!$D$18,IF(IQ17&gt;Condition!$E$19,Condition!$D$19,"")))))</f>
        <v>0</v>
      </c>
      <c r="IR60" s="85">
        <f>IF(IR17&lt;=Condition!$E$16,0,IF(IR17&lt;=Condition!$F$16,Condition!$D$16,IF(IR17&lt;=Condition!$F$17,Condition!$D$17,IF(IR17&lt;=Condition!$F$18,Condition!$D$18,IF(IR17&gt;Condition!$E$19,Condition!$D$19,"")))))</f>
        <v>0</v>
      </c>
      <c r="IS60" s="85">
        <f>IF(IS17&lt;=Condition!$E$16,0,IF(IS17&lt;=Condition!$F$16,Condition!$D$16,IF(IS17&lt;=Condition!$F$17,Condition!$D$17,IF(IS17&lt;=Condition!$F$18,Condition!$D$18,IF(IS17&gt;Condition!$E$19,Condition!$D$19,"")))))</f>
        <v>0</v>
      </c>
      <c r="IT60" s="85">
        <f>IF(IT17&lt;=Condition!$E$16,0,IF(IT17&lt;=Condition!$F$16,Condition!$D$16,IF(IT17&lt;=Condition!$F$17,Condition!$D$17,IF(IT17&lt;=Condition!$F$18,Condition!$D$18,IF(IT17&gt;Condition!$E$19,Condition!$D$19,"")))))</f>
        <v>0</v>
      </c>
      <c r="IU60" s="85">
        <f>IF(IU17&lt;=Condition!$E$16,0,IF(IU17&lt;=Condition!$F$16,Condition!$D$16,IF(IU17&lt;=Condition!$F$17,Condition!$D$17,IF(IU17&lt;=Condition!$F$18,Condition!$D$18,IF(IU17&gt;Condition!$E$19,Condition!$D$19,"")))))</f>
        <v>0</v>
      </c>
      <c r="IV60" s="85">
        <f>IF(IV17&lt;=Condition!$E$16,0,IF(IV17&lt;=Condition!$F$16,Condition!$D$16,IF(IV17&lt;=Condition!$F$17,Condition!$D$17,IF(IV17&lt;=Condition!$F$18,Condition!$D$18,IF(IV17&gt;Condition!$E$19,Condition!$D$19,"")))))</f>
        <v>0</v>
      </c>
      <c r="IW60" s="85">
        <f>IF(IW17&lt;=Condition!$E$16,0,IF(IW17&lt;=Condition!$F$16,Condition!$D$16,IF(IW17&lt;=Condition!$F$17,Condition!$D$17,IF(IW17&lt;=Condition!$F$18,Condition!$D$18,IF(IW17&gt;Condition!$E$19,Condition!$D$19,"")))))</f>
        <v>0</v>
      </c>
      <c r="IX60" s="85">
        <f>IF(IX17&lt;=Condition!$E$16,0,IF(IX17&lt;=Condition!$F$16,Condition!$D$16,IF(IX17&lt;=Condition!$F$17,Condition!$D$17,IF(IX17&lt;=Condition!$F$18,Condition!$D$18,IF(IX17&gt;Condition!$E$19,Condition!$D$19,"")))))</f>
        <v>0</v>
      </c>
      <c r="IY60" s="85">
        <f>IF(IY17&lt;=Condition!$E$16,0,IF(IY17&lt;=Condition!$F$16,Condition!$D$16,IF(IY17&lt;=Condition!$F$17,Condition!$D$17,IF(IY17&lt;=Condition!$F$18,Condition!$D$18,IF(IY17&gt;Condition!$E$19,Condition!$D$19,"")))))</f>
        <v>0</v>
      </c>
      <c r="IZ60" s="85">
        <f>IF(IZ17&lt;=Condition!$E$16,0,IF(IZ17&lt;=Condition!$F$16,Condition!$D$16,IF(IZ17&lt;=Condition!$F$17,Condition!$D$17,IF(IZ17&lt;=Condition!$F$18,Condition!$D$18,IF(IZ17&gt;Condition!$E$19,Condition!$D$19,"")))))</f>
        <v>0</v>
      </c>
      <c r="JA60" s="85">
        <f>IF(JA17&lt;=Condition!$E$16,0,IF(JA17&lt;=Condition!$F$16,Condition!$D$16,IF(JA17&lt;=Condition!$F$17,Condition!$D$17,IF(JA17&lt;=Condition!$F$18,Condition!$D$18,IF(JA17&gt;Condition!$E$19,Condition!$D$19,"")))))</f>
        <v>0</v>
      </c>
      <c r="JB60" s="85">
        <f>IF(JB17&lt;=Condition!$E$16,0,IF(JB17&lt;=Condition!$F$16,Condition!$D$16,IF(JB17&lt;=Condition!$F$17,Condition!$D$17,IF(JB17&lt;=Condition!$F$18,Condition!$D$18,IF(JB17&gt;Condition!$E$19,Condition!$D$19,"")))))</f>
        <v>0</v>
      </c>
      <c r="JC60" s="85">
        <f>IF(JC17&lt;=Condition!$E$16,0,IF(JC17&lt;=Condition!$F$16,Condition!$D$16,IF(JC17&lt;=Condition!$F$17,Condition!$D$17,IF(JC17&lt;=Condition!$F$18,Condition!$D$18,IF(JC17&gt;Condition!$E$19,Condition!$D$19,"")))))</f>
        <v>0</v>
      </c>
      <c r="JD60" s="85">
        <f>IF(JD17&lt;=Condition!$E$16,0,IF(JD17&lt;=Condition!$F$16,Condition!$D$16,IF(JD17&lt;=Condition!$F$17,Condition!$D$17,IF(JD17&lt;=Condition!$F$18,Condition!$D$18,IF(JD17&gt;Condition!$E$19,Condition!$D$19,"")))))</f>
        <v>0</v>
      </c>
      <c r="JE60" s="85">
        <f>IF(JE17&lt;=Condition!$E$16,0,IF(JE17&lt;=Condition!$F$16,Condition!$D$16,IF(JE17&lt;=Condition!$F$17,Condition!$D$17,IF(JE17&lt;=Condition!$F$18,Condition!$D$18,IF(JE17&gt;Condition!$E$19,Condition!$D$19,"")))))</f>
        <v>0</v>
      </c>
      <c r="JF60" s="85">
        <f>IF(JF17&lt;=Condition!$E$16,0,IF(JF17&lt;=Condition!$F$16,Condition!$D$16,IF(JF17&lt;=Condition!$F$17,Condition!$D$17,IF(JF17&lt;=Condition!$F$18,Condition!$D$18,IF(JF17&gt;Condition!$E$19,Condition!$D$19,"")))))</f>
        <v>0</v>
      </c>
      <c r="JG60" s="85">
        <f>IF(JG17&lt;=Condition!$E$16,0,IF(JG17&lt;=Condition!$F$16,Condition!$D$16,IF(JG17&lt;=Condition!$F$17,Condition!$D$17,IF(JG17&lt;=Condition!$F$18,Condition!$D$18,IF(JG17&gt;Condition!$E$19,Condition!$D$19,"")))))</f>
        <v>0</v>
      </c>
      <c r="JH60" s="85">
        <f>IF(JH17&lt;=Condition!$E$16,0,IF(JH17&lt;=Condition!$F$16,Condition!$D$16,IF(JH17&lt;=Condition!$F$17,Condition!$D$17,IF(JH17&lt;=Condition!$F$18,Condition!$D$18,IF(JH17&gt;Condition!$E$19,Condition!$D$19,"")))))</f>
        <v>0</v>
      </c>
      <c r="JI60" s="85">
        <f>IF(JI17&lt;=Condition!$E$16,0,IF(JI17&lt;=Condition!$F$16,Condition!$D$16,IF(JI17&lt;=Condition!$F$17,Condition!$D$17,IF(JI17&lt;=Condition!$F$18,Condition!$D$18,IF(JI17&gt;Condition!$E$19,Condition!$D$19,"")))))</f>
        <v>0</v>
      </c>
      <c r="JJ60" s="85">
        <f>IF(JJ17&lt;=Condition!$E$16,0,IF(JJ17&lt;=Condition!$F$16,Condition!$D$16,IF(JJ17&lt;=Condition!$F$17,Condition!$D$17,IF(JJ17&lt;=Condition!$F$18,Condition!$D$18,IF(JJ17&gt;Condition!$E$19,Condition!$D$19,"")))))</f>
        <v>0</v>
      </c>
      <c r="JK60" s="85">
        <f>IF(JK17&lt;=Condition!$E$16,0,IF(JK17&lt;=Condition!$F$16,Condition!$D$16,IF(JK17&lt;=Condition!$F$17,Condition!$D$17,IF(JK17&lt;=Condition!$F$18,Condition!$D$18,IF(JK17&gt;Condition!$E$19,Condition!$D$19,"")))))</f>
        <v>0</v>
      </c>
      <c r="JL60" s="85">
        <f>IF(JL17&lt;=Condition!$E$16,0,IF(JL17&lt;=Condition!$F$16,Condition!$D$16,IF(JL17&lt;=Condition!$F$17,Condition!$D$17,IF(JL17&lt;=Condition!$F$18,Condition!$D$18,IF(JL17&gt;Condition!$E$19,Condition!$D$19,"")))))</f>
        <v>0</v>
      </c>
      <c r="JM60" s="85">
        <f>IF(JM17&lt;=Condition!$E$16,0,IF(JM17&lt;=Condition!$F$16,Condition!$D$16,IF(JM17&lt;=Condition!$F$17,Condition!$D$17,IF(JM17&lt;=Condition!$F$18,Condition!$D$18,IF(JM17&gt;Condition!$E$19,Condition!$D$19,"")))))</f>
        <v>0</v>
      </c>
      <c r="JN60" s="85">
        <f>IF(JN17&lt;=Condition!$E$16,0,IF(JN17&lt;=Condition!$F$16,Condition!$D$16,IF(JN17&lt;=Condition!$F$17,Condition!$D$17,IF(JN17&lt;=Condition!$F$18,Condition!$D$18,IF(JN17&gt;Condition!$E$19,Condition!$D$19,"")))))</f>
        <v>0</v>
      </c>
      <c r="JO60" s="85">
        <f>IF(JO17&lt;=Condition!$E$16,0,IF(JO17&lt;=Condition!$F$16,Condition!$D$16,IF(JO17&lt;=Condition!$F$17,Condition!$D$17,IF(JO17&lt;=Condition!$F$18,Condition!$D$18,IF(JO17&gt;Condition!$E$19,Condition!$D$19,"")))))</f>
        <v>0</v>
      </c>
      <c r="JP60" s="85">
        <f>IF(JP17&lt;=Condition!$E$16,0,IF(JP17&lt;=Condition!$F$16,Condition!$D$16,IF(JP17&lt;=Condition!$F$17,Condition!$D$17,IF(JP17&lt;=Condition!$F$18,Condition!$D$18,IF(JP17&gt;Condition!$E$19,Condition!$D$19,"")))))</f>
        <v>0</v>
      </c>
      <c r="JQ60" s="85">
        <f>IF(JQ17&lt;=Condition!$E$16,0,IF(JQ17&lt;=Condition!$F$16,Condition!$D$16,IF(JQ17&lt;=Condition!$F$17,Condition!$D$17,IF(JQ17&lt;=Condition!$F$18,Condition!$D$18,IF(JQ17&gt;Condition!$E$19,Condition!$D$19,"")))))</f>
        <v>0</v>
      </c>
      <c r="JR60" s="85">
        <f>IF(JR17&lt;=Condition!$E$16,0,IF(JR17&lt;=Condition!$F$16,Condition!$D$16,IF(JR17&lt;=Condition!$F$17,Condition!$D$17,IF(JR17&lt;=Condition!$F$18,Condition!$D$18,IF(JR17&gt;Condition!$E$19,Condition!$D$19,"")))))</f>
        <v>0</v>
      </c>
      <c r="JS60" s="85">
        <f>IF(JS17&lt;=Condition!$E$16,0,IF(JS17&lt;=Condition!$F$16,Condition!$D$16,IF(JS17&lt;=Condition!$F$17,Condition!$D$17,IF(JS17&lt;=Condition!$F$18,Condition!$D$18,IF(JS17&gt;Condition!$E$19,Condition!$D$19,"")))))</f>
        <v>0</v>
      </c>
      <c r="JT60" s="85">
        <f>IF(JT17&lt;=Condition!$E$16,0,IF(JT17&lt;=Condition!$F$16,Condition!$D$16,IF(JT17&lt;=Condition!$F$17,Condition!$D$17,IF(JT17&lt;=Condition!$F$18,Condition!$D$18,IF(JT17&gt;Condition!$E$19,Condition!$D$19,"")))))</f>
        <v>0</v>
      </c>
      <c r="JU60" s="85">
        <f>IF(JU17&lt;=Condition!$E$16,0,IF(JU17&lt;=Condition!$F$16,Condition!$D$16,IF(JU17&lt;=Condition!$F$17,Condition!$D$17,IF(JU17&lt;=Condition!$F$18,Condition!$D$18,IF(JU17&gt;Condition!$E$19,Condition!$D$19,"")))))</f>
        <v>0</v>
      </c>
      <c r="JV60" s="85">
        <f>IF(JV17&lt;=Condition!$E$16,0,IF(JV17&lt;=Condition!$F$16,Condition!$D$16,IF(JV17&lt;=Condition!$F$17,Condition!$D$17,IF(JV17&lt;=Condition!$F$18,Condition!$D$18,IF(JV17&gt;Condition!$E$19,Condition!$D$19,"")))))</f>
        <v>0</v>
      </c>
      <c r="JW60" s="85">
        <f>IF(JW17&lt;=Condition!$E$16,0,IF(JW17&lt;=Condition!$F$16,Condition!$D$16,IF(JW17&lt;=Condition!$F$17,Condition!$D$17,IF(JW17&lt;=Condition!$F$18,Condition!$D$18,IF(JW17&gt;Condition!$E$19,Condition!$D$19,"")))))</f>
        <v>0</v>
      </c>
      <c r="JX60" s="85">
        <f>IF(JX17&lt;=Condition!$E$16,0,IF(JX17&lt;=Condition!$F$16,Condition!$D$16,IF(JX17&lt;=Condition!$F$17,Condition!$D$17,IF(JX17&lt;=Condition!$F$18,Condition!$D$18,IF(JX17&gt;Condition!$E$19,Condition!$D$19,"")))))</f>
        <v>0</v>
      </c>
      <c r="JY60" s="85">
        <f>IF(JY17&lt;=Condition!$E$16,0,IF(JY17&lt;=Condition!$F$16,Condition!$D$16,IF(JY17&lt;=Condition!$F$17,Condition!$D$17,IF(JY17&lt;=Condition!$F$18,Condition!$D$18,IF(JY17&gt;Condition!$E$19,Condition!$D$19,"")))))</f>
        <v>0</v>
      </c>
      <c r="JZ60" s="85">
        <f>IF(JZ17&lt;=Condition!$E$16,0,IF(JZ17&lt;=Condition!$F$16,Condition!$D$16,IF(JZ17&lt;=Condition!$F$17,Condition!$D$17,IF(JZ17&lt;=Condition!$F$18,Condition!$D$18,IF(JZ17&gt;Condition!$E$19,Condition!$D$19,"")))))</f>
        <v>0</v>
      </c>
      <c r="KA60" s="85">
        <f>IF(KA17&lt;=Condition!$E$16,0,IF(KA17&lt;=Condition!$F$16,Condition!$D$16,IF(KA17&lt;=Condition!$F$17,Condition!$D$17,IF(KA17&lt;=Condition!$F$18,Condition!$D$18,IF(KA17&gt;Condition!$E$19,Condition!$D$19,"")))))</f>
        <v>0</v>
      </c>
      <c r="KB60" s="85">
        <f>IF(KB17&lt;=Condition!$E$16,0,IF(KB17&lt;=Condition!$F$16,Condition!$D$16,IF(KB17&lt;=Condition!$F$17,Condition!$D$17,IF(KB17&lt;=Condition!$F$18,Condition!$D$18,IF(KB17&gt;Condition!$E$19,Condition!$D$19,"")))))</f>
        <v>0</v>
      </c>
      <c r="KC60" s="85">
        <f>IF(KC17&lt;=Condition!$E$16,0,IF(KC17&lt;=Condition!$F$16,Condition!$D$16,IF(KC17&lt;=Condition!$F$17,Condition!$D$17,IF(KC17&lt;=Condition!$F$18,Condition!$D$18,IF(KC17&gt;Condition!$E$19,Condition!$D$19,"")))))</f>
        <v>0</v>
      </c>
      <c r="KD60" s="85">
        <f>IF(KD17&lt;=Condition!$E$16,0,IF(KD17&lt;=Condition!$F$16,Condition!$D$16,IF(KD17&lt;=Condition!$F$17,Condition!$D$17,IF(KD17&lt;=Condition!$F$18,Condition!$D$18,IF(KD17&gt;Condition!$E$19,Condition!$D$19,"")))))</f>
        <v>0</v>
      </c>
      <c r="KE60" s="85">
        <f>IF(KE17&lt;=Condition!$E$16,0,IF(KE17&lt;=Condition!$F$16,Condition!$D$16,IF(KE17&lt;=Condition!$F$17,Condition!$D$17,IF(KE17&lt;=Condition!$F$18,Condition!$D$18,IF(KE17&gt;Condition!$E$19,Condition!$D$19,"")))))</f>
        <v>0</v>
      </c>
      <c r="KF60" s="85">
        <f>IF(KF17&lt;=Condition!$E$16,0,IF(KF17&lt;=Condition!$F$16,Condition!$D$16,IF(KF17&lt;=Condition!$F$17,Condition!$D$17,IF(KF17&lt;=Condition!$F$18,Condition!$D$18,IF(KF17&gt;Condition!$E$19,Condition!$D$19,"")))))</f>
        <v>0</v>
      </c>
      <c r="KG60" s="85">
        <f>IF(KG17&lt;=Condition!$E$16,0,IF(KG17&lt;=Condition!$F$16,Condition!$D$16,IF(KG17&lt;=Condition!$F$17,Condition!$D$17,IF(KG17&lt;=Condition!$F$18,Condition!$D$18,IF(KG17&gt;Condition!$E$19,Condition!$D$19,"")))))</f>
        <v>0</v>
      </c>
      <c r="KH60" s="85">
        <f>IF(KH17&lt;=Condition!$E$16,0,IF(KH17&lt;=Condition!$F$16,Condition!$D$16,IF(KH17&lt;=Condition!$F$17,Condition!$D$17,IF(KH17&lt;=Condition!$F$18,Condition!$D$18,IF(KH17&gt;Condition!$E$19,Condition!$D$19,"")))))</f>
        <v>0</v>
      </c>
      <c r="KI60" s="85">
        <f>IF(KI17&lt;=Condition!$E$16,0,IF(KI17&lt;=Condition!$F$16,Condition!$D$16,IF(KI17&lt;=Condition!$F$17,Condition!$D$17,IF(KI17&lt;=Condition!$F$18,Condition!$D$18,IF(KI17&gt;Condition!$E$19,Condition!$D$19,"")))))</f>
        <v>0</v>
      </c>
    </row>
    <row r="61" spans="2:295" x14ac:dyDescent="0.25">
      <c r="B61" s="15">
        <f t="shared" ref="B61:E61" si="16">B18</f>
        <v>6</v>
      </c>
      <c r="C61" s="25" t="str">
        <f t="shared" si="16"/>
        <v>DSL-DHK</v>
      </c>
      <c r="D61" s="25" t="str">
        <f t="shared" si="16"/>
        <v>Ohid Hasan Saikat</v>
      </c>
      <c r="E61" s="26">
        <f t="shared" si="16"/>
        <v>5691</v>
      </c>
      <c r="F61" s="112">
        <f t="shared" si="4"/>
        <v>6900</v>
      </c>
      <c r="G61" s="112">
        <f t="shared" si="5"/>
        <v>700</v>
      </c>
      <c r="H61" s="85">
        <f>IF(H18&lt;=Condition!$E$16,0,IF(H18&lt;=Condition!$F$16,Condition!$D$16,IF(H18&lt;=Condition!$F$17,Condition!$D$17,IF(H18&lt;=Condition!$F$18,Condition!$D$18,IF(H18&gt;Condition!$E$19,Condition!$D$19,"")))))</f>
        <v>300</v>
      </c>
      <c r="I61" s="85">
        <f>IF(I18&lt;=Condition!$E$16,0,IF(I18&lt;=Condition!$F$16,Condition!$D$16,IF(I18&lt;=Condition!$F$17,Condition!$D$17,IF(I18&lt;=Condition!$F$18,Condition!$D$18,IF(I18&gt;Condition!$E$19,Condition!$D$19,"")))))</f>
        <v>0</v>
      </c>
      <c r="J61" s="85">
        <f>IF(J18&lt;=Condition!$E$16,0,IF(J18&lt;=Condition!$F$16,Condition!$D$16,IF(J18&lt;=Condition!$F$17,Condition!$D$17,IF(J18&lt;=Condition!$F$18,Condition!$D$18,IF(J18&gt;Condition!$E$19,Condition!$D$19,"")))))</f>
        <v>150</v>
      </c>
      <c r="K61" s="85">
        <f>IF(K18&lt;=Condition!$E$16,0,IF(K18&lt;=Condition!$F$16,Condition!$D$16,IF(K18&lt;=Condition!$F$17,Condition!$D$17,IF(K18&lt;=Condition!$F$18,Condition!$D$18,IF(K18&gt;Condition!$E$19,Condition!$D$19,"")))))</f>
        <v>0</v>
      </c>
      <c r="L61" s="85">
        <f>IF(L18&lt;=Condition!$E$16,0,IF(L18&lt;=Condition!$F$16,Condition!$D$16,IF(L18&lt;=Condition!$F$17,Condition!$D$17,IF(L18&lt;=Condition!$F$18,Condition!$D$18,IF(L18&gt;Condition!$E$19,Condition!$D$19,"")))))</f>
        <v>150</v>
      </c>
      <c r="M61" s="85">
        <f>IF(M18&lt;=Condition!$E$16,0,IF(M18&lt;=Condition!$F$16,Condition!$D$16,IF(M18&lt;=Condition!$F$17,Condition!$D$17,IF(M18&lt;=Condition!$F$18,Condition!$D$18,IF(M18&gt;Condition!$E$19,Condition!$D$19,"")))))</f>
        <v>0</v>
      </c>
      <c r="N61" s="85">
        <f>IF(N18&lt;=Condition!$E$16,0,IF(N18&lt;=Condition!$F$16,Condition!$D$16,IF(N18&lt;=Condition!$F$17,Condition!$D$17,IF(N18&lt;=Condition!$F$18,Condition!$D$18,IF(N18&gt;Condition!$E$19,Condition!$D$19,"")))))</f>
        <v>150</v>
      </c>
      <c r="O61" s="85">
        <f>IF(O18&lt;=Condition!$E$16,0,IF(O18&lt;=Condition!$F$16,Condition!$D$16,IF(O18&lt;=Condition!$F$17,Condition!$D$17,IF(O18&lt;=Condition!$F$18,Condition!$D$18,IF(O18&gt;Condition!$E$19,Condition!$D$19,"")))))</f>
        <v>0</v>
      </c>
      <c r="P61" s="85">
        <f>IF(P18&lt;=Condition!$E$16,0,IF(P18&lt;=Condition!$F$16,Condition!$D$16,IF(P18&lt;=Condition!$F$17,Condition!$D$17,IF(P18&lt;=Condition!$F$18,Condition!$D$18,IF(P18&gt;Condition!$E$19,Condition!$D$19,"")))))</f>
        <v>150</v>
      </c>
      <c r="Q61" s="85">
        <f>IF(Q18&lt;=Condition!$E$16,0,IF(Q18&lt;=Condition!$F$16,Condition!$D$16,IF(Q18&lt;=Condition!$F$17,Condition!$D$17,IF(Q18&lt;=Condition!$F$18,Condition!$D$18,IF(Q18&gt;Condition!$E$19,Condition!$D$19,"")))))</f>
        <v>0</v>
      </c>
      <c r="R61" s="85">
        <f>IF(R18&lt;=Condition!$E$16,0,IF(R18&lt;=Condition!$F$16,Condition!$D$16,IF(R18&lt;=Condition!$F$17,Condition!$D$17,IF(R18&lt;=Condition!$F$18,Condition!$D$18,IF(R18&gt;Condition!$E$19,Condition!$D$19,"")))))</f>
        <v>150</v>
      </c>
      <c r="S61" s="85">
        <f>IF(S18&lt;=Condition!$E$16,0,IF(S18&lt;=Condition!$F$16,Condition!$D$16,IF(S18&lt;=Condition!$F$17,Condition!$D$17,IF(S18&lt;=Condition!$F$18,Condition!$D$18,IF(S18&gt;Condition!$E$19,Condition!$D$19,"")))))</f>
        <v>0</v>
      </c>
      <c r="T61" s="85">
        <f>IF(T18&lt;=Condition!$E$16,0,IF(T18&lt;=Condition!$F$16,Condition!$D$16,IF(T18&lt;=Condition!$F$17,Condition!$D$17,IF(T18&lt;=Condition!$F$18,Condition!$D$18,IF(T18&gt;Condition!$E$19,Condition!$D$19,"")))))</f>
        <v>300</v>
      </c>
      <c r="U61" s="85">
        <f>IF(U18&lt;=Condition!$E$16,0,IF(U18&lt;=Condition!$F$16,Condition!$D$16,IF(U18&lt;=Condition!$F$17,Condition!$D$17,IF(U18&lt;=Condition!$F$18,Condition!$D$18,IF(U18&gt;Condition!$E$19,Condition!$D$19,"")))))</f>
        <v>0</v>
      </c>
      <c r="V61" s="85">
        <f>IF(V18&lt;=Condition!$E$16,0,IF(V18&lt;=Condition!$F$16,Condition!$D$16,IF(V18&lt;=Condition!$F$17,Condition!$D$17,IF(V18&lt;=Condition!$F$18,Condition!$D$18,IF(V18&gt;Condition!$E$19,Condition!$D$19,"")))))</f>
        <v>150</v>
      </c>
      <c r="W61" s="85">
        <f>IF(W18&lt;=Condition!$E$16,0,IF(W18&lt;=Condition!$F$16,Condition!$D$16,IF(W18&lt;=Condition!$F$17,Condition!$D$17,IF(W18&lt;=Condition!$F$18,Condition!$D$18,IF(W18&gt;Condition!$E$19,Condition!$D$19,"")))))</f>
        <v>0</v>
      </c>
      <c r="X61" s="85">
        <f>IF(X18&lt;=Condition!$E$16,0,IF(X18&lt;=Condition!$F$16,Condition!$D$16,IF(X18&lt;=Condition!$F$17,Condition!$D$17,IF(X18&lt;=Condition!$F$18,Condition!$D$18,IF(X18&gt;Condition!$E$19,Condition!$D$19,"")))))</f>
        <v>150</v>
      </c>
      <c r="Y61" s="85">
        <f>IF(Y18&lt;=Condition!$E$16,0,IF(Y18&lt;=Condition!$F$16,Condition!$D$16,IF(Y18&lt;=Condition!$F$17,Condition!$D$17,IF(Y18&lt;=Condition!$F$18,Condition!$D$18,IF(Y18&gt;Condition!$E$19,Condition!$D$19,"")))))</f>
        <v>0</v>
      </c>
      <c r="Z61" s="85">
        <f>IF(Z18&lt;=Condition!$E$16,0,IF(Z18&lt;=Condition!$F$16,Condition!$D$16,IF(Z18&lt;=Condition!$F$17,Condition!$D$17,IF(Z18&lt;=Condition!$F$18,Condition!$D$18,IF(Z18&gt;Condition!$E$19,Condition!$D$19,"")))))</f>
        <v>150</v>
      </c>
      <c r="AA61" s="85">
        <f>IF(AA18&lt;=Condition!$E$16,0,IF(AA18&lt;=Condition!$F$16,Condition!$D$16,IF(AA18&lt;=Condition!$F$17,Condition!$D$17,IF(AA18&lt;=Condition!$F$18,Condition!$D$18,IF(AA18&gt;Condition!$E$19,Condition!$D$19,"")))))</f>
        <v>0</v>
      </c>
      <c r="AB61" s="85">
        <f>IF(AB18&lt;=Condition!$E$16,0,IF(AB18&lt;=Condition!$F$16,Condition!$D$16,IF(AB18&lt;=Condition!$F$17,Condition!$D$17,IF(AB18&lt;=Condition!$F$18,Condition!$D$18,IF(AB18&gt;Condition!$E$19,Condition!$D$19,"")))))</f>
        <v>300</v>
      </c>
      <c r="AC61" s="85">
        <f>IF(AC18&lt;=Condition!$E$16,0,IF(AC18&lt;=Condition!$F$16,Condition!$D$16,IF(AC18&lt;=Condition!$F$17,Condition!$D$17,IF(AC18&lt;=Condition!$F$18,Condition!$D$18,IF(AC18&gt;Condition!$E$19,Condition!$D$19,"")))))</f>
        <v>0</v>
      </c>
      <c r="AD61" s="85">
        <f>IF(AD18&lt;=Condition!$E$16,0,IF(AD18&lt;=Condition!$F$16,Condition!$D$16,IF(AD18&lt;=Condition!$F$17,Condition!$D$17,IF(AD18&lt;=Condition!$F$18,Condition!$D$18,IF(AD18&gt;Condition!$E$19,Condition!$D$19,"")))))</f>
        <v>300</v>
      </c>
      <c r="AE61" s="85">
        <f>IF(AE18&lt;=Condition!$E$16,0,IF(AE18&lt;=Condition!$F$16,Condition!$D$16,IF(AE18&lt;=Condition!$F$17,Condition!$D$17,IF(AE18&lt;=Condition!$F$18,Condition!$D$18,IF(AE18&gt;Condition!$E$19,Condition!$D$19,"")))))</f>
        <v>0</v>
      </c>
      <c r="AF61" s="85">
        <f>IF(AF18&lt;=Condition!$E$16,0,IF(AF18&lt;=Condition!$F$16,Condition!$D$16,IF(AF18&lt;=Condition!$F$17,Condition!$D$17,IF(AF18&lt;=Condition!$F$18,Condition!$D$18,IF(AF18&gt;Condition!$E$19,Condition!$D$19,"")))))</f>
        <v>500</v>
      </c>
      <c r="AG61" s="85">
        <f>IF(AG18&lt;=Condition!$E$16,0,IF(AG18&lt;=Condition!$F$16,Condition!$D$16,IF(AG18&lt;=Condition!$F$17,Condition!$D$17,IF(AG18&lt;=Condition!$F$18,Condition!$D$18,IF(AG18&gt;Condition!$E$19,Condition!$D$19,"")))))</f>
        <v>0</v>
      </c>
      <c r="AH61" s="85">
        <f>IF(AH18&lt;=Condition!$E$16,0,IF(AH18&lt;=Condition!$F$16,Condition!$D$16,IF(AH18&lt;=Condition!$F$17,Condition!$D$17,IF(AH18&lt;=Condition!$F$18,Condition!$D$18,IF(AH18&gt;Condition!$E$19,Condition!$D$19,"")))))</f>
        <v>500</v>
      </c>
      <c r="AI61" s="85">
        <f>IF(AI18&lt;=Condition!$E$16,0,IF(AI18&lt;=Condition!$F$16,Condition!$D$16,IF(AI18&lt;=Condition!$F$17,Condition!$D$17,IF(AI18&lt;=Condition!$F$18,Condition!$D$18,IF(AI18&gt;Condition!$E$19,Condition!$D$19,"")))))</f>
        <v>0</v>
      </c>
      <c r="AJ61" s="85">
        <f>IF(AJ18&lt;=Condition!$E$16,0,IF(AJ18&lt;=Condition!$F$16,Condition!$D$16,IF(AJ18&lt;=Condition!$F$17,Condition!$D$17,IF(AJ18&lt;=Condition!$F$18,Condition!$D$18,IF(AJ18&gt;Condition!$E$19,Condition!$D$19,"")))))</f>
        <v>400</v>
      </c>
      <c r="AK61" s="85">
        <f>IF(AK18&lt;=Condition!$E$16,0,IF(AK18&lt;=Condition!$F$16,Condition!$D$16,IF(AK18&lt;=Condition!$F$17,Condition!$D$17,IF(AK18&lt;=Condition!$F$18,Condition!$D$18,IF(AK18&gt;Condition!$E$19,Condition!$D$19,"")))))</f>
        <v>0</v>
      </c>
      <c r="AL61" s="85">
        <f>IF(AL18&lt;=Condition!$E$16,0,IF(AL18&lt;=Condition!$F$16,Condition!$D$16,IF(AL18&lt;=Condition!$F$17,Condition!$D$17,IF(AL18&lt;=Condition!$F$18,Condition!$D$18,IF(AL18&gt;Condition!$E$19,Condition!$D$19,"")))))</f>
        <v>150</v>
      </c>
      <c r="AM61" s="85">
        <f>IF(AM18&lt;=Condition!$E$16,0,IF(AM18&lt;=Condition!$F$16,Condition!$D$16,IF(AM18&lt;=Condition!$F$17,Condition!$D$17,IF(AM18&lt;=Condition!$F$18,Condition!$D$18,IF(AM18&gt;Condition!$E$19,Condition!$D$19,"")))))</f>
        <v>0</v>
      </c>
      <c r="AN61" s="85">
        <f>IF(AN18&lt;=Condition!$E$16,0,IF(AN18&lt;=Condition!$F$16,Condition!$D$16,IF(AN18&lt;=Condition!$F$17,Condition!$D$17,IF(AN18&lt;=Condition!$F$18,Condition!$D$18,IF(AN18&gt;Condition!$E$19,Condition!$D$19,"")))))</f>
        <v>150</v>
      </c>
      <c r="AO61" s="85">
        <f>IF(AO18&lt;=Condition!$E$16,0,IF(AO18&lt;=Condition!$F$16,Condition!$D$16,IF(AO18&lt;=Condition!$F$17,Condition!$D$17,IF(AO18&lt;=Condition!$F$18,Condition!$D$18,IF(AO18&gt;Condition!$E$19,Condition!$D$19,"")))))</f>
        <v>0</v>
      </c>
      <c r="AP61" s="85">
        <f>IF(AP18&lt;=Condition!$E$16,0,IF(AP18&lt;=Condition!$F$16,Condition!$D$16,IF(AP18&lt;=Condition!$F$17,Condition!$D$17,IF(AP18&lt;=Condition!$F$18,Condition!$D$18,IF(AP18&gt;Condition!$E$19,Condition!$D$19,"")))))</f>
        <v>150</v>
      </c>
      <c r="AQ61" s="85">
        <f>IF(AQ18&lt;=Condition!$E$16,0,IF(AQ18&lt;=Condition!$F$16,Condition!$D$16,IF(AQ18&lt;=Condition!$F$17,Condition!$D$17,IF(AQ18&lt;=Condition!$F$18,Condition!$D$18,IF(AQ18&gt;Condition!$E$19,Condition!$D$19,"")))))</f>
        <v>0</v>
      </c>
      <c r="AR61" s="85">
        <f>IF(AR18&lt;=Condition!$E$16,0,IF(AR18&lt;=Condition!$F$16,Condition!$D$16,IF(AR18&lt;=Condition!$F$17,Condition!$D$17,IF(AR18&lt;=Condition!$F$18,Condition!$D$18,IF(AR18&gt;Condition!$E$19,Condition!$D$19,"")))))</f>
        <v>150</v>
      </c>
      <c r="AS61" s="85">
        <f>IF(AS18&lt;=Condition!$E$16,0,IF(AS18&lt;=Condition!$F$16,Condition!$D$16,IF(AS18&lt;=Condition!$F$17,Condition!$D$17,IF(AS18&lt;=Condition!$F$18,Condition!$D$18,IF(AS18&gt;Condition!$E$19,Condition!$D$19,"")))))</f>
        <v>0</v>
      </c>
      <c r="AT61" s="85">
        <f>IF(AT18&lt;=Condition!$E$16,0,IF(AT18&lt;=Condition!$F$16,Condition!$D$16,IF(AT18&lt;=Condition!$F$17,Condition!$D$17,IF(AT18&lt;=Condition!$F$18,Condition!$D$18,IF(AT18&gt;Condition!$E$19,Condition!$D$19,"")))))</f>
        <v>300</v>
      </c>
      <c r="AU61" s="85">
        <f>IF(AU18&lt;=Condition!$E$16,0,IF(AU18&lt;=Condition!$F$16,Condition!$D$16,IF(AU18&lt;=Condition!$F$17,Condition!$D$17,IF(AU18&lt;=Condition!$F$18,Condition!$D$18,IF(AU18&gt;Condition!$E$19,Condition!$D$19,"")))))</f>
        <v>0</v>
      </c>
      <c r="AV61" s="85">
        <f>IF(AV18&lt;=Condition!$E$16,0,IF(AV18&lt;=Condition!$F$16,Condition!$D$16,IF(AV18&lt;=Condition!$F$17,Condition!$D$17,IF(AV18&lt;=Condition!$F$18,Condition!$D$18,IF(AV18&gt;Condition!$E$19,Condition!$D$19,"")))))</f>
        <v>300</v>
      </c>
      <c r="AW61" s="85">
        <f>IF(AW18&lt;=Condition!$E$16,0,IF(AW18&lt;=Condition!$F$16,Condition!$D$16,IF(AW18&lt;=Condition!$F$17,Condition!$D$17,IF(AW18&lt;=Condition!$F$18,Condition!$D$18,IF(AW18&gt;Condition!$E$19,Condition!$D$19,"")))))</f>
        <v>0</v>
      </c>
      <c r="AX61" s="85">
        <f>IF(AX18&lt;=Condition!$E$16,0,IF(AX18&lt;=Condition!$F$16,Condition!$D$16,IF(AX18&lt;=Condition!$F$17,Condition!$D$17,IF(AX18&lt;=Condition!$F$18,Condition!$D$18,IF(AX18&gt;Condition!$E$19,Condition!$D$19,"")))))</f>
        <v>300</v>
      </c>
      <c r="AY61" s="85">
        <f>IF(AY18&lt;=Condition!$E$16,0,IF(AY18&lt;=Condition!$F$16,Condition!$D$16,IF(AY18&lt;=Condition!$F$17,Condition!$D$17,IF(AY18&lt;=Condition!$F$18,Condition!$D$18,IF(AY18&gt;Condition!$E$19,Condition!$D$19,"")))))</f>
        <v>0</v>
      </c>
      <c r="AZ61" s="85">
        <f>IF(AZ18&lt;=Condition!$E$16,0,IF(AZ18&lt;=Condition!$F$16,Condition!$D$16,IF(AZ18&lt;=Condition!$F$17,Condition!$D$17,IF(AZ18&lt;=Condition!$F$18,Condition!$D$18,IF(AZ18&gt;Condition!$E$19,Condition!$D$19,"")))))</f>
        <v>300</v>
      </c>
      <c r="BA61" s="85">
        <f>IF(BA18&lt;=Condition!$E$16,0,IF(BA18&lt;=Condition!$F$16,Condition!$D$16,IF(BA18&lt;=Condition!$F$17,Condition!$D$17,IF(BA18&lt;=Condition!$F$18,Condition!$D$18,IF(BA18&gt;Condition!$E$19,Condition!$D$19,"")))))</f>
        <v>0</v>
      </c>
      <c r="BB61" s="85">
        <f>IF(BB18&lt;=Condition!$E$16,0,IF(BB18&lt;=Condition!$F$16,Condition!$D$16,IF(BB18&lt;=Condition!$F$17,Condition!$D$17,IF(BB18&lt;=Condition!$F$18,Condition!$D$18,IF(BB18&gt;Condition!$E$19,Condition!$D$19,"")))))</f>
        <v>400</v>
      </c>
      <c r="BC61" s="85">
        <f>IF(BC18&lt;=Condition!$E$16,0,IF(BC18&lt;=Condition!$F$16,Condition!$D$16,IF(BC18&lt;=Condition!$F$17,Condition!$D$17,IF(BC18&lt;=Condition!$F$18,Condition!$D$18,IF(BC18&gt;Condition!$E$19,Condition!$D$19,"")))))</f>
        <v>0</v>
      </c>
      <c r="BD61" s="85">
        <f>IF(BD18&lt;=Condition!$E$16,0,IF(BD18&lt;=Condition!$F$16,Condition!$D$16,IF(BD18&lt;=Condition!$F$17,Condition!$D$17,IF(BD18&lt;=Condition!$F$18,Condition!$D$18,IF(BD18&gt;Condition!$E$19,Condition!$D$19,"")))))</f>
        <v>300</v>
      </c>
      <c r="BE61" s="85">
        <f>IF(BE18&lt;=Condition!$E$16,0,IF(BE18&lt;=Condition!$F$16,Condition!$D$16,IF(BE18&lt;=Condition!$F$17,Condition!$D$17,IF(BE18&lt;=Condition!$F$18,Condition!$D$18,IF(BE18&gt;Condition!$E$19,Condition!$D$19,"")))))</f>
        <v>0</v>
      </c>
      <c r="BF61" s="85">
        <f>IF(BF18&lt;=Condition!$E$16,0,IF(BF18&lt;=Condition!$F$16,Condition!$D$16,IF(BF18&lt;=Condition!$F$17,Condition!$D$17,IF(BF18&lt;=Condition!$F$18,Condition!$D$18,IF(BF18&gt;Condition!$E$19,Condition!$D$19,"")))))</f>
        <v>300</v>
      </c>
      <c r="BG61" s="85">
        <f>IF(BG18&lt;=Condition!$E$16,0,IF(BG18&lt;=Condition!$F$16,Condition!$D$16,IF(BG18&lt;=Condition!$F$17,Condition!$D$17,IF(BG18&lt;=Condition!$F$18,Condition!$D$18,IF(BG18&gt;Condition!$E$19,Condition!$D$19,"")))))</f>
        <v>0</v>
      </c>
      <c r="BH61" s="85">
        <f>IF(BH18&lt;=Condition!$E$16,0,IF(BH18&lt;=Condition!$F$16,Condition!$D$16,IF(BH18&lt;=Condition!$F$17,Condition!$D$17,IF(BH18&lt;=Condition!$F$18,Condition!$D$18,IF(BH18&gt;Condition!$E$19,Condition!$D$19,"")))))</f>
        <v>300</v>
      </c>
      <c r="BI61" s="85">
        <f>IF(BI18&lt;=Condition!$E$16,0,IF(BI18&lt;=Condition!$F$16,Condition!$D$16,IF(BI18&lt;=Condition!$F$17,Condition!$D$17,IF(BI18&lt;=Condition!$F$18,Condition!$D$18,IF(BI18&gt;Condition!$E$19,Condition!$D$19,"")))))</f>
        <v>150</v>
      </c>
      <c r="BJ61" s="85">
        <f>IF(BJ18&lt;=Condition!$E$16,0,IF(BJ18&lt;=Condition!$F$16,Condition!$D$16,IF(BJ18&lt;=Condition!$F$17,Condition!$D$17,IF(BJ18&lt;=Condition!$F$18,Condition!$D$18,IF(BJ18&gt;Condition!$E$19,Condition!$D$19,"")))))</f>
        <v>0</v>
      </c>
      <c r="BK61" s="85">
        <f>IF(BK18&lt;=Condition!$E$16,0,IF(BK18&lt;=Condition!$F$16,Condition!$D$16,IF(BK18&lt;=Condition!$F$17,Condition!$D$17,IF(BK18&lt;=Condition!$F$18,Condition!$D$18,IF(BK18&gt;Condition!$E$19,Condition!$D$19,"")))))</f>
        <v>400</v>
      </c>
      <c r="BL61" s="85">
        <f>IF(BL18&lt;=Condition!$E$16,0,IF(BL18&lt;=Condition!$F$16,Condition!$D$16,IF(BL18&lt;=Condition!$F$17,Condition!$D$17,IF(BL18&lt;=Condition!$F$18,Condition!$D$18,IF(BL18&gt;Condition!$E$19,Condition!$D$19,"")))))</f>
        <v>0</v>
      </c>
      <c r="BM61" s="85">
        <f>IF(BM18&lt;=Condition!$E$16,0,IF(BM18&lt;=Condition!$F$16,Condition!$D$16,IF(BM18&lt;=Condition!$F$17,Condition!$D$17,IF(BM18&lt;=Condition!$F$18,Condition!$D$18,IF(BM18&gt;Condition!$E$19,Condition!$D$19,"")))))</f>
        <v>150</v>
      </c>
      <c r="BN61" s="85">
        <f>IF(BN18&lt;=Condition!$E$16,0,IF(BN18&lt;=Condition!$F$16,Condition!$D$16,IF(BN18&lt;=Condition!$F$17,Condition!$D$17,IF(BN18&lt;=Condition!$F$18,Condition!$D$18,IF(BN18&gt;Condition!$E$19,Condition!$D$19,"")))))</f>
        <v>0</v>
      </c>
      <c r="BO61" s="85">
        <f>IF(BO18&lt;=Condition!$E$16,0,IF(BO18&lt;=Condition!$F$16,Condition!$D$16,IF(BO18&lt;=Condition!$F$17,Condition!$D$17,IF(BO18&lt;=Condition!$F$18,Condition!$D$18,IF(BO18&gt;Condition!$E$19,Condition!$D$19,"")))))</f>
        <v>0</v>
      </c>
      <c r="BP61" s="85">
        <f>IF(BP18&lt;=Condition!$E$16,0,IF(BP18&lt;=Condition!$F$16,Condition!$D$16,IF(BP18&lt;=Condition!$F$17,Condition!$D$17,IF(BP18&lt;=Condition!$F$18,Condition!$D$18,IF(BP18&gt;Condition!$E$19,Condition!$D$19,"")))))</f>
        <v>0</v>
      </c>
      <c r="BQ61" s="85">
        <f>IF(BQ18&lt;=Condition!$E$16,0,IF(BQ18&lt;=Condition!$F$16,Condition!$D$16,IF(BQ18&lt;=Condition!$F$17,Condition!$D$17,IF(BQ18&lt;=Condition!$F$18,Condition!$D$18,IF(BQ18&gt;Condition!$E$19,Condition!$D$19,"")))))</f>
        <v>0</v>
      </c>
      <c r="BR61" s="85">
        <f>IF(BR18&lt;=Condition!$E$16,0,IF(BR18&lt;=Condition!$F$16,Condition!$D$16,IF(BR18&lt;=Condition!$F$17,Condition!$D$17,IF(BR18&lt;=Condition!$F$18,Condition!$D$18,IF(BR18&gt;Condition!$E$19,Condition!$D$19,"")))))</f>
        <v>0</v>
      </c>
      <c r="BS61" s="85">
        <f>IF(BS18&lt;=Condition!$E$16,0,IF(BS18&lt;=Condition!$F$16,Condition!$D$16,IF(BS18&lt;=Condition!$F$17,Condition!$D$17,IF(BS18&lt;=Condition!$F$18,Condition!$D$18,IF(BS18&gt;Condition!$E$19,Condition!$D$19,"")))))</f>
        <v>0</v>
      </c>
      <c r="BT61" s="85">
        <f>IF(BT18&lt;=Condition!$E$16,0,IF(BT18&lt;=Condition!$F$16,Condition!$D$16,IF(BT18&lt;=Condition!$F$17,Condition!$D$17,IF(BT18&lt;=Condition!$F$18,Condition!$D$18,IF(BT18&gt;Condition!$E$19,Condition!$D$19,"")))))</f>
        <v>0</v>
      </c>
      <c r="BU61" s="85">
        <f>IF(BU18&lt;=Condition!$E$16,0,IF(BU18&lt;=Condition!$F$16,Condition!$D$16,IF(BU18&lt;=Condition!$F$17,Condition!$D$17,IF(BU18&lt;=Condition!$F$18,Condition!$D$18,IF(BU18&gt;Condition!$E$19,Condition!$D$19,"")))))</f>
        <v>0</v>
      </c>
      <c r="BV61" s="85">
        <f>IF(BV18&lt;=Condition!$E$16,0,IF(BV18&lt;=Condition!$F$16,Condition!$D$16,IF(BV18&lt;=Condition!$F$17,Condition!$D$17,IF(BV18&lt;=Condition!$F$18,Condition!$D$18,IF(BV18&gt;Condition!$E$19,Condition!$D$19,"")))))</f>
        <v>0</v>
      </c>
      <c r="BW61" s="85">
        <f>IF(BW18&lt;=Condition!$E$16,0,IF(BW18&lt;=Condition!$F$16,Condition!$D$16,IF(BW18&lt;=Condition!$F$17,Condition!$D$17,IF(BW18&lt;=Condition!$F$18,Condition!$D$18,IF(BW18&gt;Condition!$E$19,Condition!$D$19,"")))))</f>
        <v>0</v>
      </c>
      <c r="BX61" s="85">
        <f>IF(BX18&lt;=Condition!$E$16,0,IF(BX18&lt;=Condition!$F$16,Condition!$D$16,IF(BX18&lt;=Condition!$F$17,Condition!$D$17,IF(BX18&lt;=Condition!$F$18,Condition!$D$18,IF(BX18&gt;Condition!$E$19,Condition!$D$19,"")))))</f>
        <v>0</v>
      </c>
      <c r="BY61" s="85">
        <f>IF(BY18&lt;=Condition!$E$16,0,IF(BY18&lt;=Condition!$F$16,Condition!$D$16,IF(BY18&lt;=Condition!$F$17,Condition!$D$17,IF(BY18&lt;=Condition!$F$18,Condition!$D$18,IF(BY18&gt;Condition!$E$19,Condition!$D$19,"")))))</f>
        <v>0</v>
      </c>
      <c r="BZ61" s="85">
        <f>IF(BZ18&lt;=Condition!$E$16,0,IF(BZ18&lt;=Condition!$F$16,Condition!$D$16,IF(BZ18&lt;=Condition!$F$17,Condition!$D$17,IF(BZ18&lt;=Condition!$F$18,Condition!$D$18,IF(BZ18&gt;Condition!$E$19,Condition!$D$19,"")))))</f>
        <v>0</v>
      </c>
      <c r="CA61" s="85">
        <f>IF(CA18&lt;=Condition!$E$16,0,IF(CA18&lt;=Condition!$F$16,Condition!$D$16,IF(CA18&lt;=Condition!$F$17,Condition!$D$17,IF(CA18&lt;=Condition!$F$18,Condition!$D$18,IF(CA18&gt;Condition!$E$19,Condition!$D$19,"")))))</f>
        <v>0</v>
      </c>
      <c r="CB61" s="85">
        <f>IF(CB18&lt;=Condition!$E$16,0,IF(CB18&lt;=Condition!$F$16,Condition!$D$16,IF(CB18&lt;=Condition!$F$17,Condition!$D$17,IF(CB18&lt;=Condition!$F$18,Condition!$D$18,IF(CB18&gt;Condition!$E$19,Condition!$D$19,"")))))</f>
        <v>0</v>
      </c>
      <c r="CC61" s="85">
        <f>IF(CC18&lt;=Condition!$E$16,0,IF(CC18&lt;=Condition!$F$16,Condition!$D$16,IF(CC18&lt;=Condition!$F$17,Condition!$D$17,IF(CC18&lt;=Condition!$F$18,Condition!$D$18,IF(CC18&gt;Condition!$E$19,Condition!$D$19,"")))))</f>
        <v>0</v>
      </c>
      <c r="CD61" s="85">
        <f>IF(CD18&lt;=Condition!$E$16,0,IF(CD18&lt;=Condition!$F$16,Condition!$D$16,IF(CD18&lt;=Condition!$F$17,Condition!$D$17,IF(CD18&lt;=Condition!$F$18,Condition!$D$18,IF(CD18&gt;Condition!$E$19,Condition!$D$19,"")))))</f>
        <v>0</v>
      </c>
      <c r="CE61" s="85">
        <f>IF(CE18&lt;=Condition!$E$16,0,IF(CE18&lt;=Condition!$F$16,Condition!$D$16,IF(CE18&lt;=Condition!$F$17,Condition!$D$17,IF(CE18&lt;=Condition!$F$18,Condition!$D$18,IF(CE18&gt;Condition!$E$19,Condition!$D$19,"")))))</f>
        <v>0</v>
      </c>
      <c r="CF61" s="85">
        <f>IF(CF18&lt;=Condition!$E$16,0,IF(CF18&lt;=Condition!$F$16,Condition!$D$16,IF(CF18&lt;=Condition!$F$17,Condition!$D$17,IF(CF18&lt;=Condition!$F$18,Condition!$D$18,IF(CF18&gt;Condition!$E$19,Condition!$D$19,"")))))</f>
        <v>0</v>
      </c>
      <c r="CG61" s="85">
        <f>IF(CG18&lt;=Condition!$E$16,0,IF(CG18&lt;=Condition!$F$16,Condition!$D$16,IF(CG18&lt;=Condition!$F$17,Condition!$D$17,IF(CG18&lt;=Condition!$F$18,Condition!$D$18,IF(CG18&gt;Condition!$E$19,Condition!$D$19,"")))))</f>
        <v>0</v>
      </c>
      <c r="CH61" s="85">
        <f>IF(CH18&lt;=Condition!$E$16,0,IF(CH18&lt;=Condition!$F$16,Condition!$D$16,IF(CH18&lt;=Condition!$F$17,Condition!$D$17,IF(CH18&lt;=Condition!$F$18,Condition!$D$18,IF(CH18&gt;Condition!$E$19,Condition!$D$19,"")))))</f>
        <v>0</v>
      </c>
      <c r="CI61" s="85">
        <f>IF(CI18&lt;=Condition!$E$16,0,IF(CI18&lt;=Condition!$F$16,Condition!$D$16,IF(CI18&lt;=Condition!$F$17,Condition!$D$17,IF(CI18&lt;=Condition!$F$18,Condition!$D$18,IF(CI18&gt;Condition!$E$19,Condition!$D$19,"")))))</f>
        <v>0</v>
      </c>
      <c r="CJ61" s="85">
        <f>IF(CJ18&lt;=Condition!$E$16,0,IF(CJ18&lt;=Condition!$F$16,Condition!$D$16,IF(CJ18&lt;=Condition!$F$17,Condition!$D$17,IF(CJ18&lt;=Condition!$F$18,Condition!$D$18,IF(CJ18&gt;Condition!$E$19,Condition!$D$19,"")))))</f>
        <v>0</v>
      </c>
      <c r="CK61" s="85">
        <f>IF(CK18&lt;=Condition!$E$16,0,IF(CK18&lt;=Condition!$F$16,Condition!$D$16,IF(CK18&lt;=Condition!$F$17,Condition!$D$17,IF(CK18&lt;=Condition!$F$18,Condition!$D$18,IF(CK18&gt;Condition!$E$19,Condition!$D$19,"")))))</f>
        <v>0</v>
      </c>
      <c r="CL61" s="85">
        <f>IF(CL18&lt;=Condition!$E$16,0,IF(CL18&lt;=Condition!$F$16,Condition!$D$16,IF(CL18&lt;=Condition!$F$17,Condition!$D$17,IF(CL18&lt;=Condition!$F$18,Condition!$D$18,IF(CL18&gt;Condition!$E$19,Condition!$D$19,"")))))</f>
        <v>0</v>
      </c>
      <c r="CM61" s="85">
        <f>IF(CM18&lt;=Condition!$E$16,0,IF(CM18&lt;=Condition!$F$16,Condition!$D$16,IF(CM18&lt;=Condition!$F$17,Condition!$D$17,IF(CM18&lt;=Condition!$F$18,Condition!$D$18,IF(CM18&gt;Condition!$E$19,Condition!$D$19,"")))))</f>
        <v>0</v>
      </c>
      <c r="CN61" s="85">
        <f>IF(CN18&lt;=Condition!$E$16,0,IF(CN18&lt;=Condition!$F$16,Condition!$D$16,IF(CN18&lt;=Condition!$F$17,Condition!$D$17,IF(CN18&lt;=Condition!$F$18,Condition!$D$18,IF(CN18&gt;Condition!$E$19,Condition!$D$19,"")))))</f>
        <v>0</v>
      </c>
      <c r="CO61" s="85">
        <f>IF(CO18&lt;=Condition!$E$16,0,IF(CO18&lt;=Condition!$F$16,Condition!$D$16,IF(CO18&lt;=Condition!$F$17,Condition!$D$17,IF(CO18&lt;=Condition!$F$18,Condition!$D$18,IF(CO18&gt;Condition!$E$19,Condition!$D$19,"")))))</f>
        <v>0</v>
      </c>
      <c r="CP61" s="85">
        <f>IF(CP18&lt;=Condition!$E$16,0,IF(CP18&lt;=Condition!$F$16,Condition!$D$16,IF(CP18&lt;=Condition!$F$17,Condition!$D$17,IF(CP18&lt;=Condition!$F$18,Condition!$D$18,IF(CP18&gt;Condition!$E$19,Condition!$D$19,"")))))</f>
        <v>0</v>
      </c>
      <c r="CQ61" s="85">
        <f>IF(CQ18&lt;=Condition!$E$16,0,IF(CQ18&lt;=Condition!$F$16,Condition!$D$16,IF(CQ18&lt;=Condition!$F$17,Condition!$D$17,IF(CQ18&lt;=Condition!$F$18,Condition!$D$18,IF(CQ18&gt;Condition!$E$19,Condition!$D$19,"")))))</f>
        <v>0</v>
      </c>
      <c r="CR61" s="85">
        <f>IF(CR18&lt;=Condition!$E$16,0,IF(CR18&lt;=Condition!$F$16,Condition!$D$16,IF(CR18&lt;=Condition!$F$17,Condition!$D$17,IF(CR18&lt;=Condition!$F$18,Condition!$D$18,IF(CR18&gt;Condition!$E$19,Condition!$D$19,"")))))</f>
        <v>0</v>
      </c>
      <c r="CS61" s="85">
        <f>IF(CS18&lt;=Condition!$E$16,0,IF(CS18&lt;=Condition!$F$16,Condition!$D$16,IF(CS18&lt;=Condition!$F$17,Condition!$D$17,IF(CS18&lt;=Condition!$F$18,Condition!$D$18,IF(CS18&gt;Condition!$E$19,Condition!$D$19,"")))))</f>
        <v>0</v>
      </c>
      <c r="CT61" s="85">
        <f>IF(CT18&lt;=Condition!$E$16,0,IF(CT18&lt;=Condition!$F$16,Condition!$D$16,IF(CT18&lt;=Condition!$F$17,Condition!$D$17,IF(CT18&lt;=Condition!$F$18,Condition!$D$18,IF(CT18&gt;Condition!$E$19,Condition!$D$19,"")))))</f>
        <v>0</v>
      </c>
      <c r="CU61" s="85">
        <f>IF(CU18&lt;=Condition!$E$16,0,IF(CU18&lt;=Condition!$F$16,Condition!$D$16,IF(CU18&lt;=Condition!$F$17,Condition!$D$17,IF(CU18&lt;=Condition!$F$18,Condition!$D$18,IF(CU18&gt;Condition!$E$19,Condition!$D$19,"")))))</f>
        <v>0</v>
      </c>
      <c r="CV61" s="85">
        <f>IF(CV18&lt;=Condition!$E$16,0,IF(CV18&lt;=Condition!$F$16,Condition!$D$16,IF(CV18&lt;=Condition!$F$17,Condition!$D$17,IF(CV18&lt;=Condition!$F$18,Condition!$D$18,IF(CV18&gt;Condition!$E$19,Condition!$D$19,"")))))</f>
        <v>0</v>
      </c>
      <c r="CW61" s="85">
        <f>IF(CW18&lt;=Condition!$E$16,0,IF(CW18&lt;=Condition!$F$16,Condition!$D$16,IF(CW18&lt;=Condition!$F$17,Condition!$D$17,IF(CW18&lt;=Condition!$F$18,Condition!$D$18,IF(CW18&gt;Condition!$E$19,Condition!$D$19,"")))))</f>
        <v>0</v>
      </c>
      <c r="CX61" s="85">
        <f>IF(CX18&lt;=Condition!$E$16,0,IF(CX18&lt;=Condition!$F$16,Condition!$D$16,IF(CX18&lt;=Condition!$F$17,Condition!$D$17,IF(CX18&lt;=Condition!$F$18,Condition!$D$18,IF(CX18&gt;Condition!$E$19,Condition!$D$19,"")))))</f>
        <v>0</v>
      </c>
      <c r="CY61" s="85">
        <f>IF(CY18&lt;=Condition!$E$16,0,IF(CY18&lt;=Condition!$F$16,Condition!$D$16,IF(CY18&lt;=Condition!$F$17,Condition!$D$17,IF(CY18&lt;=Condition!$F$18,Condition!$D$18,IF(CY18&gt;Condition!$E$19,Condition!$D$19,"")))))</f>
        <v>0</v>
      </c>
      <c r="CZ61" s="85">
        <f>IF(CZ18&lt;=Condition!$E$16,0,IF(CZ18&lt;=Condition!$F$16,Condition!$D$16,IF(CZ18&lt;=Condition!$F$17,Condition!$D$17,IF(CZ18&lt;=Condition!$F$18,Condition!$D$18,IF(CZ18&gt;Condition!$E$19,Condition!$D$19,"")))))</f>
        <v>0</v>
      </c>
      <c r="DA61" s="85">
        <f>IF(DA18&lt;=Condition!$E$16,0,IF(DA18&lt;=Condition!$F$16,Condition!$D$16,IF(DA18&lt;=Condition!$F$17,Condition!$D$17,IF(DA18&lt;=Condition!$F$18,Condition!$D$18,IF(DA18&gt;Condition!$E$19,Condition!$D$19,"")))))</f>
        <v>0</v>
      </c>
      <c r="DB61" s="85">
        <f>IF(DB18&lt;=Condition!$E$16,0,IF(DB18&lt;=Condition!$F$16,Condition!$D$16,IF(DB18&lt;=Condition!$F$17,Condition!$D$17,IF(DB18&lt;=Condition!$F$18,Condition!$D$18,IF(DB18&gt;Condition!$E$19,Condition!$D$19,"")))))</f>
        <v>0</v>
      </c>
      <c r="DC61" s="85">
        <f>IF(DC18&lt;=Condition!$E$16,0,IF(DC18&lt;=Condition!$F$16,Condition!$D$16,IF(DC18&lt;=Condition!$F$17,Condition!$D$17,IF(DC18&lt;=Condition!$F$18,Condition!$D$18,IF(DC18&gt;Condition!$E$19,Condition!$D$19,"")))))</f>
        <v>0</v>
      </c>
      <c r="DD61" s="85">
        <f>IF(DD18&lt;=Condition!$E$16,0,IF(DD18&lt;=Condition!$F$16,Condition!$D$16,IF(DD18&lt;=Condition!$F$17,Condition!$D$17,IF(DD18&lt;=Condition!$F$18,Condition!$D$18,IF(DD18&gt;Condition!$E$19,Condition!$D$19,"")))))</f>
        <v>0</v>
      </c>
      <c r="DE61" s="85">
        <f>IF(DE18&lt;=Condition!$E$16,0,IF(DE18&lt;=Condition!$F$16,Condition!$D$16,IF(DE18&lt;=Condition!$F$17,Condition!$D$17,IF(DE18&lt;=Condition!$F$18,Condition!$D$18,IF(DE18&gt;Condition!$E$19,Condition!$D$19,"")))))</f>
        <v>0</v>
      </c>
      <c r="DF61" s="85">
        <f>IF(DF18&lt;=Condition!$E$16,0,IF(DF18&lt;=Condition!$F$16,Condition!$D$16,IF(DF18&lt;=Condition!$F$17,Condition!$D$17,IF(DF18&lt;=Condition!$F$18,Condition!$D$18,IF(DF18&gt;Condition!$E$19,Condition!$D$19,"")))))</f>
        <v>0</v>
      </c>
      <c r="DG61" s="85">
        <f>IF(DG18&lt;=Condition!$E$16,0,IF(DG18&lt;=Condition!$F$16,Condition!$D$16,IF(DG18&lt;=Condition!$F$17,Condition!$D$17,IF(DG18&lt;=Condition!$F$18,Condition!$D$18,IF(DG18&gt;Condition!$E$19,Condition!$D$19,"")))))</f>
        <v>0</v>
      </c>
      <c r="DH61" s="85">
        <f>IF(DH18&lt;=Condition!$E$16,0,IF(DH18&lt;=Condition!$F$16,Condition!$D$16,IF(DH18&lt;=Condition!$F$17,Condition!$D$17,IF(DH18&lt;=Condition!$F$18,Condition!$D$18,IF(DH18&gt;Condition!$E$19,Condition!$D$19,"")))))</f>
        <v>0</v>
      </c>
      <c r="DI61" s="85">
        <f>IF(DI18&lt;=Condition!$E$16,0,IF(DI18&lt;=Condition!$F$16,Condition!$D$16,IF(DI18&lt;=Condition!$F$17,Condition!$D$17,IF(DI18&lt;=Condition!$F$18,Condition!$D$18,IF(DI18&gt;Condition!$E$19,Condition!$D$19,"")))))</f>
        <v>0</v>
      </c>
      <c r="DJ61" s="85">
        <f>IF(DJ18&lt;=Condition!$E$16,0,IF(DJ18&lt;=Condition!$F$16,Condition!$D$16,IF(DJ18&lt;=Condition!$F$17,Condition!$D$17,IF(DJ18&lt;=Condition!$F$18,Condition!$D$18,IF(DJ18&gt;Condition!$E$19,Condition!$D$19,"")))))</f>
        <v>0</v>
      </c>
      <c r="DK61" s="85">
        <f>IF(DK18&lt;=Condition!$E$16,0,IF(DK18&lt;=Condition!$F$16,Condition!$D$16,IF(DK18&lt;=Condition!$F$17,Condition!$D$17,IF(DK18&lt;=Condition!$F$18,Condition!$D$18,IF(DK18&gt;Condition!$E$19,Condition!$D$19,"")))))</f>
        <v>0</v>
      </c>
      <c r="DL61" s="85">
        <f>IF(DL18&lt;=Condition!$E$16,0,IF(DL18&lt;=Condition!$F$16,Condition!$D$16,IF(DL18&lt;=Condition!$F$17,Condition!$D$17,IF(DL18&lt;=Condition!$F$18,Condition!$D$18,IF(DL18&gt;Condition!$E$19,Condition!$D$19,"")))))</f>
        <v>0</v>
      </c>
      <c r="DM61" s="85">
        <f>IF(DM18&lt;=Condition!$E$16,0,IF(DM18&lt;=Condition!$F$16,Condition!$D$16,IF(DM18&lt;=Condition!$F$17,Condition!$D$17,IF(DM18&lt;=Condition!$F$18,Condition!$D$18,IF(DM18&gt;Condition!$E$19,Condition!$D$19,"")))))</f>
        <v>0</v>
      </c>
      <c r="DN61" s="85">
        <f>IF(DN18&lt;=Condition!$E$16,0,IF(DN18&lt;=Condition!$F$16,Condition!$D$16,IF(DN18&lt;=Condition!$F$17,Condition!$D$17,IF(DN18&lt;=Condition!$F$18,Condition!$D$18,IF(DN18&gt;Condition!$E$19,Condition!$D$19,"")))))</f>
        <v>0</v>
      </c>
      <c r="DO61" s="85">
        <f>IF(DO18&lt;=Condition!$E$16,0,IF(DO18&lt;=Condition!$F$16,Condition!$D$16,IF(DO18&lt;=Condition!$F$17,Condition!$D$17,IF(DO18&lt;=Condition!$F$18,Condition!$D$18,IF(DO18&gt;Condition!$E$19,Condition!$D$19,"")))))</f>
        <v>0</v>
      </c>
      <c r="DP61" s="85">
        <f>IF(DP18&lt;=Condition!$E$16,0,IF(DP18&lt;=Condition!$F$16,Condition!$D$16,IF(DP18&lt;=Condition!$F$17,Condition!$D$17,IF(DP18&lt;=Condition!$F$18,Condition!$D$18,IF(DP18&gt;Condition!$E$19,Condition!$D$19,"")))))</f>
        <v>0</v>
      </c>
      <c r="DQ61" s="85">
        <f>IF(DQ18&lt;=Condition!$E$16,0,IF(DQ18&lt;=Condition!$F$16,Condition!$D$16,IF(DQ18&lt;=Condition!$F$17,Condition!$D$17,IF(DQ18&lt;=Condition!$F$18,Condition!$D$18,IF(DQ18&gt;Condition!$E$19,Condition!$D$19,"")))))</f>
        <v>0</v>
      </c>
      <c r="DR61" s="85">
        <f>IF(DR18&lt;=Condition!$E$16,0,IF(DR18&lt;=Condition!$F$16,Condition!$D$16,IF(DR18&lt;=Condition!$F$17,Condition!$D$17,IF(DR18&lt;=Condition!$F$18,Condition!$D$18,IF(DR18&gt;Condition!$E$19,Condition!$D$19,"")))))</f>
        <v>0</v>
      </c>
      <c r="DS61" s="85">
        <f>IF(DS18&lt;=Condition!$E$16,0,IF(DS18&lt;=Condition!$F$16,Condition!$D$16,IF(DS18&lt;=Condition!$F$17,Condition!$D$17,IF(DS18&lt;=Condition!$F$18,Condition!$D$18,IF(DS18&gt;Condition!$E$19,Condition!$D$19,"")))))</f>
        <v>0</v>
      </c>
      <c r="DT61" s="85">
        <f>IF(DT18&lt;=Condition!$E$16,0,IF(DT18&lt;=Condition!$F$16,Condition!$D$16,IF(DT18&lt;=Condition!$F$17,Condition!$D$17,IF(DT18&lt;=Condition!$F$18,Condition!$D$18,IF(DT18&gt;Condition!$E$19,Condition!$D$19,"")))))</f>
        <v>0</v>
      </c>
      <c r="DU61" s="85">
        <f>IF(DU18&lt;=Condition!$E$16,0,IF(DU18&lt;=Condition!$F$16,Condition!$D$16,IF(DU18&lt;=Condition!$F$17,Condition!$D$17,IF(DU18&lt;=Condition!$F$18,Condition!$D$18,IF(DU18&gt;Condition!$E$19,Condition!$D$19,"")))))</f>
        <v>0</v>
      </c>
      <c r="DV61" s="85">
        <f>IF(DV18&lt;=Condition!$E$16,0,IF(DV18&lt;=Condition!$F$16,Condition!$D$16,IF(DV18&lt;=Condition!$F$17,Condition!$D$17,IF(DV18&lt;=Condition!$F$18,Condition!$D$18,IF(DV18&gt;Condition!$E$19,Condition!$D$19,"")))))</f>
        <v>0</v>
      </c>
      <c r="DW61" s="85">
        <f>IF(DW18&lt;=Condition!$E$16,0,IF(DW18&lt;=Condition!$F$16,Condition!$D$16,IF(DW18&lt;=Condition!$F$17,Condition!$D$17,IF(DW18&lt;=Condition!$F$18,Condition!$D$18,IF(DW18&gt;Condition!$E$19,Condition!$D$19,"")))))</f>
        <v>0</v>
      </c>
      <c r="DX61" s="85">
        <f>IF(DX18&lt;=Condition!$E$16,0,IF(DX18&lt;=Condition!$F$16,Condition!$D$16,IF(DX18&lt;=Condition!$F$17,Condition!$D$17,IF(DX18&lt;=Condition!$F$18,Condition!$D$18,IF(DX18&gt;Condition!$E$19,Condition!$D$19,"")))))</f>
        <v>0</v>
      </c>
      <c r="DY61" s="85">
        <f>IF(DY18&lt;=Condition!$E$16,0,IF(DY18&lt;=Condition!$F$16,Condition!$D$16,IF(DY18&lt;=Condition!$F$17,Condition!$D$17,IF(DY18&lt;=Condition!$F$18,Condition!$D$18,IF(DY18&gt;Condition!$E$19,Condition!$D$19,"")))))</f>
        <v>0</v>
      </c>
      <c r="DZ61" s="85">
        <f>IF(DZ18&lt;=Condition!$E$16,0,IF(DZ18&lt;=Condition!$F$16,Condition!$D$16,IF(DZ18&lt;=Condition!$F$17,Condition!$D$17,IF(DZ18&lt;=Condition!$F$18,Condition!$D$18,IF(DZ18&gt;Condition!$E$19,Condition!$D$19,"")))))</f>
        <v>0</v>
      </c>
      <c r="EA61" s="85">
        <f>IF(EA18&lt;=Condition!$E$16,0,IF(EA18&lt;=Condition!$F$16,Condition!$D$16,IF(EA18&lt;=Condition!$F$17,Condition!$D$17,IF(EA18&lt;=Condition!$F$18,Condition!$D$18,IF(EA18&gt;Condition!$E$19,Condition!$D$19,"")))))</f>
        <v>0</v>
      </c>
      <c r="EB61" s="85">
        <f>IF(EB18&lt;=Condition!$E$16,0,IF(EB18&lt;=Condition!$F$16,Condition!$D$16,IF(EB18&lt;=Condition!$F$17,Condition!$D$17,IF(EB18&lt;=Condition!$F$18,Condition!$D$18,IF(EB18&gt;Condition!$E$19,Condition!$D$19,"")))))</f>
        <v>0</v>
      </c>
      <c r="EC61" s="85">
        <f>IF(EC18&lt;=Condition!$E$16,0,IF(EC18&lt;=Condition!$F$16,Condition!$D$16,IF(EC18&lt;=Condition!$F$17,Condition!$D$17,IF(EC18&lt;=Condition!$F$18,Condition!$D$18,IF(EC18&gt;Condition!$E$19,Condition!$D$19,"")))))</f>
        <v>0</v>
      </c>
      <c r="ED61" s="85">
        <f>IF(ED18&lt;=Condition!$E$16,0,IF(ED18&lt;=Condition!$F$16,Condition!$D$16,IF(ED18&lt;=Condition!$F$17,Condition!$D$17,IF(ED18&lt;=Condition!$F$18,Condition!$D$18,IF(ED18&gt;Condition!$E$19,Condition!$D$19,"")))))</f>
        <v>0</v>
      </c>
      <c r="EE61" s="85">
        <f>IF(EE18&lt;=Condition!$E$16,0,IF(EE18&lt;=Condition!$F$16,Condition!$D$16,IF(EE18&lt;=Condition!$F$17,Condition!$D$17,IF(EE18&lt;=Condition!$F$18,Condition!$D$18,IF(EE18&gt;Condition!$E$19,Condition!$D$19,"")))))</f>
        <v>0</v>
      </c>
      <c r="EF61" s="85">
        <f>IF(EF18&lt;=Condition!$E$16,0,IF(EF18&lt;=Condition!$F$16,Condition!$D$16,IF(EF18&lt;=Condition!$F$17,Condition!$D$17,IF(EF18&lt;=Condition!$F$18,Condition!$D$18,IF(EF18&gt;Condition!$E$19,Condition!$D$19,"")))))</f>
        <v>0</v>
      </c>
      <c r="EG61" s="85">
        <f>IF(EG18&lt;=Condition!$E$16,0,IF(EG18&lt;=Condition!$F$16,Condition!$D$16,IF(EG18&lt;=Condition!$F$17,Condition!$D$17,IF(EG18&lt;=Condition!$F$18,Condition!$D$18,IF(EG18&gt;Condition!$E$19,Condition!$D$19,"")))))</f>
        <v>0</v>
      </c>
      <c r="EH61" s="85">
        <f>IF(EH18&lt;=Condition!$E$16,0,IF(EH18&lt;=Condition!$F$16,Condition!$D$16,IF(EH18&lt;=Condition!$F$17,Condition!$D$17,IF(EH18&lt;=Condition!$F$18,Condition!$D$18,IF(EH18&gt;Condition!$E$19,Condition!$D$19,"")))))</f>
        <v>0</v>
      </c>
      <c r="EI61" s="85">
        <f>IF(EI18&lt;=Condition!$E$16,0,IF(EI18&lt;=Condition!$F$16,Condition!$D$16,IF(EI18&lt;=Condition!$F$17,Condition!$D$17,IF(EI18&lt;=Condition!$F$18,Condition!$D$18,IF(EI18&gt;Condition!$E$19,Condition!$D$19,"")))))</f>
        <v>0</v>
      </c>
      <c r="EJ61" s="85">
        <f>IF(EJ18&lt;=Condition!$E$16,0,IF(EJ18&lt;=Condition!$F$16,Condition!$D$16,IF(EJ18&lt;=Condition!$F$17,Condition!$D$17,IF(EJ18&lt;=Condition!$F$18,Condition!$D$18,IF(EJ18&gt;Condition!$E$19,Condition!$D$19,"")))))</f>
        <v>0</v>
      </c>
      <c r="EK61" s="85">
        <f>IF(EK18&lt;=Condition!$E$16,0,IF(EK18&lt;=Condition!$F$16,Condition!$D$16,IF(EK18&lt;=Condition!$F$17,Condition!$D$17,IF(EK18&lt;=Condition!$F$18,Condition!$D$18,IF(EK18&gt;Condition!$E$19,Condition!$D$19,"")))))</f>
        <v>0</v>
      </c>
      <c r="EL61" s="85">
        <f>IF(EL18&lt;=Condition!$E$16,0,IF(EL18&lt;=Condition!$F$16,Condition!$D$16,IF(EL18&lt;=Condition!$F$17,Condition!$D$17,IF(EL18&lt;=Condition!$F$18,Condition!$D$18,IF(EL18&gt;Condition!$E$19,Condition!$D$19,"")))))</f>
        <v>0</v>
      </c>
      <c r="EM61" s="85">
        <f>IF(EM18&lt;=Condition!$E$16,0,IF(EM18&lt;=Condition!$F$16,Condition!$D$16,IF(EM18&lt;=Condition!$F$17,Condition!$D$17,IF(EM18&lt;=Condition!$F$18,Condition!$D$18,IF(EM18&gt;Condition!$E$19,Condition!$D$19,"")))))</f>
        <v>0</v>
      </c>
      <c r="EN61" s="85">
        <f>IF(EN18&lt;=Condition!$E$16,0,IF(EN18&lt;=Condition!$F$16,Condition!$D$16,IF(EN18&lt;=Condition!$F$17,Condition!$D$17,IF(EN18&lt;=Condition!$F$18,Condition!$D$18,IF(EN18&gt;Condition!$E$19,Condition!$D$19,"")))))</f>
        <v>0</v>
      </c>
      <c r="EO61" s="85">
        <f>IF(EO18&lt;=Condition!$E$16,0,IF(EO18&lt;=Condition!$F$16,Condition!$D$16,IF(EO18&lt;=Condition!$F$17,Condition!$D$17,IF(EO18&lt;=Condition!$F$18,Condition!$D$18,IF(EO18&gt;Condition!$E$19,Condition!$D$19,"")))))</f>
        <v>0</v>
      </c>
      <c r="EP61" s="85">
        <f>IF(EP18&lt;=Condition!$E$16,0,IF(EP18&lt;=Condition!$F$16,Condition!$D$16,IF(EP18&lt;=Condition!$F$17,Condition!$D$17,IF(EP18&lt;=Condition!$F$18,Condition!$D$18,IF(EP18&gt;Condition!$E$19,Condition!$D$19,"")))))</f>
        <v>0</v>
      </c>
      <c r="EQ61" s="85">
        <f>IF(EQ18&lt;=Condition!$E$16,0,IF(EQ18&lt;=Condition!$F$16,Condition!$D$16,IF(EQ18&lt;=Condition!$F$17,Condition!$D$17,IF(EQ18&lt;=Condition!$F$18,Condition!$D$18,IF(EQ18&gt;Condition!$E$19,Condition!$D$19,"")))))</f>
        <v>0</v>
      </c>
      <c r="ER61" s="85">
        <f>IF(ER18&lt;=Condition!$E$16,0,IF(ER18&lt;=Condition!$F$16,Condition!$D$16,IF(ER18&lt;=Condition!$F$17,Condition!$D$17,IF(ER18&lt;=Condition!$F$18,Condition!$D$18,IF(ER18&gt;Condition!$E$19,Condition!$D$19,"")))))</f>
        <v>0</v>
      </c>
      <c r="ES61" s="85">
        <f>IF(ES18&lt;=Condition!$E$16,0,IF(ES18&lt;=Condition!$F$16,Condition!$D$16,IF(ES18&lt;=Condition!$F$17,Condition!$D$17,IF(ES18&lt;=Condition!$F$18,Condition!$D$18,IF(ES18&gt;Condition!$E$19,Condition!$D$19,"")))))</f>
        <v>0</v>
      </c>
      <c r="ET61" s="85">
        <f>IF(ET18&lt;=Condition!$E$16,0,IF(ET18&lt;=Condition!$F$16,Condition!$D$16,IF(ET18&lt;=Condition!$F$17,Condition!$D$17,IF(ET18&lt;=Condition!$F$18,Condition!$D$18,IF(ET18&gt;Condition!$E$19,Condition!$D$19,"")))))</f>
        <v>0</v>
      </c>
      <c r="EU61" s="85">
        <f>IF(EU18&lt;=Condition!$E$16,0,IF(EU18&lt;=Condition!$F$16,Condition!$D$16,IF(EU18&lt;=Condition!$F$17,Condition!$D$17,IF(EU18&lt;=Condition!$F$18,Condition!$D$18,IF(EU18&gt;Condition!$E$19,Condition!$D$19,"")))))</f>
        <v>0</v>
      </c>
      <c r="EV61" s="85">
        <f>IF(EV18&lt;=Condition!$E$16,0,IF(EV18&lt;=Condition!$F$16,Condition!$D$16,IF(EV18&lt;=Condition!$F$17,Condition!$D$17,IF(EV18&lt;=Condition!$F$18,Condition!$D$18,IF(EV18&gt;Condition!$E$19,Condition!$D$19,"")))))</f>
        <v>0</v>
      </c>
      <c r="EW61" s="85">
        <f>IF(EW18&lt;=Condition!$E$16,0,IF(EW18&lt;=Condition!$F$16,Condition!$D$16,IF(EW18&lt;=Condition!$F$17,Condition!$D$17,IF(EW18&lt;=Condition!$F$18,Condition!$D$18,IF(EW18&gt;Condition!$E$19,Condition!$D$19,"")))))</f>
        <v>0</v>
      </c>
      <c r="EX61" s="85">
        <f>IF(EX18&lt;=Condition!$E$16,0,IF(EX18&lt;=Condition!$F$16,Condition!$D$16,IF(EX18&lt;=Condition!$F$17,Condition!$D$17,IF(EX18&lt;=Condition!$F$18,Condition!$D$18,IF(EX18&gt;Condition!$E$19,Condition!$D$19,"")))))</f>
        <v>0</v>
      </c>
      <c r="EY61" s="85">
        <f>IF(EY18&lt;=Condition!$E$16,0,IF(EY18&lt;=Condition!$F$16,Condition!$D$16,IF(EY18&lt;=Condition!$F$17,Condition!$D$17,IF(EY18&lt;=Condition!$F$18,Condition!$D$18,IF(EY18&gt;Condition!$E$19,Condition!$D$19,"")))))</f>
        <v>0</v>
      </c>
      <c r="EZ61" s="85">
        <f>IF(EZ18&lt;=Condition!$E$16,0,IF(EZ18&lt;=Condition!$F$16,Condition!$D$16,IF(EZ18&lt;=Condition!$F$17,Condition!$D$17,IF(EZ18&lt;=Condition!$F$18,Condition!$D$18,IF(EZ18&gt;Condition!$E$19,Condition!$D$19,"")))))</f>
        <v>0</v>
      </c>
      <c r="FA61" s="85">
        <f>IF(FA18&lt;=Condition!$E$16,0,IF(FA18&lt;=Condition!$F$16,Condition!$D$16,IF(FA18&lt;=Condition!$F$17,Condition!$D$17,IF(FA18&lt;=Condition!$F$18,Condition!$D$18,IF(FA18&gt;Condition!$E$19,Condition!$D$19,"")))))</f>
        <v>0</v>
      </c>
      <c r="FB61" s="85">
        <f>IF(FB18&lt;=Condition!$E$16,0,IF(FB18&lt;=Condition!$F$16,Condition!$D$16,IF(FB18&lt;=Condition!$F$17,Condition!$D$17,IF(FB18&lt;=Condition!$F$18,Condition!$D$18,IF(FB18&gt;Condition!$E$19,Condition!$D$19,"")))))</f>
        <v>0</v>
      </c>
      <c r="FC61" s="85">
        <f>IF(FC18&lt;=Condition!$E$16,0,IF(FC18&lt;=Condition!$F$16,Condition!$D$16,IF(FC18&lt;=Condition!$F$17,Condition!$D$17,IF(FC18&lt;=Condition!$F$18,Condition!$D$18,IF(FC18&gt;Condition!$E$19,Condition!$D$19,"")))))</f>
        <v>0</v>
      </c>
      <c r="FD61" s="85">
        <f>IF(FD18&lt;=Condition!$E$16,0,IF(FD18&lt;=Condition!$F$16,Condition!$D$16,IF(FD18&lt;=Condition!$F$17,Condition!$D$17,IF(FD18&lt;=Condition!$F$18,Condition!$D$18,IF(FD18&gt;Condition!$E$19,Condition!$D$19,"")))))</f>
        <v>0</v>
      </c>
      <c r="FE61" s="85">
        <f>IF(FE18&lt;=Condition!$E$16,0,IF(FE18&lt;=Condition!$F$16,Condition!$D$16,IF(FE18&lt;=Condition!$F$17,Condition!$D$17,IF(FE18&lt;=Condition!$F$18,Condition!$D$18,IF(FE18&gt;Condition!$E$19,Condition!$D$19,"")))))</f>
        <v>0</v>
      </c>
      <c r="FF61" s="85">
        <f>IF(FF18&lt;=Condition!$E$16,0,IF(FF18&lt;=Condition!$F$16,Condition!$D$16,IF(FF18&lt;=Condition!$F$17,Condition!$D$17,IF(FF18&lt;=Condition!$F$18,Condition!$D$18,IF(FF18&gt;Condition!$E$19,Condition!$D$19,"")))))</f>
        <v>0</v>
      </c>
      <c r="FG61" s="85">
        <f>IF(FG18&lt;=Condition!$E$16,0,IF(FG18&lt;=Condition!$F$16,Condition!$D$16,IF(FG18&lt;=Condition!$F$17,Condition!$D$17,IF(FG18&lt;=Condition!$F$18,Condition!$D$18,IF(FG18&gt;Condition!$E$19,Condition!$D$19,"")))))</f>
        <v>0</v>
      </c>
      <c r="FH61" s="85">
        <f>IF(FH18&lt;=Condition!$E$16,0,IF(FH18&lt;=Condition!$F$16,Condition!$D$16,IF(FH18&lt;=Condition!$F$17,Condition!$D$17,IF(FH18&lt;=Condition!$F$18,Condition!$D$18,IF(FH18&gt;Condition!$E$19,Condition!$D$19,"")))))</f>
        <v>0</v>
      </c>
      <c r="FI61" s="85">
        <f>IF(FI18&lt;=Condition!$E$16,0,IF(FI18&lt;=Condition!$F$16,Condition!$D$16,IF(FI18&lt;=Condition!$F$17,Condition!$D$17,IF(FI18&lt;=Condition!$F$18,Condition!$D$18,IF(FI18&gt;Condition!$E$19,Condition!$D$19,"")))))</f>
        <v>0</v>
      </c>
      <c r="FJ61" s="85">
        <f>IF(FJ18&lt;=Condition!$E$16,0,IF(FJ18&lt;=Condition!$F$16,Condition!$D$16,IF(FJ18&lt;=Condition!$F$17,Condition!$D$17,IF(FJ18&lt;=Condition!$F$18,Condition!$D$18,IF(FJ18&gt;Condition!$E$19,Condition!$D$19,"")))))</f>
        <v>0</v>
      </c>
      <c r="FK61" s="85">
        <f>IF(FK18&lt;=Condition!$E$16,0,IF(FK18&lt;=Condition!$F$16,Condition!$D$16,IF(FK18&lt;=Condition!$F$17,Condition!$D$17,IF(FK18&lt;=Condition!$F$18,Condition!$D$18,IF(FK18&gt;Condition!$E$19,Condition!$D$19,"")))))</f>
        <v>0</v>
      </c>
      <c r="FL61" s="85">
        <f>IF(FL18&lt;=Condition!$E$16,0,IF(FL18&lt;=Condition!$F$16,Condition!$D$16,IF(FL18&lt;=Condition!$F$17,Condition!$D$17,IF(FL18&lt;=Condition!$F$18,Condition!$D$18,IF(FL18&gt;Condition!$E$19,Condition!$D$19,"")))))</f>
        <v>0</v>
      </c>
      <c r="FM61" s="85">
        <f>IF(FM18&lt;=Condition!$E$16,0,IF(FM18&lt;=Condition!$F$16,Condition!$D$16,IF(FM18&lt;=Condition!$F$17,Condition!$D$17,IF(FM18&lt;=Condition!$F$18,Condition!$D$18,IF(FM18&gt;Condition!$E$19,Condition!$D$19,"")))))</f>
        <v>0</v>
      </c>
      <c r="FN61" s="85">
        <f>IF(FN18&lt;=Condition!$E$16,0,IF(FN18&lt;=Condition!$F$16,Condition!$D$16,IF(FN18&lt;=Condition!$F$17,Condition!$D$17,IF(FN18&lt;=Condition!$F$18,Condition!$D$18,IF(FN18&gt;Condition!$E$19,Condition!$D$19,"")))))</f>
        <v>0</v>
      </c>
      <c r="FO61" s="85">
        <f>IF(FO18&lt;=Condition!$E$16,0,IF(FO18&lt;=Condition!$F$16,Condition!$D$16,IF(FO18&lt;=Condition!$F$17,Condition!$D$17,IF(FO18&lt;=Condition!$F$18,Condition!$D$18,IF(FO18&gt;Condition!$E$19,Condition!$D$19,"")))))</f>
        <v>0</v>
      </c>
      <c r="FP61" s="85">
        <f>IF(FP18&lt;=Condition!$E$16,0,IF(FP18&lt;=Condition!$F$16,Condition!$D$16,IF(FP18&lt;=Condition!$F$17,Condition!$D$17,IF(FP18&lt;=Condition!$F$18,Condition!$D$18,IF(FP18&gt;Condition!$E$19,Condition!$D$19,"")))))</f>
        <v>0</v>
      </c>
      <c r="FQ61" s="85">
        <f>IF(FQ18&lt;=Condition!$E$16,0,IF(FQ18&lt;=Condition!$F$16,Condition!$D$16,IF(FQ18&lt;=Condition!$F$17,Condition!$D$17,IF(FQ18&lt;=Condition!$F$18,Condition!$D$18,IF(FQ18&gt;Condition!$E$19,Condition!$D$19,"")))))</f>
        <v>0</v>
      </c>
      <c r="FR61" s="85">
        <f>IF(FR18&lt;=Condition!$E$16,0,IF(FR18&lt;=Condition!$F$16,Condition!$D$16,IF(FR18&lt;=Condition!$F$17,Condition!$D$17,IF(FR18&lt;=Condition!$F$18,Condition!$D$18,IF(FR18&gt;Condition!$E$19,Condition!$D$19,"")))))</f>
        <v>0</v>
      </c>
      <c r="FS61" s="85">
        <f>IF(FS18&lt;=Condition!$E$16,0,IF(FS18&lt;=Condition!$F$16,Condition!$D$16,IF(FS18&lt;=Condition!$F$17,Condition!$D$17,IF(FS18&lt;=Condition!$F$18,Condition!$D$18,IF(FS18&gt;Condition!$E$19,Condition!$D$19,"")))))</f>
        <v>0</v>
      </c>
      <c r="FT61" s="85">
        <f>IF(FT18&lt;=Condition!$E$16,0,IF(FT18&lt;=Condition!$F$16,Condition!$D$16,IF(FT18&lt;=Condition!$F$17,Condition!$D$17,IF(FT18&lt;=Condition!$F$18,Condition!$D$18,IF(FT18&gt;Condition!$E$19,Condition!$D$19,"")))))</f>
        <v>0</v>
      </c>
      <c r="FU61" s="85">
        <f>IF(FU18&lt;=Condition!$E$16,0,IF(FU18&lt;=Condition!$F$16,Condition!$D$16,IF(FU18&lt;=Condition!$F$17,Condition!$D$17,IF(FU18&lt;=Condition!$F$18,Condition!$D$18,IF(FU18&gt;Condition!$E$19,Condition!$D$19,"")))))</f>
        <v>0</v>
      </c>
      <c r="FV61" s="85">
        <f>IF(FV18&lt;=Condition!$E$16,0,IF(FV18&lt;=Condition!$F$16,Condition!$D$16,IF(FV18&lt;=Condition!$F$17,Condition!$D$17,IF(FV18&lt;=Condition!$F$18,Condition!$D$18,IF(FV18&gt;Condition!$E$19,Condition!$D$19,"")))))</f>
        <v>0</v>
      </c>
      <c r="FW61" s="85">
        <f>IF(FW18&lt;=Condition!$E$16,0,IF(FW18&lt;=Condition!$F$16,Condition!$D$16,IF(FW18&lt;=Condition!$F$17,Condition!$D$17,IF(FW18&lt;=Condition!$F$18,Condition!$D$18,IF(FW18&gt;Condition!$E$19,Condition!$D$19,"")))))</f>
        <v>0</v>
      </c>
      <c r="FX61" s="85">
        <f>IF(FX18&lt;=Condition!$E$16,0,IF(FX18&lt;=Condition!$F$16,Condition!$D$16,IF(FX18&lt;=Condition!$F$17,Condition!$D$17,IF(FX18&lt;=Condition!$F$18,Condition!$D$18,IF(FX18&gt;Condition!$E$19,Condition!$D$19,"")))))</f>
        <v>0</v>
      </c>
      <c r="FY61" s="85">
        <f>IF(FY18&lt;=Condition!$E$16,0,IF(FY18&lt;=Condition!$F$16,Condition!$D$16,IF(FY18&lt;=Condition!$F$17,Condition!$D$17,IF(FY18&lt;=Condition!$F$18,Condition!$D$18,IF(FY18&gt;Condition!$E$19,Condition!$D$19,"")))))</f>
        <v>0</v>
      </c>
      <c r="FZ61" s="85">
        <f>IF(FZ18&lt;=Condition!$E$16,0,IF(FZ18&lt;=Condition!$F$16,Condition!$D$16,IF(FZ18&lt;=Condition!$F$17,Condition!$D$17,IF(FZ18&lt;=Condition!$F$18,Condition!$D$18,IF(FZ18&gt;Condition!$E$19,Condition!$D$19,"")))))</f>
        <v>0</v>
      </c>
      <c r="GA61" s="85">
        <f>IF(GA18&lt;=Condition!$E$16,0,IF(GA18&lt;=Condition!$F$16,Condition!$D$16,IF(GA18&lt;=Condition!$F$17,Condition!$D$17,IF(GA18&lt;=Condition!$F$18,Condition!$D$18,IF(GA18&gt;Condition!$E$19,Condition!$D$19,"")))))</f>
        <v>0</v>
      </c>
      <c r="GB61" s="85">
        <f>IF(GB18&lt;=Condition!$E$16,0,IF(GB18&lt;=Condition!$F$16,Condition!$D$16,IF(GB18&lt;=Condition!$F$17,Condition!$D$17,IF(GB18&lt;=Condition!$F$18,Condition!$D$18,IF(GB18&gt;Condition!$E$19,Condition!$D$19,"")))))</f>
        <v>0</v>
      </c>
      <c r="GC61" s="85">
        <f>IF(GC18&lt;=Condition!$E$16,0,IF(GC18&lt;=Condition!$F$16,Condition!$D$16,IF(GC18&lt;=Condition!$F$17,Condition!$D$17,IF(GC18&lt;=Condition!$F$18,Condition!$D$18,IF(GC18&gt;Condition!$E$19,Condition!$D$19,"")))))</f>
        <v>0</v>
      </c>
      <c r="GD61" s="85">
        <f>IF(GD18&lt;=Condition!$E$16,0,IF(GD18&lt;=Condition!$F$16,Condition!$D$16,IF(GD18&lt;=Condition!$F$17,Condition!$D$17,IF(GD18&lt;=Condition!$F$18,Condition!$D$18,IF(GD18&gt;Condition!$E$19,Condition!$D$19,"")))))</f>
        <v>0</v>
      </c>
      <c r="GE61" s="85">
        <f>IF(GE18&lt;=Condition!$E$16,0,IF(GE18&lt;=Condition!$F$16,Condition!$D$16,IF(GE18&lt;=Condition!$F$17,Condition!$D$17,IF(GE18&lt;=Condition!$F$18,Condition!$D$18,IF(GE18&gt;Condition!$E$19,Condition!$D$19,"")))))</f>
        <v>0</v>
      </c>
      <c r="GF61" s="85">
        <f>IF(GF18&lt;=Condition!$E$16,0,IF(GF18&lt;=Condition!$F$16,Condition!$D$16,IF(GF18&lt;=Condition!$F$17,Condition!$D$17,IF(GF18&lt;=Condition!$F$18,Condition!$D$18,IF(GF18&gt;Condition!$E$19,Condition!$D$19,"")))))</f>
        <v>0</v>
      </c>
      <c r="GG61" s="85">
        <f>IF(GG18&lt;=Condition!$E$16,0,IF(GG18&lt;=Condition!$F$16,Condition!$D$16,IF(GG18&lt;=Condition!$F$17,Condition!$D$17,IF(GG18&lt;=Condition!$F$18,Condition!$D$18,IF(GG18&gt;Condition!$E$19,Condition!$D$19,"")))))</f>
        <v>0</v>
      </c>
      <c r="GH61" s="85">
        <f>IF(GH18&lt;=Condition!$E$16,0,IF(GH18&lt;=Condition!$F$16,Condition!$D$16,IF(GH18&lt;=Condition!$F$17,Condition!$D$17,IF(GH18&lt;=Condition!$F$18,Condition!$D$18,IF(GH18&gt;Condition!$E$19,Condition!$D$19,"")))))</f>
        <v>0</v>
      </c>
      <c r="GI61" s="85">
        <f>IF(GI18&lt;=Condition!$E$16,0,IF(GI18&lt;=Condition!$F$16,Condition!$D$16,IF(GI18&lt;=Condition!$F$17,Condition!$D$17,IF(GI18&lt;=Condition!$F$18,Condition!$D$18,IF(GI18&gt;Condition!$E$19,Condition!$D$19,"")))))</f>
        <v>0</v>
      </c>
      <c r="GJ61" s="85">
        <f>IF(GJ18&lt;=Condition!$E$16,0,IF(GJ18&lt;=Condition!$F$16,Condition!$D$16,IF(GJ18&lt;=Condition!$F$17,Condition!$D$17,IF(GJ18&lt;=Condition!$F$18,Condition!$D$18,IF(GJ18&gt;Condition!$E$19,Condition!$D$19,"")))))</f>
        <v>0</v>
      </c>
      <c r="GK61" s="85">
        <f>IF(GK18&lt;=Condition!$E$16,0,IF(GK18&lt;=Condition!$F$16,Condition!$D$16,IF(GK18&lt;=Condition!$F$17,Condition!$D$17,IF(GK18&lt;=Condition!$F$18,Condition!$D$18,IF(GK18&gt;Condition!$E$19,Condition!$D$19,"")))))</f>
        <v>0</v>
      </c>
      <c r="GL61" s="85">
        <f>IF(GL18&lt;=Condition!$E$16,0,IF(GL18&lt;=Condition!$F$16,Condition!$D$16,IF(GL18&lt;=Condition!$F$17,Condition!$D$17,IF(GL18&lt;=Condition!$F$18,Condition!$D$18,IF(GL18&gt;Condition!$E$19,Condition!$D$19,"")))))</f>
        <v>0</v>
      </c>
      <c r="GM61" s="85">
        <f>IF(GM18&lt;=Condition!$E$16,0,IF(GM18&lt;=Condition!$F$16,Condition!$D$16,IF(GM18&lt;=Condition!$F$17,Condition!$D$17,IF(GM18&lt;=Condition!$F$18,Condition!$D$18,IF(GM18&gt;Condition!$E$19,Condition!$D$19,"")))))</f>
        <v>0</v>
      </c>
      <c r="GN61" s="85">
        <f>IF(GN18&lt;=Condition!$E$16,0,IF(GN18&lt;=Condition!$F$16,Condition!$D$16,IF(GN18&lt;=Condition!$F$17,Condition!$D$17,IF(GN18&lt;=Condition!$F$18,Condition!$D$18,IF(GN18&gt;Condition!$E$19,Condition!$D$19,"")))))</f>
        <v>0</v>
      </c>
      <c r="GO61" s="85">
        <f>IF(GO18&lt;=Condition!$E$16,0,IF(GO18&lt;=Condition!$F$16,Condition!$D$16,IF(GO18&lt;=Condition!$F$17,Condition!$D$17,IF(GO18&lt;=Condition!$F$18,Condition!$D$18,IF(GO18&gt;Condition!$E$19,Condition!$D$19,"")))))</f>
        <v>0</v>
      </c>
      <c r="GP61" s="85">
        <f>IF(GP18&lt;=Condition!$E$16,0,IF(GP18&lt;=Condition!$F$16,Condition!$D$16,IF(GP18&lt;=Condition!$F$17,Condition!$D$17,IF(GP18&lt;=Condition!$F$18,Condition!$D$18,IF(GP18&gt;Condition!$E$19,Condition!$D$19,"")))))</f>
        <v>0</v>
      </c>
      <c r="GQ61" s="85">
        <f>IF(GQ18&lt;=Condition!$E$16,0,IF(GQ18&lt;=Condition!$F$16,Condition!$D$16,IF(GQ18&lt;=Condition!$F$17,Condition!$D$17,IF(GQ18&lt;=Condition!$F$18,Condition!$D$18,IF(GQ18&gt;Condition!$E$19,Condition!$D$19,"")))))</f>
        <v>0</v>
      </c>
      <c r="GR61" s="85">
        <f>IF(GR18&lt;=Condition!$E$16,0,IF(GR18&lt;=Condition!$F$16,Condition!$D$16,IF(GR18&lt;=Condition!$F$17,Condition!$D$17,IF(GR18&lt;=Condition!$F$18,Condition!$D$18,IF(GR18&gt;Condition!$E$19,Condition!$D$19,"")))))</f>
        <v>0</v>
      </c>
      <c r="GS61" s="85">
        <f>IF(GS18&lt;=Condition!$E$16,0,IF(GS18&lt;=Condition!$F$16,Condition!$D$16,IF(GS18&lt;=Condition!$F$17,Condition!$D$17,IF(GS18&lt;=Condition!$F$18,Condition!$D$18,IF(GS18&gt;Condition!$E$19,Condition!$D$19,"")))))</f>
        <v>0</v>
      </c>
      <c r="GT61" s="85">
        <f>IF(GT18&lt;=Condition!$E$16,0,IF(GT18&lt;=Condition!$F$16,Condition!$D$16,IF(GT18&lt;=Condition!$F$17,Condition!$D$17,IF(GT18&lt;=Condition!$F$18,Condition!$D$18,IF(GT18&gt;Condition!$E$19,Condition!$D$19,"")))))</f>
        <v>0</v>
      </c>
      <c r="GU61" s="85">
        <f>IF(GU18&lt;=Condition!$E$16,0,IF(GU18&lt;=Condition!$F$16,Condition!$D$16,IF(GU18&lt;=Condition!$F$17,Condition!$D$17,IF(GU18&lt;=Condition!$F$18,Condition!$D$18,IF(GU18&gt;Condition!$E$19,Condition!$D$19,"")))))</f>
        <v>0</v>
      </c>
      <c r="GV61" s="85">
        <f>IF(GV18&lt;=Condition!$E$16,0,IF(GV18&lt;=Condition!$F$16,Condition!$D$16,IF(GV18&lt;=Condition!$F$17,Condition!$D$17,IF(GV18&lt;=Condition!$F$18,Condition!$D$18,IF(GV18&gt;Condition!$E$19,Condition!$D$19,"")))))</f>
        <v>0</v>
      </c>
      <c r="GW61" s="85">
        <f>IF(GW18&lt;=Condition!$E$16,0,IF(GW18&lt;=Condition!$F$16,Condition!$D$16,IF(GW18&lt;=Condition!$F$17,Condition!$D$17,IF(GW18&lt;=Condition!$F$18,Condition!$D$18,IF(GW18&gt;Condition!$E$19,Condition!$D$19,"")))))</f>
        <v>0</v>
      </c>
      <c r="GX61" s="85">
        <f>IF(GX18&lt;=Condition!$E$16,0,IF(GX18&lt;=Condition!$F$16,Condition!$D$16,IF(GX18&lt;=Condition!$F$17,Condition!$D$17,IF(GX18&lt;=Condition!$F$18,Condition!$D$18,IF(GX18&gt;Condition!$E$19,Condition!$D$19,"")))))</f>
        <v>0</v>
      </c>
      <c r="GY61" s="85">
        <f>IF(GY18&lt;=Condition!$E$16,0,IF(GY18&lt;=Condition!$F$16,Condition!$D$16,IF(GY18&lt;=Condition!$F$17,Condition!$D$17,IF(GY18&lt;=Condition!$F$18,Condition!$D$18,IF(GY18&gt;Condition!$E$19,Condition!$D$19,"")))))</f>
        <v>0</v>
      </c>
      <c r="GZ61" s="85">
        <f>IF(GZ18&lt;=Condition!$E$16,0,IF(GZ18&lt;=Condition!$F$16,Condition!$D$16,IF(GZ18&lt;=Condition!$F$17,Condition!$D$17,IF(GZ18&lt;=Condition!$F$18,Condition!$D$18,IF(GZ18&gt;Condition!$E$19,Condition!$D$19,"")))))</f>
        <v>0</v>
      </c>
      <c r="HA61" s="85">
        <f>IF(HA18&lt;=Condition!$E$16,0,IF(HA18&lt;=Condition!$F$16,Condition!$D$16,IF(HA18&lt;=Condition!$F$17,Condition!$D$17,IF(HA18&lt;=Condition!$F$18,Condition!$D$18,IF(HA18&gt;Condition!$E$19,Condition!$D$19,"")))))</f>
        <v>0</v>
      </c>
      <c r="HB61" s="85">
        <f>IF(HB18&lt;=Condition!$E$16,0,IF(HB18&lt;=Condition!$F$16,Condition!$D$16,IF(HB18&lt;=Condition!$F$17,Condition!$D$17,IF(HB18&lt;=Condition!$F$18,Condition!$D$18,IF(HB18&gt;Condition!$E$19,Condition!$D$19,"")))))</f>
        <v>0</v>
      </c>
      <c r="HC61" s="85">
        <f>IF(HC18&lt;=Condition!$E$16,0,IF(HC18&lt;=Condition!$F$16,Condition!$D$16,IF(HC18&lt;=Condition!$F$17,Condition!$D$17,IF(HC18&lt;=Condition!$F$18,Condition!$D$18,IF(HC18&gt;Condition!$E$19,Condition!$D$19,"")))))</f>
        <v>0</v>
      </c>
      <c r="HD61" s="85">
        <f>IF(HD18&lt;=Condition!$E$16,0,IF(HD18&lt;=Condition!$F$16,Condition!$D$16,IF(HD18&lt;=Condition!$F$17,Condition!$D$17,IF(HD18&lt;=Condition!$F$18,Condition!$D$18,IF(HD18&gt;Condition!$E$19,Condition!$D$19,"")))))</f>
        <v>0</v>
      </c>
      <c r="HE61" s="85">
        <f>IF(HE18&lt;=Condition!$E$16,0,IF(HE18&lt;=Condition!$F$16,Condition!$D$16,IF(HE18&lt;=Condition!$F$17,Condition!$D$17,IF(HE18&lt;=Condition!$F$18,Condition!$D$18,IF(HE18&gt;Condition!$E$19,Condition!$D$19,"")))))</f>
        <v>0</v>
      </c>
      <c r="HF61" s="85">
        <f>IF(HF18&lt;=Condition!$E$16,0,IF(HF18&lt;=Condition!$F$16,Condition!$D$16,IF(HF18&lt;=Condition!$F$17,Condition!$D$17,IF(HF18&lt;=Condition!$F$18,Condition!$D$18,IF(HF18&gt;Condition!$E$19,Condition!$D$19,"")))))</f>
        <v>0</v>
      </c>
      <c r="HG61" s="85">
        <f>IF(HG18&lt;=Condition!$E$16,0,IF(HG18&lt;=Condition!$F$16,Condition!$D$16,IF(HG18&lt;=Condition!$F$17,Condition!$D$17,IF(HG18&lt;=Condition!$F$18,Condition!$D$18,IF(HG18&gt;Condition!$E$19,Condition!$D$19,"")))))</f>
        <v>0</v>
      </c>
      <c r="HH61" s="85">
        <f>IF(HH18&lt;=Condition!$E$16,0,IF(HH18&lt;=Condition!$F$16,Condition!$D$16,IF(HH18&lt;=Condition!$F$17,Condition!$D$17,IF(HH18&lt;=Condition!$F$18,Condition!$D$18,IF(HH18&gt;Condition!$E$19,Condition!$D$19,"")))))</f>
        <v>0</v>
      </c>
      <c r="HI61" s="85">
        <f>IF(HI18&lt;=Condition!$E$16,0,IF(HI18&lt;=Condition!$F$16,Condition!$D$16,IF(HI18&lt;=Condition!$F$17,Condition!$D$17,IF(HI18&lt;=Condition!$F$18,Condition!$D$18,IF(HI18&gt;Condition!$E$19,Condition!$D$19,"")))))</f>
        <v>0</v>
      </c>
      <c r="HJ61" s="85">
        <f>IF(HJ18&lt;=Condition!$E$16,0,IF(HJ18&lt;=Condition!$F$16,Condition!$D$16,IF(HJ18&lt;=Condition!$F$17,Condition!$D$17,IF(HJ18&lt;=Condition!$F$18,Condition!$D$18,IF(HJ18&gt;Condition!$E$19,Condition!$D$19,"")))))</f>
        <v>0</v>
      </c>
      <c r="HK61" s="85">
        <f>IF(HK18&lt;=Condition!$E$16,0,IF(HK18&lt;=Condition!$F$16,Condition!$D$16,IF(HK18&lt;=Condition!$F$17,Condition!$D$17,IF(HK18&lt;=Condition!$F$18,Condition!$D$18,IF(HK18&gt;Condition!$E$19,Condition!$D$19,"")))))</f>
        <v>0</v>
      </c>
      <c r="HL61" s="85">
        <f>IF(HL18&lt;=Condition!$E$16,0,IF(HL18&lt;=Condition!$F$16,Condition!$D$16,IF(HL18&lt;=Condition!$F$17,Condition!$D$17,IF(HL18&lt;=Condition!$F$18,Condition!$D$18,IF(HL18&gt;Condition!$E$19,Condition!$D$19,"")))))</f>
        <v>0</v>
      </c>
      <c r="HM61" s="85">
        <f>IF(HM18&lt;=Condition!$E$16,0,IF(HM18&lt;=Condition!$F$16,Condition!$D$16,IF(HM18&lt;=Condition!$F$17,Condition!$D$17,IF(HM18&lt;=Condition!$F$18,Condition!$D$18,IF(HM18&gt;Condition!$E$19,Condition!$D$19,"")))))</f>
        <v>0</v>
      </c>
      <c r="HN61" s="85">
        <f>IF(HN18&lt;=Condition!$E$16,0,IF(HN18&lt;=Condition!$F$16,Condition!$D$16,IF(HN18&lt;=Condition!$F$17,Condition!$D$17,IF(HN18&lt;=Condition!$F$18,Condition!$D$18,IF(HN18&gt;Condition!$E$19,Condition!$D$19,"")))))</f>
        <v>0</v>
      </c>
      <c r="HO61" s="85">
        <f>IF(HO18&lt;=Condition!$E$16,0,IF(HO18&lt;=Condition!$F$16,Condition!$D$16,IF(HO18&lt;=Condition!$F$17,Condition!$D$17,IF(HO18&lt;=Condition!$F$18,Condition!$D$18,IF(HO18&gt;Condition!$E$19,Condition!$D$19,"")))))</f>
        <v>0</v>
      </c>
      <c r="HP61" s="85">
        <f>IF(HP18&lt;=Condition!$E$16,0,IF(HP18&lt;=Condition!$F$16,Condition!$D$16,IF(HP18&lt;=Condition!$F$17,Condition!$D$17,IF(HP18&lt;=Condition!$F$18,Condition!$D$18,IF(HP18&gt;Condition!$E$19,Condition!$D$19,"")))))</f>
        <v>0</v>
      </c>
      <c r="HQ61" s="85">
        <f>IF(HQ18&lt;=Condition!$E$16,0,IF(HQ18&lt;=Condition!$F$16,Condition!$D$16,IF(HQ18&lt;=Condition!$F$17,Condition!$D$17,IF(HQ18&lt;=Condition!$F$18,Condition!$D$18,IF(HQ18&gt;Condition!$E$19,Condition!$D$19,"")))))</f>
        <v>0</v>
      </c>
      <c r="HR61" s="85">
        <f>IF(HR18&lt;=Condition!$E$16,0,IF(HR18&lt;=Condition!$F$16,Condition!$D$16,IF(HR18&lt;=Condition!$F$17,Condition!$D$17,IF(HR18&lt;=Condition!$F$18,Condition!$D$18,IF(HR18&gt;Condition!$E$19,Condition!$D$19,"")))))</f>
        <v>0</v>
      </c>
      <c r="HS61" s="85">
        <f>IF(HS18&lt;=Condition!$E$16,0,IF(HS18&lt;=Condition!$F$16,Condition!$D$16,IF(HS18&lt;=Condition!$F$17,Condition!$D$17,IF(HS18&lt;=Condition!$F$18,Condition!$D$18,IF(HS18&gt;Condition!$E$19,Condition!$D$19,"")))))</f>
        <v>0</v>
      </c>
      <c r="HT61" s="85">
        <f>IF(HT18&lt;=Condition!$E$16,0,IF(HT18&lt;=Condition!$F$16,Condition!$D$16,IF(HT18&lt;=Condition!$F$17,Condition!$D$17,IF(HT18&lt;=Condition!$F$18,Condition!$D$18,IF(HT18&gt;Condition!$E$19,Condition!$D$19,"")))))</f>
        <v>0</v>
      </c>
      <c r="HU61" s="85">
        <f>IF(HU18&lt;=Condition!$E$16,0,IF(HU18&lt;=Condition!$F$16,Condition!$D$16,IF(HU18&lt;=Condition!$F$17,Condition!$D$17,IF(HU18&lt;=Condition!$F$18,Condition!$D$18,IF(HU18&gt;Condition!$E$19,Condition!$D$19,"")))))</f>
        <v>0</v>
      </c>
      <c r="HV61" s="85">
        <f>IF(HV18&lt;=Condition!$E$16,0,IF(HV18&lt;=Condition!$F$16,Condition!$D$16,IF(HV18&lt;=Condition!$F$17,Condition!$D$17,IF(HV18&lt;=Condition!$F$18,Condition!$D$18,IF(HV18&gt;Condition!$E$19,Condition!$D$19,"")))))</f>
        <v>0</v>
      </c>
      <c r="HW61" s="85">
        <f>IF(HW18&lt;=Condition!$E$16,0,IF(HW18&lt;=Condition!$F$16,Condition!$D$16,IF(HW18&lt;=Condition!$F$17,Condition!$D$17,IF(HW18&lt;=Condition!$F$18,Condition!$D$18,IF(HW18&gt;Condition!$E$19,Condition!$D$19,"")))))</f>
        <v>0</v>
      </c>
      <c r="HX61" s="85">
        <f>IF(HX18&lt;=Condition!$E$16,0,IF(HX18&lt;=Condition!$F$16,Condition!$D$16,IF(HX18&lt;=Condition!$F$17,Condition!$D$17,IF(HX18&lt;=Condition!$F$18,Condition!$D$18,IF(HX18&gt;Condition!$E$19,Condition!$D$19,"")))))</f>
        <v>0</v>
      </c>
      <c r="HY61" s="85">
        <f>IF(HY18&lt;=Condition!$E$16,0,IF(HY18&lt;=Condition!$F$16,Condition!$D$16,IF(HY18&lt;=Condition!$F$17,Condition!$D$17,IF(HY18&lt;=Condition!$F$18,Condition!$D$18,IF(HY18&gt;Condition!$E$19,Condition!$D$19,"")))))</f>
        <v>0</v>
      </c>
      <c r="HZ61" s="85">
        <f>IF(HZ18&lt;=Condition!$E$16,0,IF(HZ18&lt;=Condition!$F$16,Condition!$D$16,IF(HZ18&lt;=Condition!$F$17,Condition!$D$17,IF(HZ18&lt;=Condition!$F$18,Condition!$D$18,IF(HZ18&gt;Condition!$E$19,Condition!$D$19,"")))))</f>
        <v>0</v>
      </c>
      <c r="IA61" s="85">
        <f>IF(IA18&lt;=Condition!$E$16,0,IF(IA18&lt;=Condition!$F$16,Condition!$D$16,IF(IA18&lt;=Condition!$F$17,Condition!$D$17,IF(IA18&lt;=Condition!$F$18,Condition!$D$18,IF(IA18&gt;Condition!$E$19,Condition!$D$19,"")))))</f>
        <v>0</v>
      </c>
      <c r="IB61" s="85">
        <f>IF(IB18&lt;=Condition!$E$16,0,IF(IB18&lt;=Condition!$F$16,Condition!$D$16,IF(IB18&lt;=Condition!$F$17,Condition!$D$17,IF(IB18&lt;=Condition!$F$18,Condition!$D$18,IF(IB18&gt;Condition!$E$19,Condition!$D$19,"")))))</f>
        <v>0</v>
      </c>
      <c r="IC61" s="85">
        <f>IF(IC18&lt;=Condition!$E$16,0,IF(IC18&lt;=Condition!$F$16,Condition!$D$16,IF(IC18&lt;=Condition!$F$17,Condition!$D$17,IF(IC18&lt;=Condition!$F$18,Condition!$D$18,IF(IC18&gt;Condition!$E$19,Condition!$D$19,"")))))</f>
        <v>0</v>
      </c>
      <c r="ID61" s="85">
        <f>IF(ID18&lt;=Condition!$E$16,0,IF(ID18&lt;=Condition!$F$16,Condition!$D$16,IF(ID18&lt;=Condition!$F$17,Condition!$D$17,IF(ID18&lt;=Condition!$F$18,Condition!$D$18,IF(ID18&gt;Condition!$E$19,Condition!$D$19,"")))))</f>
        <v>0</v>
      </c>
      <c r="IE61" s="85">
        <f>IF(IE18&lt;=Condition!$E$16,0,IF(IE18&lt;=Condition!$F$16,Condition!$D$16,IF(IE18&lt;=Condition!$F$17,Condition!$D$17,IF(IE18&lt;=Condition!$F$18,Condition!$D$18,IF(IE18&gt;Condition!$E$19,Condition!$D$19,"")))))</f>
        <v>0</v>
      </c>
      <c r="IF61" s="85">
        <f>IF(IF18&lt;=Condition!$E$16,0,IF(IF18&lt;=Condition!$F$16,Condition!$D$16,IF(IF18&lt;=Condition!$F$17,Condition!$D$17,IF(IF18&lt;=Condition!$F$18,Condition!$D$18,IF(IF18&gt;Condition!$E$19,Condition!$D$19,"")))))</f>
        <v>0</v>
      </c>
      <c r="IG61" s="85">
        <f>IF(IG18&lt;=Condition!$E$16,0,IF(IG18&lt;=Condition!$F$16,Condition!$D$16,IF(IG18&lt;=Condition!$F$17,Condition!$D$17,IF(IG18&lt;=Condition!$F$18,Condition!$D$18,IF(IG18&gt;Condition!$E$19,Condition!$D$19,"")))))</f>
        <v>0</v>
      </c>
      <c r="IH61" s="85">
        <f>IF(IH18&lt;=Condition!$E$16,0,IF(IH18&lt;=Condition!$F$16,Condition!$D$16,IF(IH18&lt;=Condition!$F$17,Condition!$D$17,IF(IH18&lt;=Condition!$F$18,Condition!$D$18,IF(IH18&gt;Condition!$E$19,Condition!$D$19,"")))))</f>
        <v>0</v>
      </c>
      <c r="II61" s="85">
        <f>IF(II18&lt;=Condition!$E$16,0,IF(II18&lt;=Condition!$F$16,Condition!$D$16,IF(II18&lt;=Condition!$F$17,Condition!$D$17,IF(II18&lt;=Condition!$F$18,Condition!$D$18,IF(II18&gt;Condition!$E$19,Condition!$D$19,"")))))</f>
        <v>0</v>
      </c>
      <c r="IJ61" s="85">
        <f>IF(IJ18&lt;=Condition!$E$16,0,IF(IJ18&lt;=Condition!$F$16,Condition!$D$16,IF(IJ18&lt;=Condition!$F$17,Condition!$D$17,IF(IJ18&lt;=Condition!$F$18,Condition!$D$18,IF(IJ18&gt;Condition!$E$19,Condition!$D$19,"")))))</f>
        <v>0</v>
      </c>
      <c r="IK61" s="85">
        <f>IF(IK18&lt;=Condition!$E$16,0,IF(IK18&lt;=Condition!$F$16,Condition!$D$16,IF(IK18&lt;=Condition!$F$17,Condition!$D$17,IF(IK18&lt;=Condition!$F$18,Condition!$D$18,IF(IK18&gt;Condition!$E$19,Condition!$D$19,"")))))</f>
        <v>0</v>
      </c>
      <c r="IL61" s="85">
        <f>IF(IL18&lt;=Condition!$E$16,0,IF(IL18&lt;=Condition!$F$16,Condition!$D$16,IF(IL18&lt;=Condition!$F$17,Condition!$D$17,IF(IL18&lt;=Condition!$F$18,Condition!$D$18,IF(IL18&gt;Condition!$E$19,Condition!$D$19,"")))))</f>
        <v>0</v>
      </c>
      <c r="IM61" s="85">
        <f>IF(IM18&lt;=Condition!$E$16,0,IF(IM18&lt;=Condition!$F$16,Condition!$D$16,IF(IM18&lt;=Condition!$F$17,Condition!$D$17,IF(IM18&lt;=Condition!$F$18,Condition!$D$18,IF(IM18&gt;Condition!$E$19,Condition!$D$19,"")))))</f>
        <v>0</v>
      </c>
      <c r="IN61" s="85">
        <f>IF(IN18&lt;=Condition!$E$16,0,IF(IN18&lt;=Condition!$F$16,Condition!$D$16,IF(IN18&lt;=Condition!$F$17,Condition!$D$17,IF(IN18&lt;=Condition!$F$18,Condition!$D$18,IF(IN18&gt;Condition!$E$19,Condition!$D$19,"")))))</f>
        <v>0</v>
      </c>
      <c r="IO61" s="85">
        <f>IF(IO18&lt;=Condition!$E$16,0,IF(IO18&lt;=Condition!$F$16,Condition!$D$16,IF(IO18&lt;=Condition!$F$17,Condition!$D$17,IF(IO18&lt;=Condition!$F$18,Condition!$D$18,IF(IO18&gt;Condition!$E$19,Condition!$D$19,"")))))</f>
        <v>0</v>
      </c>
      <c r="IP61" s="85">
        <f>IF(IP18&lt;=Condition!$E$16,0,IF(IP18&lt;=Condition!$F$16,Condition!$D$16,IF(IP18&lt;=Condition!$F$17,Condition!$D$17,IF(IP18&lt;=Condition!$F$18,Condition!$D$18,IF(IP18&gt;Condition!$E$19,Condition!$D$19,"")))))</f>
        <v>0</v>
      </c>
      <c r="IQ61" s="85">
        <f>IF(IQ18&lt;=Condition!$E$16,0,IF(IQ18&lt;=Condition!$F$16,Condition!$D$16,IF(IQ18&lt;=Condition!$F$17,Condition!$D$17,IF(IQ18&lt;=Condition!$F$18,Condition!$D$18,IF(IQ18&gt;Condition!$E$19,Condition!$D$19,"")))))</f>
        <v>0</v>
      </c>
      <c r="IR61" s="85">
        <f>IF(IR18&lt;=Condition!$E$16,0,IF(IR18&lt;=Condition!$F$16,Condition!$D$16,IF(IR18&lt;=Condition!$F$17,Condition!$D$17,IF(IR18&lt;=Condition!$F$18,Condition!$D$18,IF(IR18&gt;Condition!$E$19,Condition!$D$19,"")))))</f>
        <v>0</v>
      </c>
      <c r="IS61" s="85">
        <f>IF(IS18&lt;=Condition!$E$16,0,IF(IS18&lt;=Condition!$F$16,Condition!$D$16,IF(IS18&lt;=Condition!$F$17,Condition!$D$17,IF(IS18&lt;=Condition!$F$18,Condition!$D$18,IF(IS18&gt;Condition!$E$19,Condition!$D$19,"")))))</f>
        <v>0</v>
      </c>
      <c r="IT61" s="85">
        <f>IF(IT18&lt;=Condition!$E$16,0,IF(IT18&lt;=Condition!$F$16,Condition!$D$16,IF(IT18&lt;=Condition!$F$17,Condition!$D$17,IF(IT18&lt;=Condition!$F$18,Condition!$D$18,IF(IT18&gt;Condition!$E$19,Condition!$D$19,"")))))</f>
        <v>0</v>
      </c>
      <c r="IU61" s="85">
        <f>IF(IU18&lt;=Condition!$E$16,0,IF(IU18&lt;=Condition!$F$16,Condition!$D$16,IF(IU18&lt;=Condition!$F$17,Condition!$D$17,IF(IU18&lt;=Condition!$F$18,Condition!$D$18,IF(IU18&gt;Condition!$E$19,Condition!$D$19,"")))))</f>
        <v>0</v>
      </c>
      <c r="IV61" s="85">
        <f>IF(IV18&lt;=Condition!$E$16,0,IF(IV18&lt;=Condition!$F$16,Condition!$D$16,IF(IV18&lt;=Condition!$F$17,Condition!$D$17,IF(IV18&lt;=Condition!$F$18,Condition!$D$18,IF(IV18&gt;Condition!$E$19,Condition!$D$19,"")))))</f>
        <v>0</v>
      </c>
      <c r="IW61" s="85">
        <f>IF(IW18&lt;=Condition!$E$16,0,IF(IW18&lt;=Condition!$F$16,Condition!$D$16,IF(IW18&lt;=Condition!$F$17,Condition!$D$17,IF(IW18&lt;=Condition!$F$18,Condition!$D$18,IF(IW18&gt;Condition!$E$19,Condition!$D$19,"")))))</f>
        <v>0</v>
      </c>
      <c r="IX61" s="85">
        <f>IF(IX18&lt;=Condition!$E$16,0,IF(IX18&lt;=Condition!$F$16,Condition!$D$16,IF(IX18&lt;=Condition!$F$17,Condition!$D$17,IF(IX18&lt;=Condition!$F$18,Condition!$D$18,IF(IX18&gt;Condition!$E$19,Condition!$D$19,"")))))</f>
        <v>0</v>
      </c>
      <c r="IY61" s="85">
        <f>IF(IY18&lt;=Condition!$E$16,0,IF(IY18&lt;=Condition!$F$16,Condition!$D$16,IF(IY18&lt;=Condition!$F$17,Condition!$D$17,IF(IY18&lt;=Condition!$F$18,Condition!$D$18,IF(IY18&gt;Condition!$E$19,Condition!$D$19,"")))))</f>
        <v>0</v>
      </c>
      <c r="IZ61" s="85">
        <f>IF(IZ18&lt;=Condition!$E$16,0,IF(IZ18&lt;=Condition!$F$16,Condition!$D$16,IF(IZ18&lt;=Condition!$F$17,Condition!$D$17,IF(IZ18&lt;=Condition!$F$18,Condition!$D$18,IF(IZ18&gt;Condition!$E$19,Condition!$D$19,"")))))</f>
        <v>0</v>
      </c>
      <c r="JA61" s="85">
        <f>IF(JA18&lt;=Condition!$E$16,0,IF(JA18&lt;=Condition!$F$16,Condition!$D$16,IF(JA18&lt;=Condition!$F$17,Condition!$D$17,IF(JA18&lt;=Condition!$F$18,Condition!$D$18,IF(JA18&gt;Condition!$E$19,Condition!$D$19,"")))))</f>
        <v>0</v>
      </c>
      <c r="JB61" s="85">
        <f>IF(JB18&lt;=Condition!$E$16,0,IF(JB18&lt;=Condition!$F$16,Condition!$D$16,IF(JB18&lt;=Condition!$F$17,Condition!$D$17,IF(JB18&lt;=Condition!$F$18,Condition!$D$18,IF(JB18&gt;Condition!$E$19,Condition!$D$19,"")))))</f>
        <v>0</v>
      </c>
      <c r="JC61" s="85">
        <f>IF(JC18&lt;=Condition!$E$16,0,IF(JC18&lt;=Condition!$F$16,Condition!$D$16,IF(JC18&lt;=Condition!$F$17,Condition!$D$17,IF(JC18&lt;=Condition!$F$18,Condition!$D$18,IF(JC18&gt;Condition!$E$19,Condition!$D$19,"")))))</f>
        <v>0</v>
      </c>
      <c r="JD61" s="85">
        <f>IF(JD18&lt;=Condition!$E$16,0,IF(JD18&lt;=Condition!$F$16,Condition!$D$16,IF(JD18&lt;=Condition!$F$17,Condition!$D$17,IF(JD18&lt;=Condition!$F$18,Condition!$D$18,IF(JD18&gt;Condition!$E$19,Condition!$D$19,"")))))</f>
        <v>0</v>
      </c>
      <c r="JE61" s="85">
        <f>IF(JE18&lt;=Condition!$E$16,0,IF(JE18&lt;=Condition!$F$16,Condition!$D$16,IF(JE18&lt;=Condition!$F$17,Condition!$D$17,IF(JE18&lt;=Condition!$F$18,Condition!$D$18,IF(JE18&gt;Condition!$E$19,Condition!$D$19,"")))))</f>
        <v>0</v>
      </c>
      <c r="JF61" s="85">
        <f>IF(JF18&lt;=Condition!$E$16,0,IF(JF18&lt;=Condition!$F$16,Condition!$D$16,IF(JF18&lt;=Condition!$F$17,Condition!$D$17,IF(JF18&lt;=Condition!$F$18,Condition!$D$18,IF(JF18&gt;Condition!$E$19,Condition!$D$19,"")))))</f>
        <v>0</v>
      </c>
      <c r="JG61" s="85">
        <f>IF(JG18&lt;=Condition!$E$16,0,IF(JG18&lt;=Condition!$F$16,Condition!$D$16,IF(JG18&lt;=Condition!$F$17,Condition!$D$17,IF(JG18&lt;=Condition!$F$18,Condition!$D$18,IF(JG18&gt;Condition!$E$19,Condition!$D$19,"")))))</f>
        <v>0</v>
      </c>
      <c r="JH61" s="85">
        <f>IF(JH18&lt;=Condition!$E$16,0,IF(JH18&lt;=Condition!$F$16,Condition!$D$16,IF(JH18&lt;=Condition!$F$17,Condition!$D$17,IF(JH18&lt;=Condition!$F$18,Condition!$D$18,IF(JH18&gt;Condition!$E$19,Condition!$D$19,"")))))</f>
        <v>0</v>
      </c>
      <c r="JI61" s="85">
        <f>IF(JI18&lt;=Condition!$E$16,0,IF(JI18&lt;=Condition!$F$16,Condition!$D$16,IF(JI18&lt;=Condition!$F$17,Condition!$D$17,IF(JI18&lt;=Condition!$F$18,Condition!$D$18,IF(JI18&gt;Condition!$E$19,Condition!$D$19,"")))))</f>
        <v>0</v>
      </c>
      <c r="JJ61" s="85">
        <f>IF(JJ18&lt;=Condition!$E$16,0,IF(JJ18&lt;=Condition!$F$16,Condition!$D$16,IF(JJ18&lt;=Condition!$F$17,Condition!$D$17,IF(JJ18&lt;=Condition!$F$18,Condition!$D$18,IF(JJ18&gt;Condition!$E$19,Condition!$D$19,"")))))</f>
        <v>0</v>
      </c>
      <c r="JK61" s="85">
        <f>IF(JK18&lt;=Condition!$E$16,0,IF(JK18&lt;=Condition!$F$16,Condition!$D$16,IF(JK18&lt;=Condition!$F$17,Condition!$D$17,IF(JK18&lt;=Condition!$F$18,Condition!$D$18,IF(JK18&gt;Condition!$E$19,Condition!$D$19,"")))))</f>
        <v>0</v>
      </c>
      <c r="JL61" s="85">
        <f>IF(JL18&lt;=Condition!$E$16,0,IF(JL18&lt;=Condition!$F$16,Condition!$D$16,IF(JL18&lt;=Condition!$F$17,Condition!$D$17,IF(JL18&lt;=Condition!$F$18,Condition!$D$18,IF(JL18&gt;Condition!$E$19,Condition!$D$19,"")))))</f>
        <v>0</v>
      </c>
      <c r="JM61" s="85">
        <f>IF(JM18&lt;=Condition!$E$16,0,IF(JM18&lt;=Condition!$F$16,Condition!$D$16,IF(JM18&lt;=Condition!$F$17,Condition!$D$17,IF(JM18&lt;=Condition!$F$18,Condition!$D$18,IF(JM18&gt;Condition!$E$19,Condition!$D$19,"")))))</f>
        <v>0</v>
      </c>
      <c r="JN61" s="85">
        <f>IF(JN18&lt;=Condition!$E$16,0,IF(JN18&lt;=Condition!$F$16,Condition!$D$16,IF(JN18&lt;=Condition!$F$17,Condition!$D$17,IF(JN18&lt;=Condition!$F$18,Condition!$D$18,IF(JN18&gt;Condition!$E$19,Condition!$D$19,"")))))</f>
        <v>0</v>
      </c>
      <c r="JO61" s="85">
        <f>IF(JO18&lt;=Condition!$E$16,0,IF(JO18&lt;=Condition!$F$16,Condition!$D$16,IF(JO18&lt;=Condition!$F$17,Condition!$D$17,IF(JO18&lt;=Condition!$F$18,Condition!$D$18,IF(JO18&gt;Condition!$E$19,Condition!$D$19,"")))))</f>
        <v>0</v>
      </c>
      <c r="JP61" s="85">
        <f>IF(JP18&lt;=Condition!$E$16,0,IF(JP18&lt;=Condition!$F$16,Condition!$D$16,IF(JP18&lt;=Condition!$F$17,Condition!$D$17,IF(JP18&lt;=Condition!$F$18,Condition!$D$18,IF(JP18&gt;Condition!$E$19,Condition!$D$19,"")))))</f>
        <v>0</v>
      </c>
      <c r="JQ61" s="85">
        <f>IF(JQ18&lt;=Condition!$E$16,0,IF(JQ18&lt;=Condition!$F$16,Condition!$D$16,IF(JQ18&lt;=Condition!$F$17,Condition!$D$17,IF(JQ18&lt;=Condition!$F$18,Condition!$D$18,IF(JQ18&gt;Condition!$E$19,Condition!$D$19,"")))))</f>
        <v>0</v>
      </c>
      <c r="JR61" s="85">
        <f>IF(JR18&lt;=Condition!$E$16,0,IF(JR18&lt;=Condition!$F$16,Condition!$D$16,IF(JR18&lt;=Condition!$F$17,Condition!$D$17,IF(JR18&lt;=Condition!$F$18,Condition!$D$18,IF(JR18&gt;Condition!$E$19,Condition!$D$19,"")))))</f>
        <v>0</v>
      </c>
      <c r="JS61" s="85">
        <f>IF(JS18&lt;=Condition!$E$16,0,IF(JS18&lt;=Condition!$F$16,Condition!$D$16,IF(JS18&lt;=Condition!$F$17,Condition!$D$17,IF(JS18&lt;=Condition!$F$18,Condition!$D$18,IF(JS18&gt;Condition!$E$19,Condition!$D$19,"")))))</f>
        <v>0</v>
      </c>
      <c r="JT61" s="85">
        <f>IF(JT18&lt;=Condition!$E$16,0,IF(JT18&lt;=Condition!$F$16,Condition!$D$16,IF(JT18&lt;=Condition!$F$17,Condition!$D$17,IF(JT18&lt;=Condition!$F$18,Condition!$D$18,IF(JT18&gt;Condition!$E$19,Condition!$D$19,"")))))</f>
        <v>0</v>
      </c>
      <c r="JU61" s="85">
        <f>IF(JU18&lt;=Condition!$E$16,0,IF(JU18&lt;=Condition!$F$16,Condition!$D$16,IF(JU18&lt;=Condition!$F$17,Condition!$D$17,IF(JU18&lt;=Condition!$F$18,Condition!$D$18,IF(JU18&gt;Condition!$E$19,Condition!$D$19,"")))))</f>
        <v>0</v>
      </c>
      <c r="JV61" s="85">
        <f>IF(JV18&lt;=Condition!$E$16,0,IF(JV18&lt;=Condition!$F$16,Condition!$D$16,IF(JV18&lt;=Condition!$F$17,Condition!$D$17,IF(JV18&lt;=Condition!$F$18,Condition!$D$18,IF(JV18&gt;Condition!$E$19,Condition!$D$19,"")))))</f>
        <v>0</v>
      </c>
      <c r="JW61" s="85">
        <f>IF(JW18&lt;=Condition!$E$16,0,IF(JW18&lt;=Condition!$F$16,Condition!$D$16,IF(JW18&lt;=Condition!$F$17,Condition!$D$17,IF(JW18&lt;=Condition!$F$18,Condition!$D$18,IF(JW18&gt;Condition!$E$19,Condition!$D$19,"")))))</f>
        <v>0</v>
      </c>
      <c r="JX61" s="85">
        <f>IF(JX18&lt;=Condition!$E$16,0,IF(JX18&lt;=Condition!$F$16,Condition!$D$16,IF(JX18&lt;=Condition!$F$17,Condition!$D$17,IF(JX18&lt;=Condition!$F$18,Condition!$D$18,IF(JX18&gt;Condition!$E$19,Condition!$D$19,"")))))</f>
        <v>0</v>
      </c>
      <c r="JY61" s="85">
        <f>IF(JY18&lt;=Condition!$E$16,0,IF(JY18&lt;=Condition!$F$16,Condition!$D$16,IF(JY18&lt;=Condition!$F$17,Condition!$D$17,IF(JY18&lt;=Condition!$F$18,Condition!$D$18,IF(JY18&gt;Condition!$E$19,Condition!$D$19,"")))))</f>
        <v>0</v>
      </c>
      <c r="JZ61" s="85">
        <f>IF(JZ18&lt;=Condition!$E$16,0,IF(JZ18&lt;=Condition!$F$16,Condition!$D$16,IF(JZ18&lt;=Condition!$F$17,Condition!$D$17,IF(JZ18&lt;=Condition!$F$18,Condition!$D$18,IF(JZ18&gt;Condition!$E$19,Condition!$D$19,"")))))</f>
        <v>0</v>
      </c>
      <c r="KA61" s="85">
        <f>IF(KA18&lt;=Condition!$E$16,0,IF(KA18&lt;=Condition!$F$16,Condition!$D$16,IF(KA18&lt;=Condition!$F$17,Condition!$D$17,IF(KA18&lt;=Condition!$F$18,Condition!$D$18,IF(KA18&gt;Condition!$E$19,Condition!$D$19,"")))))</f>
        <v>0</v>
      </c>
      <c r="KB61" s="85">
        <f>IF(KB18&lt;=Condition!$E$16,0,IF(KB18&lt;=Condition!$F$16,Condition!$D$16,IF(KB18&lt;=Condition!$F$17,Condition!$D$17,IF(KB18&lt;=Condition!$F$18,Condition!$D$18,IF(KB18&gt;Condition!$E$19,Condition!$D$19,"")))))</f>
        <v>0</v>
      </c>
      <c r="KC61" s="85">
        <f>IF(KC18&lt;=Condition!$E$16,0,IF(KC18&lt;=Condition!$F$16,Condition!$D$16,IF(KC18&lt;=Condition!$F$17,Condition!$D$17,IF(KC18&lt;=Condition!$F$18,Condition!$D$18,IF(KC18&gt;Condition!$E$19,Condition!$D$19,"")))))</f>
        <v>0</v>
      </c>
      <c r="KD61" s="85">
        <f>IF(KD18&lt;=Condition!$E$16,0,IF(KD18&lt;=Condition!$F$16,Condition!$D$16,IF(KD18&lt;=Condition!$F$17,Condition!$D$17,IF(KD18&lt;=Condition!$F$18,Condition!$D$18,IF(KD18&gt;Condition!$E$19,Condition!$D$19,"")))))</f>
        <v>0</v>
      </c>
      <c r="KE61" s="85">
        <f>IF(KE18&lt;=Condition!$E$16,0,IF(KE18&lt;=Condition!$F$16,Condition!$D$16,IF(KE18&lt;=Condition!$F$17,Condition!$D$17,IF(KE18&lt;=Condition!$F$18,Condition!$D$18,IF(KE18&gt;Condition!$E$19,Condition!$D$19,"")))))</f>
        <v>0</v>
      </c>
      <c r="KF61" s="85">
        <f>IF(KF18&lt;=Condition!$E$16,0,IF(KF18&lt;=Condition!$F$16,Condition!$D$16,IF(KF18&lt;=Condition!$F$17,Condition!$D$17,IF(KF18&lt;=Condition!$F$18,Condition!$D$18,IF(KF18&gt;Condition!$E$19,Condition!$D$19,"")))))</f>
        <v>0</v>
      </c>
      <c r="KG61" s="85">
        <f>IF(KG18&lt;=Condition!$E$16,0,IF(KG18&lt;=Condition!$F$16,Condition!$D$16,IF(KG18&lt;=Condition!$F$17,Condition!$D$17,IF(KG18&lt;=Condition!$F$18,Condition!$D$18,IF(KG18&gt;Condition!$E$19,Condition!$D$19,"")))))</f>
        <v>0</v>
      </c>
      <c r="KH61" s="85">
        <f>IF(KH18&lt;=Condition!$E$16,0,IF(KH18&lt;=Condition!$F$16,Condition!$D$16,IF(KH18&lt;=Condition!$F$17,Condition!$D$17,IF(KH18&lt;=Condition!$F$18,Condition!$D$18,IF(KH18&gt;Condition!$E$19,Condition!$D$19,"")))))</f>
        <v>0</v>
      </c>
      <c r="KI61" s="85">
        <f>IF(KI18&lt;=Condition!$E$16,0,IF(KI18&lt;=Condition!$F$16,Condition!$D$16,IF(KI18&lt;=Condition!$F$17,Condition!$D$17,IF(KI18&lt;=Condition!$F$18,Condition!$D$18,IF(KI18&gt;Condition!$E$19,Condition!$D$19,"")))))</f>
        <v>0</v>
      </c>
    </row>
    <row r="62" spans="2:295" x14ac:dyDescent="0.25">
      <c r="B62" s="15">
        <f t="shared" ref="B62:E62" si="17">B19</f>
        <v>7</v>
      </c>
      <c r="C62" s="25" t="str">
        <f t="shared" si="17"/>
        <v>DSL-DHK</v>
      </c>
      <c r="D62" s="25" t="str">
        <f t="shared" si="17"/>
        <v>Abdullah Al Mahmud</v>
      </c>
      <c r="E62" s="26">
        <f t="shared" si="17"/>
        <v>5692</v>
      </c>
      <c r="F62" s="112">
        <f t="shared" si="4"/>
        <v>4200</v>
      </c>
      <c r="G62" s="112">
        <f t="shared" si="5"/>
        <v>0</v>
      </c>
      <c r="H62" s="85">
        <f>IF(H19&lt;=Condition!$E$16,0,IF(H19&lt;=Condition!$F$16,Condition!$D$16,IF(H19&lt;=Condition!$F$17,Condition!$D$17,IF(H19&lt;=Condition!$F$18,Condition!$D$18,IF(H19&gt;Condition!$E$19,Condition!$D$19,"")))))</f>
        <v>150</v>
      </c>
      <c r="I62" s="85">
        <f>IF(I19&lt;=Condition!$E$16,0,IF(I19&lt;=Condition!$F$16,Condition!$D$16,IF(I19&lt;=Condition!$F$17,Condition!$D$17,IF(I19&lt;=Condition!$F$18,Condition!$D$18,IF(I19&gt;Condition!$E$19,Condition!$D$19,"")))))</f>
        <v>0</v>
      </c>
      <c r="J62" s="85">
        <f>IF(J19&lt;=Condition!$E$16,0,IF(J19&lt;=Condition!$F$16,Condition!$D$16,IF(J19&lt;=Condition!$F$17,Condition!$D$17,IF(J19&lt;=Condition!$F$18,Condition!$D$18,IF(J19&gt;Condition!$E$19,Condition!$D$19,"")))))</f>
        <v>300</v>
      </c>
      <c r="K62" s="85">
        <f>IF(K19&lt;=Condition!$E$16,0,IF(K19&lt;=Condition!$F$16,Condition!$D$16,IF(K19&lt;=Condition!$F$17,Condition!$D$17,IF(K19&lt;=Condition!$F$18,Condition!$D$18,IF(K19&gt;Condition!$E$19,Condition!$D$19,"")))))</f>
        <v>0</v>
      </c>
      <c r="L62" s="85">
        <f>IF(L19&lt;=Condition!$E$16,0,IF(L19&lt;=Condition!$F$16,Condition!$D$16,IF(L19&lt;=Condition!$F$17,Condition!$D$17,IF(L19&lt;=Condition!$F$18,Condition!$D$18,IF(L19&gt;Condition!$E$19,Condition!$D$19,"")))))</f>
        <v>150</v>
      </c>
      <c r="M62" s="85">
        <f>IF(M19&lt;=Condition!$E$16,0,IF(M19&lt;=Condition!$F$16,Condition!$D$16,IF(M19&lt;=Condition!$F$17,Condition!$D$17,IF(M19&lt;=Condition!$F$18,Condition!$D$18,IF(M19&gt;Condition!$E$19,Condition!$D$19,"")))))</f>
        <v>0</v>
      </c>
      <c r="N62" s="85">
        <f>IF(N19&lt;=Condition!$E$16,0,IF(N19&lt;=Condition!$F$16,Condition!$D$16,IF(N19&lt;=Condition!$F$17,Condition!$D$17,IF(N19&lt;=Condition!$F$18,Condition!$D$18,IF(N19&gt;Condition!$E$19,Condition!$D$19,"")))))</f>
        <v>150</v>
      </c>
      <c r="O62" s="85">
        <f>IF(O19&lt;=Condition!$E$16,0,IF(O19&lt;=Condition!$F$16,Condition!$D$16,IF(O19&lt;=Condition!$F$17,Condition!$D$17,IF(O19&lt;=Condition!$F$18,Condition!$D$18,IF(O19&gt;Condition!$E$19,Condition!$D$19,"")))))</f>
        <v>0</v>
      </c>
      <c r="P62" s="85">
        <f>IF(P19&lt;=Condition!$E$16,0,IF(P19&lt;=Condition!$F$16,Condition!$D$16,IF(P19&lt;=Condition!$F$17,Condition!$D$17,IF(P19&lt;=Condition!$F$18,Condition!$D$18,IF(P19&gt;Condition!$E$19,Condition!$D$19,"")))))</f>
        <v>150</v>
      </c>
      <c r="Q62" s="85">
        <f>IF(Q19&lt;=Condition!$E$16,0,IF(Q19&lt;=Condition!$F$16,Condition!$D$16,IF(Q19&lt;=Condition!$F$17,Condition!$D$17,IF(Q19&lt;=Condition!$F$18,Condition!$D$18,IF(Q19&gt;Condition!$E$19,Condition!$D$19,"")))))</f>
        <v>0</v>
      </c>
      <c r="R62" s="85">
        <f>IF(R19&lt;=Condition!$E$16,0,IF(R19&lt;=Condition!$F$16,Condition!$D$16,IF(R19&lt;=Condition!$F$17,Condition!$D$17,IF(R19&lt;=Condition!$F$18,Condition!$D$18,IF(R19&gt;Condition!$E$19,Condition!$D$19,"")))))</f>
        <v>300</v>
      </c>
      <c r="S62" s="85">
        <f>IF(S19&lt;=Condition!$E$16,0,IF(S19&lt;=Condition!$F$16,Condition!$D$16,IF(S19&lt;=Condition!$F$17,Condition!$D$17,IF(S19&lt;=Condition!$F$18,Condition!$D$18,IF(S19&gt;Condition!$E$19,Condition!$D$19,"")))))</f>
        <v>0</v>
      </c>
      <c r="T62" s="85">
        <f>IF(T19&lt;=Condition!$E$16,0,IF(T19&lt;=Condition!$F$16,Condition!$D$16,IF(T19&lt;=Condition!$F$17,Condition!$D$17,IF(T19&lt;=Condition!$F$18,Condition!$D$18,IF(T19&gt;Condition!$E$19,Condition!$D$19,"")))))</f>
        <v>400</v>
      </c>
      <c r="U62" s="85">
        <f>IF(U19&lt;=Condition!$E$16,0,IF(U19&lt;=Condition!$F$16,Condition!$D$16,IF(U19&lt;=Condition!$F$17,Condition!$D$17,IF(U19&lt;=Condition!$F$18,Condition!$D$18,IF(U19&gt;Condition!$E$19,Condition!$D$19,"")))))</f>
        <v>0</v>
      </c>
      <c r="V62" s="85">
        <f>IF(V19&lt;=Condition!$E$16,0,IF(V19&lt;=Condition!$F$16,Condition!$D$16,IF(V19&lt;=Condition!$F$17,Condition!$D$17,IF(V19&lt;=Condition!$F$18,Condition!$D$18,IF(V19&gt;Condition!$E$19,Condition!$D$19,"")))))</f>
        <v>400</v>
      </c>
      <c r="W62" s="85">
        <f>IF(W19&lt;=Condition!$E$16,0,IF(W19&lt;=Condition!$F$16,Condition!$D$16,IF(W19&lt;=Condition!$F$17,Condition!$D$17,IF(W19&lt;=Condition!$F$18,Condition!$D$18,IF(W19&gt;Condition!$E$19,Condition!$D$19,"")))))</f>
        <v>0</v>
      </c>
      <c r="X62" s="85">
        <f>IF(X19&lt;=Condition!$E$16,0,IF(X19&lt;=Condition!$F$16,Condition!$D$16,IF(X19&lt;=Condition!$F$17,Condition!$D$17,IF(X19&lt;=Condition!$F$18,Condition!$D$18,IF(X19&gt;Condition!$E$19,Condition!$D$19,"")))))</f>
        <v>400</v>
      </c>
      <c r="Y62" s="85">
        <f>IF(Y19&lt;=Condition!$E$16,0,IF(Y19&lt;=Condition!$F$16,Condition!$D$16,IF(Y19&lt;=Condition!$F$17,Condition!$D$17,IF(Y19&lt;=Condition!$F$18,Condition!$D$18,IF(Y19&gt;Condition!$E$19,Condition!$D$19,"")))))</f>
        <v>0</v>
      </c>
      <c r="Z62" s="85">
        <f>IF(Z19&lt;=Condition!$E$16,0,IF(Z19&lt;=Condition!$F$16,Condition!$D$16,IF(Z19&lt;=Condition!$F$17,Condition!$D$17,IF(Z19&lt;=Condition!$F$18,Condition!$D$18,IF(Z19&gt;Condition!$E$19,Condition!$D$19,"")))))</f>
        <v>150</v>
      </c>
      <c r="AA62" s="85">
        <f>IF(AA19&lt;=Condition!$E$16,0,IF(AA19&lt;=Condition!$F$16,Condition!$D$16,IF(AA19&lt;=Condition!$F$17,Condition!$D$17,IF(AA19&lt;=Condition!$F$18,Condition!$D$18,IF(AA19&gt;Condition!$E$19,Condition!$D$19,"")))))</f>
        <v>0</v>
      </c>
      <c r="AB62" s="85">
        <f>IF(AB19&lt;=Condition!$E$16,0,IF(AB19&lt;=Condition!$F$16,Condition!$D$16,IF(AB19&lt;=Condition!$F$17,Condition!$D$17,IF(AB19&lt;=Condition!$F$18,Condition!$D$18,IF(AB19&gt;Condition!$E$19,Condition!$D$19,"")))))</f>
        <v>150</v>
      </c>
      <c r="AC62" s="85">
        <f>IF(AC19&lt;=Condition!$E$16,0,IF(AC19&lt;=Condition!$F$16,Condition!$D$16,IF(AC19&lt;=Condition!$F$17,Condition!$D$17,IF(AC19&lt;=Condition!$F$18,Condition!$D$18,IF(AC19&gt;Condition!$E$19,Condition!$D$19,"")))))</f>
        <v>0</v>
      </c>
      <c r="AD62" s="85">
        <f>IF(AD19&lt;=Condition!$E$16,0,IF(AD19&lt;=Condition!$F$16,Condition!$D$16,IF(AD19&lt;=Condition!$F$17,Condition!$D$17,IF(AD19&lt;=Condition!$F$18,Condition!$D$18,IF(AD19&gt;Condition!$E$19,Condition!$D$19,"")))))</f>
        <v>150</v>
      </c>
      <c r="AE62" s="85">
        <f>IF(AE19&lt;=Condition!$E$16,0,IF(AE19&lt;=Condition!$F$16,Condition!$D$16,IF(AE19&lt;=Condition!$F$17,Condition!$D$17,IF(AE19&lt;=Condition!$F$18,Condition!$D$18,IF(AE19&gt;Condition!$E$19,Condition!$D$19,"")))))</f>
        <v>0</v>
      </c>
      <c r="AF62" s="85">
        <f>IF(AF19&lt;=Condition!$E$16,0,IF(AF19&lt;=Condition!$F$16,Condition!$D$16,IF(AF19&lt;=Condition!$F$17,Condition!$D$17,IF(AF19&lt;=Condition!$F$18,Condition!$D$18,IF(AF19&gt;Condition!$E$19,Condition!$D$19,"")))))</f>
        <v>150</v>
      </c>
      <c r="AG62" s="85">
        <f>IF(AG19&lt;=Condition!$E$16,0,IF(AG19&lt;=Condition!$F$16,Condition!$D$16,IF(AG19&lt;=Condition!$F$17,Condition!$D$17,IF(AG19&lt;=Condition!$F$18,Condition!$D$18,IF(AG19&gt;Condition!$E$19,Condition!$D$19,"")))))</f>
        <v>0</v>
      </c>
      <c r="AH62" s="85">
        <f>IF(AH19&lt;=Condition!$E$16,0,IF(AH19&lt;=Condition!$F$16,Condition!$D$16,IF(AH19&lt;=Condition!$F$17,Condition!$D$17,IF(AH19&lt;=Condition!$F$18,Condition!$D$18,IF(AH19&gt;Condition!$E$19,Condition!$D$19,"")))))</f>
        <v>150</v>
      </c>
      <c r="AI62" s="85">
        <f>IF(AI19&lt;=Condition!$E$16,0,IF(AI19&lt;=Condition!$F$16,Condition!$D$16,IF(AI19&lt;=Condition!$F$17,Condition!$D$17,IF(AI19&lt;=Condition!$F$18,Condition!$D$18,IF(AI19&gt;Condition!$E$19,Condition!$D$19,"")))))</f>
        <v>0</v>
      </c>
      <c r="AJ62" s="85">
        <f>IF(AJ19&lt;=Condition!$E$16,0,IF(AJ19&lt;=Condition!$F$16,Condition!$D$16,IF(AJ19&lt;=Condition!$F$17,Condition!$D$17,IF(AJ19&lt;=Condition!$F$18,Condition!$D$18,IF(AJ19&gt;Condition!$E$19,Condition!$D$19,"")))))</f>
        <v>150</v>
      </c>
      <c r="AK62" s="85">
        <f>IF(AK19&lt;=Condition!$E$16,0,IF(AK19&lt;=Condition!$F$16,Condition!$D$16,IF(AK19&lt;=Condition!$F$17,Condition!$D$17,IF(AK19&lt;=Condition!$F$18,Condition!$D$18,IF(AK19&gt;Condition!$E$19,Condition!$D$19,"")))))</f>
        <v>0</v>
      </c>
      <c r="AL62" s="85">
        <f>IF(AL19&lt;=Condition!$E$16,0,IF(AL19&lt;=Condition!$F$16,Condition!$D$16,IF(AL19&lt;=Condition!$F$17,Condition!$D$17,IF(AL19&lt;=Condition!$F$18,Condition!$D$18,IF(AL19&gt;Condition!$E$19,Condition!$D$19,"")))))</f>
        <v>150</v>
      </c>
      <c r="AM62" s="85">
        <f>IF(AM19&lt;=Condition!$E$16,0,IF(AM19&lt;=Condition!$F$16,Condition!$D$16,IF(AM19&lt;=Condition!$F$17,Condition!$D$17,IF(AM19&lt;=Condition!$F$18,Condition!$D$18,IF(AM19&gt;Condition!$E$19,Condition!$D$19,"")))))</f>
        <v>0</v>
      </c>
      <c r="AN62" s="85">
        <f>IF(AN19&lt;=Condition!$E$16,0,IF(AN19&lt;=Condition!$F$16,Condition!$D$16,IF(AN19&lt;=Condition!$F$17,Condition!$D$17,IF(AN19&lt;=Condition!$F$18,Condition!$D$18,IF(AN19&gt;Condition!$E$19,Condition!$D$19,"")))))</f>
        <v>150</v>
      </c>
      <c r="AO62" s="85">
        <f>IF(AO19&lt;=Condition!$E$16,0,IF(AO19&lt;=Condition!$F$16,Condition!$D$16,IF(AO19&lt;=Condition!$F$17,Condition!$D$17,IF(AO19&lt;=Condition!$F$18,Condition!$D$18,IF(AO19&gt;Condition!$E$19,Condition!$D$19,"")))))</f>
        <v>0</v>
      </c>
      <c r="AP62" s="85">
        <f>IF(AP19&lt;=Condition!$E$16,0,IF(AP19&lt;=Condition!$F$16,Condition!$D$16,IF(AP19&lt;=Condition!$F$17,Condition!$D$17,IF(AP19&lt;=Condition!$F$18,Condition!$D$18,IF(AP19&gt;Condition!$E$19,Condition!$D$19,"")))))</f>
        <v>150</v>
      </c>
      <c r="AQ62" s="85">
        <f>IF(AQ19&lt;=Condition!$E$16,0,IF(AQ19&lt;=Condition!$F$16,Condition!$D$16,IF(AQ19&lt;=Condition!$F$17,Condition!$D$17,IF(AQ19&lt;=Condition!$F$18,Condition!$D$18,IF(AQ19&gt;Condition!$E$19,Condition!$D$19,"")))))</f>
        <v>0</v>
      </c>
      <c r="AR62" s="85">
        <f>IF(AR19&lt;=Condition!$E$16,0,IF(AR19&lt;=Condition!$F$16,Condition!$D$16,IF(AR19&lt;=Condition!$F$17,Condition!$D$17,IF(AR19&lt;=Condition!$F$18,Condition!$D$18,IF(AR19&gt;Condition!$E$19,Condition!$D$19,"")))))</f>
        <v>300</v>
      </c>
      <c r="AS62" s="85">
        <f>IF(AS19&lt;=Condition!$E$16,0,IF(AS19&lt;=Condition!$F$16,Condition!$D$16,IF(AS19&lt;=Condition!$F$17,Condition!$D$17,IF(AS19&lt;=Condition!$F$18,Condition!$D$18,IF(AS19&gt;Condition!$E$19,Condition!$D$19,"")))))</f>
        <v>0</v>
      </c>
      <c r="AT62" s="85">
        <f>IF(AT19&lt;=Condition!$E$16,0,IF(AT19&lt;=Condition!$F$16,Condition!$D$16,IF(AT19&lt;=Condition!$F$17,Condition!$D$17,IF(AT19&lt;=Condition!$F$18,Condition!$D$18,IF(AT19&gt;Condition!$E$19,Condition!$D$19,"")))))</f>
        <v>150</v>
      </c>
      <c r="AU62" s="85">
        <f>IF(AU19&lt;=Condition!$E$16,0,IF(AU19&lt;=Condition!$F$16,Condition!$D$16,IF(AU19&lt;=Condition!$F$17,Condition!$D$17,IF(AU19&lt;=Condition!$F$18,Condition!$D$18,IF(AU19&gt;Condition!$E$19,Condition!$D$19,"")))))</f>
        <v>0</v>
      </c>
      <c r="AV62" s="85">
        <f>IF(AV19&lt;=Condition!$E$16,0,IF(AV19&lt;=Condition!$F$16,Condition!$D$16,IF(AV19&lt;=Condition!$F$17,Condition!$D$17,IF(AV19&lt;=Condition!$F$18,Condition!$D$18,IF(AV19&gt;Condition!$E$19,Condition!$D$19,"")))))</f>
        <v>0</v>
      </c>
      <c r="AW62" s="85">
        <f>IF(AW19&lt;=Condition!$E$16,0,IF(AW19&lt;=Condition!$F$16,Condition!$D$16,IF(AW19&lt;=Condition!$F$17,Condition!$D$17,IF(AW19&lt;=Condition!$F$18,Condition!$D$18,IF(AW19&gt;Condition!$E$19,Condition!$D$19,"")))))</f>
        <v>0</v>
      </c>
      <c r="AX62" s="85">
        <f>IF(AX19&lt;=Condition!$E$16,0,IF(AX19&lt;=Condition!$F$16,Condition!$D$16,IF(AX19&lt;=Condition!$F$17,Condition!$D$17,IF(AX19&lt;=Condition!$F$18,Condition!$D$18,IF(AX19&gt;Condition!$E$19,Condition!$D$19,"")))))</f>
        <v>0</v>
      </c>
      <c r="AY62" s="85">
        <f>IF(AY19&lt;=Condition!$E$16,0,IF(AY19&lt;=Condition!$F$16,Condition!$D$16,IF(AY19&lt;=Condition!$F$17,Condition!$D$17,IF(AY19&lt;=Condition!$F$18,Condition!$D$18,IF(AY19&gt;Condition!$E$19,Condition!$D$19,"")))))</f>
        <v>0</v>
      </c>
      <c r="AZ62" s="85">
        <f>IF(AZ19&lt;=Condition!$E$16,0,IF(AZ19&lt;=Condition!$F$16,Condition!$D$16,IF(AZ19&lt;=Condition!$F$17,Condition!$D$17,IF(AZ19&lt;=Condition!$F$18,Condition!$D$18,IF(AZ19&gt;Condition!$E$19,Condition!$D$19,"")))))</f>
        <v>0</v>
      </c>
      <c r="BA62" s="85">
        <f>IF(BA19&lt;=Condition!$E$16,0,IF(BA19&lt;=Condition!$F$16,Condition!$D$16,IF(BA19&lt;=Condition!$F$17,Condition!$D$17,IF(BA19&lt;=Condition!$F$18,Condition!$D$18,IF(BA19&gt;Condition!$E$19,Condition!$D$19,"")))))</f>
        <v>0</v>
      </c>
      <c r="BB62" s="85">
        <f>IF(BB19&lt;=Condition!$E$16,0,IF(BB19&lt;=Condition!$F$16,Condition!$D$16,IF(BB19&lt;=Condition!$F$17,Condition!$D$17,IF(BB19&lt;=Condition!$F$18,Condition!$D$18,IF(BB19&gt;Condition!$E$19,Condition!$D$19,"")))))</f>
        <v>0</v>
      </c>
      <c r="BC62" s="85">
        <f>IF(BC19&lt;=Condition!$E$16,0,IF(BC19&lt;=Condition!$F$16,Condition!$D$16,IF(BC19&lt;=Condition!$F$17,Condition!$D$17,IF(BC19&lt;=Condition!$F$18,Condition!$D$18,IF(BC19&gt;Condition!$E$19,Condition!$D$19,"")))))</f>
        <v>0</v>
      </c>
      <c r="BD62" s="85">
        <f>IF(BD19&lt;=Condition!$E$16,0,IF(BD19&lt;=Condition!$F$16,Condition!$D$16,IF(BD19&lt;=Condition!$F$17,Condition!$D$17,IF(BD19&lt;=Condition!$F$18,Condition!$D$18,IF(BD19&gt;Condition!$E$19,Condition!$D$19,"")))))</f>
        <v>0</v>
      </c>
      <c r="BE62" s="85">
        <f>IF(BE19&lt;=Condition!$E$16,0,IF(BE19&lt;=Condition!$F$16,Condition!$D$16,IF(BE19&lt;=Condition!$F$17,Condition!$D$17,IF(BE19&lt;=Condition!$F$18,Condition!$D$18,IF(BE19&gt;Condition!$E$19,Condition!$D$19,"")))))</f>
        <v>0</v>
      </c>
      <c r="BF62" s="85">
        <f>IF(BF19&lt;=Condition!$E$16,0,IF(BF19&lt;=Condition!$F$16,Condition!$D$16,IF(BF19&lt;=Condition!$F$17,Condition!$D$17,IF(BF19&lt;=Condition!$F$18,Condition!$D$18,IF(BF19&gt;Condition!$E$19,Condition!$D$19,"")))))</f>
        <v>0</v>
      </c>
      <c r="BG62" s="85">
        <f>IF(BG19&lt;=Condition!$E$16,0,IF(BG19&lt;=Condition!$F$16,Condition!$D$16,IF(BG19&lt;=Condition!$F$17,Condition!$D$17,IF(BG19&lt;=Condition!$F$18,Condition!$D$18,IF(BG19&gt;Condition!$E$19,Condition!$D$19,"")))))</f>
        <v>0</v>
      </c>
      <c r="BH62" s="85">
        <f>IF(BH19&lt;=Condition!$E$16,0,IF(BH19&lt;=Condition!$F$16,Condition!$D$16,IF(BH19&lt;=Condition!$F$17,Condition!$D$17,IF(BH19&lt;=Condition!$F$18,Condition!$D$18,IF(BH19&gt;Condition!$E$19,Condition!$D$19,"")))))</f>
        <v>0</v>
      </c>
      <c r="BI62" s="85">
        <f>IF(BI19&lt;=Condition!$E$16,0,IF(BI19&lt;=Condition!$F$16,Condition!$D$16,IF(BI19&lt;=Condition!$F$17,Condition!$D$17,IF(BI19&lt;=Condition!$F$18,Condition!$D$18,IF(BI19&gt;Condition!$E$19,Condition!$D$19,"")))))</f>
        <v>0</v>
      </c>
      <c r="BJ62" s="85">
        <f>IF(BJ19&lt;=Condition!$E$16,0,IF(BJ19&lt;=Condition!$F$16,Condition!$D$16,IF(BJ19&lt;=Condition!$F$17,Condition!$D$17,IF(BJ19&lt;=Condition!$F$18,Condition!$D$18,IF(BJ19&gt;Condition!$E$19,Condition!$D$19,"")))))</f>
        <v>0</v>
      </c>
      <c r="BK62" s="85">
        <f>IF(BK19&lt;=Condition!$E$16,0,IF(BK19&lt;=Condition!$F$16,Condition!$D$16,IF(BK19&lt;=Condition!$F$17,Condition!$D$17,IF(BK19&lt;=Condition!$F$18,Condition!$D$18,IF(BK19&gt;Condition!$E$19,Condition!$D$19,"")))))</f>
        <v>0</v>
      </c>
      <c r="BL62" s="85">
        <f>IF(BL19&lt;=Condition!$E$16,0,IF(BL19&lt;=Condition!$F$16,Condition!$D$16,IF(BL19&lt;=Condition!$F$17,Condition!$D$17,IF(BL19&lt;=Condition!$F$18,Condition!$D$18,IF(BL19&gt;Condition!$E$19,Condition!$D$19,"")))))</f>
        <v>0</v>
      </c>
      <c r="BM62" s="85">
        <f>IF(BM19&lt;=Condition!$E$16,0,IF(BM19&lt;=Condition!$F$16,Condition!$D$16,IF(BM19&lt;=Condition!$F$17,Condition!$D$17,IF(BM19&lt;=Condition!$F$18,Condition!$D$18,IF(BM19&gt;Condition!$E$19,Condition!$D$19,"")))))</f>
        <v>0</v>
      </c>
      <c r="BN62" s="85">
        <f>IF(BN19&lt;=Condition!$E$16,0,IF(BN19&lt;=Condition!$F$16,Condition!$D$16,IF(BN19&lt;=Condition!$F$17,Condition!$D$17,IF(BN19&lt;=Condition!$F$18,Condition!$D$18,IF(BN19&gt;Condition!$E$19,Condition!$D$19,"")))))</f>
        <v>0</v>
      </c>
      <c r="BO62" s="85">
        <f>IF(BO19&lt;=Condition!$E$16,0,IF(BO19&lt;=Condition!$F$16,Condition!$D$16,IF(BO19&lt;=Condition!$F$17,Condition!$D$17,IF(BO19&lt;=Condition!$F$18,Condition!$D$18,IF(BO19&gt;Condition!$E$19,Condition!$D$19,"")))))</f>
        <v>0</v>
      </c>
      <c r="BP62" s="85">
        <f>IF(BP19&lt;=Condition!$E$16,0,IF(BP19&lt;=Condition!$F$16,Condition!$D$16,IF(BP19&lt;=Condition!$F$17,Condition!$D$17,IF(BP19&lt;=Condition!$F$18,Condition!$D$18,IF(BP19&gt;Condition!$E$19,Condition!$D$19,"")))))</f>
        <v>0</v>
      </c>
      <c r="BQ62" s="85">
        <f>IF(BQ19&lt;=Condition!$E$16,0,IF(BQ19&lt;=Condition!$F$16,Condition!$D$16,IF(BQ19&lt;=Condition!$F$17,Condition!$D$17,IF(BQ19&lt;=Condition!$F$18,Condition!$D$18,IF(BQ19&gt;Condition!$E$19,Condition!$D$19,"")))))</f>
        <v>0</v>
      </c>
      <c r="BR62" s="85">
        <f>IF(BR19&lt;=Condition!$E$16,0,IF(BR19&lt;=Condition!$F$16,Condition!$D$16,IF(BR19&lt;=Condition!$F$17,Condition!$D$17,IF(BR19&lt;=Condition!$F$18,Condition!$D$18,IF(BR19&gt;Condition!$E$19,Condition!$D$19,"")))))</f>
        <v>0</v>
      </c>
      <c r="BS62" s="85">
        <f>IF(BS19&lt;=Condition!$E$16,0,IF(BS19&lt;=Condition!$F$16,Condition!$D$16,IF(BS19&lt;=Condition!$F$17,Condition!$D$17,IF(BS19&lt;=Condition!$F$18,Condition!$D$18,IF(BS19&gt;Condition!$E$19,Condition!$D$19,"")))))</f>
        <v>0</v>
      </c>
      <c r="BT62" s="85">
        <f>IF(BT19&lt;=Condition!$E$16,0,IF(BT19&lt;=Condition!$F$16,Condition!$D$16,IF(BT19&lt;=Condition!$F$17,Condition!$D$17,IF(BT19&lt;=Condition!$F$18,Condition!$D$18,IF(BT19&gt;Condition!$E$19,Condition!$D$19,"")))))</f>
        <v>0</v>
      </c>
      <c r="BU62" s="85">
        <f>IF(BU19&lt;=Condition!$E$16,0,IF(BU19&lt;=Condition!$F$16,Condition!$D$16,IF(BU19&lt;=Condition!$F$17,Condition!$D$17,IF(BU19&lt;=Condition!$F$18,Condition!$D$18,IF(BU19&gt;Condition!$E$19,Condition!$D$19,"")))))</f>
        <v>0</v>
      </c>
      <c r="BV62" s="85">
        <f>IF(BV19&lt;=Condition!$E$16,0,IF(BV19&lt;=Condition!$F$16,Condition!$D$16,IF(BV19&lt;=Condition!$F$17,Condition!$D$17,IF(BV19&lt;=Condition!$F$18,Condition!$D$18,IF(BV19&gt;Condition!$E$19,Condition!$D$19,"")))))</f>
        <v>0</v>
      </c>
      <c r="BW62" s="85">
        <f>IF(BW19&lt;=Condition!$E$16,0,IF(BW19&lt;=Condition!$F$16,Condition!$D$16,IF(BW19&lt;=Condition!$F$17,Condition!$D$17,IF(BW19&lt;=Condition!$F$18,Condition!$D$18,IF(BW19&gt;Condition!$E$19,Condition!$D$19,"")))))</f>
        <v>0</v>
      </c>
      <c r="BX62" s="85">
        <f>IF(BX19&lt;=Condition!$E$16,0,IF(BX19&lt;=Condition!$F$16,Condition!$D$16,IF(BX19&lt;=Condition!$F$17,Condition!$D$17,IF(BX19&lt;=Condition!$F$18,Condition!$D$18,IF(BX19&gt;Condition!$E$19,Condition!$D$19,"")))))</f>
        <v>0</v>
      </c>
      <c r="BY62" s="85">
        <f>IF(BY19&lt;=Condition!$E$16,0,IF(BY19&lt;=Condition!$F$16,Condition!$D$16,IF(BY19&lt;=Condition!$F$17,Condition!$D$17,IF(BY19&lt;=Condition!$F$18,Condition!$D$18,IF(BY19&gt;Condition!$E$19,Condition!$D$19,"")))))</f>
        <v>0</v>
      </c>
      <c r="BZ62" s="85">
        <f>IF(BZ19&lt;=Condition!$E$16,0,IF(BZ19&lt;=Condition!$F$16,Condition!$D$16,IF(BZ19&lt;=Condition!$F$17,Condition!$D$17,IF(BZ19&lt;=Condition!$F$18,Condition!$D$18,IF(BZ19&gt;Condition!$E$19,Condition!$D$19,"")))))</f>
        <v>0</v>
      </c>
      <c r="CA62" s="85">
        <f>IF(CA19&lt;=Condition!$E$16,0,IF(CA19&lt;=Condition!$F$16,Condition!$D$16,IF(CA19&lt;=Condition!$F$17,Condition!$D$17,IF(CA19&lt;=Condition!$F$18,Condition!$D$18,IF(CA19&gt;Condition!$E$19,Condition!$D$19,"")))))</f>
        <v>0</v>
      </c>
      <c r="CB62" s="85">
        <f>IF(CB19&lt;=Condition!$E$16,0,IF(CB19&lt;=Condition!$F$16,Condition!$D$16,IF(CB19&lt;=Condition!$F$17,Condition!$D$17,IF(CB19&lt;=Condition!$F$18,Condition!$D$18,IF(CB19&gt;Condition!$E$19,Condition!$D$19,"")))))</f>
        <v>0</v>
      </c>
      <c r="CC62" s="85">
        <f>IF(CC19&lt;=Condition!$E$16,0,IF(CC19&lt;=Condition!$F$16,Condition!$D$16,IF(CC19&lt;=Condition!$F$17,Condition!$D$17,IF(CC19&lt;=Condition!$F$18,Condition!$D$18,IF(CC19&gt;Condition!$E$19,Condition!$D$19,"")))))</f>
        <v>0</v>
      </c>
      <c r="CD62" s="85">
        <f>IF(CD19&lt;=Condition!$E$16,0,IF(CD19&lt;=Condition!$F$16,Condition!$D$16,IF(CD19&lt;=Condition!$F$17,Condition!$D$17,IF(CD19&lt;=Condition!$F$18,Condition!$D$18,IF(CD19&gt;Condition!$E$19,Condition!$D$19,"")))))</f>
        <v>0</v>
      </c>
      <c r="CE62" s="85">
        <f>IF(CE19&lt;=Condition!$E$16,0,IF(CE19&lt;=Condition!$F$16,Condition!$D$16,IF(CE19&lt;=Condition!$F$17,Condition!$D$17,IF(CE19&lt;=Condition!$F$18,Condition!$D$18,IF(CE19&gt;Condition!$E$19,Condition!$D$19,"")))))</f>
        <v>0</v>
      </c>
      <c r="CF62" s="85">
        <f>IF(CF19&lt;=Condition!$E$16,0,IF(CF19&lt;=Condition!$F$16,Condition!$D$16,IF(CF19&lt;=Condition!$F$17,Condition!$D$17,IF(CF19&lt;=Condition!$F$18,Condition!$D$18,IF(CF19&gt;Condition!$E$19,Condition!$D$19,"")))))</f>
        <v>0</v>
      </c>
      <c r="CG62" s="85">
        <f>IF(CG19&lt;=Condition!$E$16,0,IF(CG19&lt;=Condition!$F$16,Condition!$D$16,IF(CG19&lt;=Condition!$F$17,Condition!$D$17,IF(CG19&lt;=Condition!$F$18,Condition!$D$18,IF(CG19&gt;Condition!$E$19,Condition!$D$19,"")))))</f>
        <v>0</v>
      </c>
      <c r="CH62" s="85">
        <f>IF(CH19&lt;=Condition!$E$16,0,IF(CH19&lt;=Condition!$F$16,Condition!$D$16,IF(CH19&lt;=Condition!$F$17,Condition!$D$17,IF(CH19&lt;=Condition!$F$18,Condition!$D$18,IF(CH19&gt;Condition!$E$19,Condition!$D$19,"")))))</f>
        <v>0</v>
      </c>
      <c r="CI62" s="85">
        <f>IF(CI19&lt;=Condition!$E$16,0,IF(CI19&lt;=Condition!$F$16,Condition!$D$16,IF(CI19&lt;=Condition!$F$17,Condition!$D$17,IF(CI19&lt;=Condition!$F$18,Condition!$D$18,IF(CI19&gt;Condition!$E$19,Condition!$D$19,"")))))</f>
        <v>0</v>
      </c>
      <c r="CJ62" s="85">
        <f>IF(CJ19&lt;=Condition!$E$16,0,IF(CJ19&lt;=Condition!$F$16,Condition!$D$16,IF(CJ19&lt;=Condition!$F$17,Condition!$D$17,IF(CJ19&lt;=Condition!$F$18,Condition!$D$18,IF(CJ19&gt;Condition!$E$19,Condition!$D$19,"")))))</f>
        <v>0</v>
      </c>
      <c r="CK62" s="85">
        <f>IF(CK19&lt;=Condition!$E$16,0,IF(CK19&lt;=Condition!$F$16,Condition!$D$16,IF(CK19&lt;=Condition!$F$17,Condition!$D$17,IF(CK19&lt;=Condition!$F$18,Condition!$D$18,IF(CK19&gt;Condition!$E$19,Condition!$D$19,"")))))</f>
        <v>0</v>
      </c>
      <c r="CL62" s="85">
        <f>IF(CL19&lt;=Condition!$E$16,0,IF(CL19&lt;=Condition!$F$16,Condition!$D$16,IF(CL19&lt;=Condition!$F$17,Condition!$D$17,IF(CL19&lt;=Condition!$F$18,Condition!$D$18,IF(CL19&gt;Condition!$E$19,Condition!$D$19,"")))))</f>
        <v>0</v>
      </c>
      <c r="CM62" s="85">
        <f>IF(CM19&lt;=Condition!$E$16,0,IF(CM19&lt;=Condition!$F$16,Condition!$D$16,IF(CM19&lt;=Condition!$F$17,Condition!$D$17,IF(CM19&lt;=Condition!$F$18,Condition!$D$18,IF(CM19&gt;Condition!$E$19,Condition!$D$19,"")))))</f>
        <v>0</v>
      </c>
      <c r="CN62" s="85">
        <f>IF(CN19&lt;=Condition!$E$16,0,IF(CN19&lt;=Condition!$F$16,Condition!$D$16,IF(CN19&lt;=Condition!$F$17,Condition!$D$17,IF(CN19&lt;=Condition!$F$18,Condition!$D$18,IF(CN19&gt;Condition!$E$19,Condition!$D$19,"")))))</f>
        <v>0</v>
      </c>
      <c r="CO62" s="85">
        <f>IF(CO19&lt;=Condition!$E$16,0,IF(CO19&lt;=Condition!$F$16,Condition!$D$16,IF(CO19&lt;=Condition!$F$17,Condition!$D$17,IF(CO19&lt;=Condition!$F$18,Condition!$D$18,IF(CO19&gt;Condition!$E$19,Condition!$D$19,"")))))</f>
        <v>0</v>
      </c>
      <c r="CP62" s="85">
        <f>IF(CP19&lt;=Condition!$E$16,0,IF(CP19&lt;=Condition!$F$16,Condition!$D$16,IF(CP19&lt;=Condition!$F$17,Condition!$D$17,IF(CP19&lt;=Condition!$F$18,Condition!$D$18,IF(CP19&gt;Condition!$E$19,Condition!$D$19,"")))))</f>
        <v>0</v>
      </c>
      <c r="CQ62" s="85">
        <f>IF(CQ19&lt;=Condition!$E$16,0,IF(CQ19&lt;=Condition!$F$16,Condition!$D$16,IF(CQ19&lt;=Condition!$F$17,Condition!$D$17,IF(CQ19&lt;=Condition!$F$18,Condition!$D$18,IF(CQ19&gt;Condition!$E$19,Condition!$D$19,"")))))</f>
        <v>0</v>
      </c>
      <c r="CR62" s="85">
        <f>IF(CR19&lt;=Condition!$E$16,0,IF(CR19&lt;=Condition!$F$16,Condition!$D$16,IF(CR19&lt;=Condition!$F$17,Condition!$D$17,IF(CR19&lt;=Condition!$F$18,Condition!$D$18,IF(CR19&gt;Condition!$E$19,Condition!$D$19,"")))))</f>
        <v>0</v>
      </c>
      <c r="CS62" s="85">
        <f>IF(CS19&lt;=Condition!$E$16,0,IF(CS19&lt;=Condition!$F$16,Condition!$D$16,IF(CS19&lt;=Condition!$F$17,Condition!$D$17,IF(CS19&lt;=Condition!$F$18,Condition!$D$18,IF(CS19&gt;Condition!$E$19,Condition!$D$19,"")))))</f>
        <v>0</v>
      </c>
      <c r="CT62" s="85">
        <f>IF(CT19&lt;=Condition!$E$16,0,IF(CT19&lt;=Condition!$F$16,Condition!$D$16,IF(CT19&lt;=Condition!$F$17,Condition!$D$17,IF(CT19&lt;=Condition!$F$18,Condition!$D$18,IF(CT19&gt;Condition!$E$19,Condition!$D$19,"")))))</f>
        <v>0</v>
      </c>
      <c r="CU62" s="85">
        <f>IF(CU19&lt;=Condition!$E$16,0,IF(CU19&lt;=Condition!$F$16,Condition!$D$16,IF(CU19&lt;=Condition!$F$17,Condition!$D$17,IF(CU19&lt;=Condition!$F$18,Condition!$D$18,IF(CU19&gt;Condition!$E$19,Condition!$D$19,"")))))</f>
        <v>0</v>
      </c>
      <c r="CV62" s="85">
        <f>IF(CV19&lt;=Condition!$E$16,0,IF(CV19&lt;=Condition!$F$16,Condition!$D$16,IF(CV19&lt;=Condition!$F$17,Condition!$D$17,IF(CV19&lt;=Condition!$F$18,Condition!$D$18,IF(CV19&gt;Condition!$E$19,Condition!$D$19,"")))))</f>
        <v>0</v>
      </c>
      <c r="CW62" s="85">
        <f>IF(CW19&lt;=Condition!$E$16,0,IF(CW19&lt;=Condition!$F$16,Condition!$D$16,IF(CW19&lt;=Condition!$F$17,Condition!$D$17,IF(CW19&lt;=Condition!$F$18,Condition!$D$18,IF(CW19&gt;Condition!$E$19,Condition!$D$19,"")))))</f>
        <v>0</v>
      </c>
      <c r="CX62" s="85">
        <f>IF(CX19&lt;=Condition!$E$16,0,IF(CX19&lt;=Condition!$F$16,Condition!$D$16,IF(CX19&lt;=Condition!$F$17,Condition!$D$17,IF(CX19&lt;=Condition!$F$18,Condition!$D$18,IF(CX19&gt;Condition!$E$19,Condition!$D$19,"")))))</f>
        <v>0</v>
      </c>
      <c r="CY62" s="85">
        <f>IF(CY19&lt;=Condition!$E$16,0,IF(CY19&lt;=Condition!$F$16,Condition!$D$16,IF(CY19&lt;=Condition!$F$17,Condition!$D$17,IF(CY19&lt;=Condition!$F$18,Condition!$D$18,IF(CY19&gt;Condition!$E$19,Condition!$D$19,"")))))</f>
        <v>0</v>
      </c>
      <c r="CZ62" s="85">
        <f>IF(CZ19&lt;=Condition!$E$16,0,IF(CZ19&lt;=Condition!$F$16,Condition!$D$16,IF(CZ19&lt;=Condition!$F$17,Condition!$D$17,IF(CZ19&lt;=Condition!$F$18,Condition!$D$18,IF(CZ19&gt;Condition!$E$19,Condition!$D$19,"")))))</f>
        <v>0</v>
      </c>
      <c r="DA62" s="85">
        <f>IF(DA19&lt;=Condition!$E$16,0,IF(DA19&lt;=Condition!$F$16,Condition!$D$16,IF(DA19&lt;=Condition!$F$17,Condition!$D$17,IF(DA19&lt;=Condition!$F$18,Condition!$D$18,IF(DA19&gt;Condition!$E$19,Condition!$D$19,"")))))</f>
        <v>0</v>
      </c>
      <c r="DB62" s="85">
        <f>IF(DB19&lt;=Condition!$E$16,0,IF(DB19&lt;=Condition!$F$16,Condition!$D$16,IF(DB19&lt;=Condition!$F$17,Condition!$D$17,IF(DB19&lt;=Condition!$F$18,Condition!$D$18,IF(DB19&gt;Condition!$E$19,Condition!$D$19,"")))))</f>
        <v>0</v>
      </c>
      <c r="DC62" s="85">
        <f>IF(DC19&lt;=Condition!$E$16,0,IF(DC19&lt;=Condition!$F$16,Condition!$D$16,IF(DC19&lt;=Condition!$F$17,Condition!$D$17,IF(DC19&lt;=Condition!$F$18,Condition!$D$18,IF(DC19&gt;Condition!$E$19,Condition!$D$19,"")))))</f>
        <v>0</v>
      </c>
      <c r="DD62" s="85">
        <f>IF(DD19&lt;=Condition!$E$16,0,IF(DD19&lt;=Condition!$F$16,Condition!$D$16,IF(DD19&lt;=Condition!$F$17,Condition!$D$17,IF(DD19&lt;=Condition!$F$18,Condition!$D$18,IF(DD19&gt;Condition!$E$19,Condition!$D$19,"")))))</f>
        <v>0</v>
      </c>
      <c r="DE62" s="85">
        <f>IF(DE19&lt;=Condition!$E$16,0,IF(DE19&lt;=Condition!$F$16,Condition!$D$16,IF(DE19&lt;=Condition!$F$17,Condition!$D$17,IF(DE19&lt;=Condition!$F$18,Condition!$D$18,IF(DE19&gt;Condition!$E$19,Condition!$D$19,"")))))</f>
        <v>0</v>
      </c>
      <c r="DF62" s="85">
        <f>IF(DF19&lt;=Condition!$E$16,0,IF(DF19&lt;=Condition!$F$16,Condition!$D$16,IF(DF19&lt;=Condition!$F$17,Condition!$D$17,IF(DF19&lt;=Condition!$F$18,Condition!$D$18,IF(DF19&gt;Condition!$E$19,Condition!$D$19,"")))))</f>
        <v>0</v>
      </c>
      <c r="DG62" s="85">
        <f>IF(DG19&lt;=Condition!$E$16,0,IF(DG19&lt;=Condition!$F$16,Condition!$D$16,IF(DG19&lt;=Condition!$F$17,Condition!$D$17,IF(DG19&lt;=Condition!$F$18,Condition!$D$18,IF(DG19&gt;Condition!$E$19,Condition!$D$19,"")))))</f>
        <v>0</v>
      </c>
      <c r="DH62" s="85">
        <f>IF(DH19&lt;=Condition!$E$16,0,IF(DH19&lt;=Condition!$F$16,Condition!$D$16,IF(DH19&lt;=Condition!$F$17,Condition!$D$17,IF(DH19&lt;=Condition!$F$18,Condition!$D$18,IF(DH19&gt;Condition!$E$19,Condition!$D$19,"")))))</f>
        <v>0</v>
      </c>
      <c r="DI62" s="85">
        <f>IF(DI19&lt;=Condition!$E$16,0,IF(DI19&lt;=Condition!$F$16,Condition!$D$16,IF(DI19&lt;=Condition!$F$17,Condition!$D$17,IF(DI19&lt;=Condition!$F$18,Condition!$D$18,IF(DI19&gt;Condition!$E$19,Condition!$D$19,"")))))</f>
        <v>0</v>
      </c>
      <c r="DJ62" s="85">
        <f>IF(DJ19&lt;=Condition!$E$16,0,IF(DJ19&lt;=Condition!$F$16,Condition!$D$16,IF(DJ19&lt;=Condition!$F$17,Condition!$D$17,IF(DJ19&lt;=Condition!$F$18,Condition!$D$18,IF(DJ19&gt;Condition!$E$19,Condition!$D$19,"")))))</f>
        <v>0</v>
      </c>
      <c r="DK62" s="85">
        <f>IF(DK19&lt;=Condition!$E$16,0,IF(DK19&lt;=Condition!$F$16,Condition!$D$16,IF(DK19&lt;=Condition!$F$17,Condition!$D$17,IF(DK19&lt;=Condition!$F$18,Condition!$D$18,IF(DK19&gt;Condition!$E$19,Condition!$D$19,"")))))</f>
        <v>0</v>
      </c>
      <c r="DL62" s="85">
        <f>IF(DL19&lt;=Condition!$E$16,0,IF(DL19&lt;=Condition!$F$16,Condition!$D$16,IF(DL19&lt;=Condition!$F$17,Condition!$D$17,IF(DL19&lt;=Condition!$F$18,Condition!$D$18,IF(DL19&gt;Condition!$E$19,Condition!$D$19,"")))))</f>
        <v>0</v>
      </c>
      <c r="DM62" s="85">
        <f>IF(DM19&lt;=Condition!$E$16,0,IF(DM19&lt;=Condition!$F$16,Condition!$D$16,IF(DM19&lt;=Condition!$F$17,Condition!$D$17,IF(DM19&lt;=Condition!$F$18,Condition!$D$18,IF(DM19&gt;Condition!$E$19,Condition!$D$19,"")))))</f>
        <v>0</v>
      </c>
      <c r="DN62" s="85">
        <f>IF(DN19&lt;=Condition!$E$16,0,IF(DN19&lt;=Condition!$F$16,Condition!$D$16,IF(DN19&lt;=Condition!$F$17,Condition!$D$17,IF(DN19&lt;=Condition!$F$18,Condition!$D$18,IF(DN19&gt;Condition!$E$19,Condition!$D$19,"")))))</f>
        <v>0</v>
      </c>
      <c r="DO62" s="85">
        <f>IF(DO19&lt;=Condition!$E$16,0,IF(DO19&lt;=Condition!$F$16,Condition!$D$16,IF(DO19&lt;=Condition!$F$17,Condition!$D$17,IF(DO19&lt;=Condition!$F$18,Condition!$D$18,IF(DO19&gt;Condition!$E$19,Condition!$D$19,"")))))</f>
        <v>0</v>
      </c>
      <c r="DP62" s="85">
        <f>IF(DP19&lt;=Condition!$E$16,0,IF(DP19&lt;=Condition!$F$16,Condition!$D$16,IF(DP19&lt;=Condition!$F$17,Condition!$D$17,IF(DP19&lt;=Condition!$F$18,Condition!$D$18,IF(DP19&gt;Condition!$E$19,Condition!$D$19,"")))))</f>
        <v>0</v>
      </c>
      <c r="DQ62" s="85">
        <f>IF(DQ19&lt;=Condition!$E$16,0,IF(DQ19&lt;=Condition!$F$16,Condition!$D$16,IF(DQ19&lt;=Condition!$F$17,Condition!$D$17,IF(DQ19&lt;=Condition!$F$18,Condition!$D$18,IF(DQ19&gt;Condition!$E$19,Condition!$D$19,"")))))</f>
        <v>0</v>
      </c>
      <c r="DR62" s="85">
        <f>IF(DR19&lt;=Condition!$E$16,0,IF(DR19&lt;=Condition!$F$16,Condition!$D$16,IF(DR19&lt;=Condition!$F$17,Condition!$D$17,IF(DR19&lt;=Condition!$F$18,Condition!$D$18,IF(DR19&gt;Condition!$E$19,Condition!$D$19,"")))))</f>
        <v>0</v>
      </c>
      <c r="DS62" s="85">
        <f>IF(DS19&lt;=Condition!$E$16,0,IF(DS19&lt;=Condition!$F$16,Condition!$D$16,IF(DS19&lt;=Condition!$F$17,Condition!$D$17,IF(DS19&lt;=Condition!$F$18,Condition!$D$18,IF(DS19&gt;Condition!$E$19,Condition!$D$19,"")))))</f>
        <v>0</v>
      </c>
      <c r="DT62" s="85">
        <f>IF(DT19&lt;=Condition!$E$16,0,IF(DT19&lt;=Condition!$F$16,Condition!$D$16,IF(DT19&lt;=Condition!$F$17,Condition!$D$17,IF(DT19&lt;=Condition!$F$18,Condition!$D$18,IF(DT19&gt;Condition!$E$19,Condition!$D$19,"")))))</f>
        <v>0</v>
      </c>
      <c r="DU62" s="85">
        <f>IF(DU19&lt;=Condition!$E$16,0,IF(DU19&lt;=Condition!$F$16,Condition!$D$16,IF(DU19&lt;=Condition!$F$17,Condition!$D$17,IF(DU19&lt;=Condition!$F$18,Condition!$D$18,IF(DU19&gt;Condition!$E$19,Condition!$D$19,"")))))</f>
        <v>0</v>
      </c>
      <c r="DV62" s="85">
        <f>IF(DV19&lt;=Condition!$E$16,0,IF(DV19&lt;=Condition!$F$16,Condition!$D$16,IF(DV19&lt;=Condition!$F$17,Condition!$D$17,IF(DV19&lt;=Condition!$F$18,Condition!$D$18,IF(DV19&gt;Condition!$E$19,Condition!$D$19,"")))))</f>
        <v>0</v>
      </c>
      <c r="DW62" s="85">
        <f>IF(DW19&lt;=Condition!$E$16,0,IF(DW19&lt;=Condition!$F$16,Condition!$D$16,IF(DW19&lt;=Condition!$F$17,Condition!$D$17,IF(DW19&lt;=Condition!$F$18,Condition!$D$18,IF(DW19&gt;Condition!$E$19,Condition!$D$19,"")))))</f>
        <v>0</v>
      </c>
      <c r="DX62" s="85">
        <f>IF(DX19&lt;=Condition!$E$16,0,IF(DX19&lt;=Condition!$F$16,Condition!$D$16,IF(DX19&lt;=Condition!$F$17,Condition!$D$17,IF(DX19&lt;=Condition!$F$18,Condition!$D$18,IF(DX19&gt;Condition!$E$19,Condition!$D$19,"")))))</f>
        <v>0</v>
      </c>
      <c r="DY62" s="85">
        <f>IF(DY19&lt;=Condition!$E$16,0,IF(DY19&lt;=Condition!$F$16,Condition!$D$16,IF(DY19&lt;=Condition!$F$17,Condition!$D$17,IF(DY19&lt;=Condition!$F$18,Condition!$D$18,IF(DY19&gt;Condition!$E$19,Condition!$D$19,"")))))</f>
        <v>0</v>
      </c>
      <c r="DZ62" s="85">
        <f>IF(DZ19&lt;=Condition!$E$16,0,IF(DZ19&lt;=Condition!$F$16,Condition!$D$16,IF(DZ19&lt;=Condition!$F$17,Condition!$D$17,IF(DZ19&lt;=Condition!$F$18,Condition!$D$18,IF(DZ19&gt;Condition!$E$19,Condition!$D$19,"")))))</f>
        <v>0</v>
      </c>
      <c r="EA62" s="85">
        <f>IF(EA19&lt;=Condition!$E$16,0,IF(EA19&lt;=Condition!$F$16,Condition!$D$16,IF(EA19&lt;=Condition!$F$17,Condition!$D$17,IF(EA19&lt;=Condition!$F$18,Condition!$D$18,IF(EA19&gt;Condition!$E$19,Condition!$D$19,"")))))</f>
        <v>0</v>
      </c>
      <c r="EB62" s="85">
        <f>IF(EB19&lt;=Condition!$E$16,0,IF(EB19&lt;=Condition!$F$16,Condition!$D$16,IF(EB19&lt;=Condition!$F$17,Condition!$D$17,IF(EB19&lt;=Condition!$F$18,Condition!$D$18,IF(EB19&gt;Condition!$E$19,Condition!$D$19,"")))))</f>
        <v>0</v>
      </c>
      <c r="EC62" s="85">
        <f>IF(EC19&lt;=Condition!$E$16,0,IF(EC19&lt;=Condition!$F$16,Condition!$D$16,IF(EC19&lt;=Condition!$F$17,Condition!$D$17,IF(EC19&lt;=Condition!$F$18,Condition!$D$18,IF(EC19&gt;Condition!$E$19,Condition!$D$19,"")))))</f>
        <v>0</v>
      </c>
      <c r="ED62" s="85">
        <f>IF(ED19&lt;=Condition!$E$16,0,IF(ED19&lt;=Condition!$F$16,Condition!$D$16,IF(ED19&lt;=Condition!$F$17,Condition!$D$17,IF(ED19&lt;=Condition!$F$18,Condition!$D$18,IF(ED19&gt;Condition!$E$19,Condition!$D$19,"")))))</f>
        <v>0</v>
      </c>
      <c r="EE62" s="85">
        <f>IF(EE19&lt;=Condition!$E$16,0,IF(EE19&lt;=Condition!$F$16,Condition!$D$16,IF(EE19&lt;=Condition!$F$17,Condition!$D$17,IF(EE19&lt;=Condition!$F$18,Condition!$D$18,IF(EE19&gt;Condition!$E$19,Condition!$D$19,"")))))</f>
        <v>0</v>
      </c>
      <c r="EF62" s="85">
        <f>IF(EF19&lt;=Condition!$E$16,0,IF(EF19&lt;=Condition!$F$16,Condition!$D$16,IF(EF19&lt;=Condition!$F$17,Condition!$D$17,IF(EF19&lt;=Condition!$F$18,Condition!$D$18,IF(EF19&gt;Condition!$E$19,Condition!$D$19,"")))))</f>
        <v>0</v>
      </c>
      <c r="EG62" s="85">
        <f>IF(EG19&lt;=Condition!$E$16,0,IF(EG19&lt;=Condition!$F$16,Condition!$D$16,IF(EG19&lt;=Condition!$F$17,Condition!$D$17,IF(EG19&lt;=Condition!$F$18,Condition!$D$18,IF(EG19&gt;Condition!$E$19,Condition!$D$19,"")))))</f>
        <v>0</v>
      </c>
      <c r="EH62" s="85">
        <f>IF(EH19&lt;=Condition!$E$16,0,IF(EH19&lt;=Condition!$F$16,Condition!$D$16,IF(EH19&lt;=Condition!$F$17,Condition!$D$17,IF(EH19&lt;=Condition!$F$18,Condition!$D$18,IF(EH19&gt;Condition!$E$19,Condition!$D$19,"")))))</f>
        <v>0</v>
      </c>
      <c r="EI62" s="85">
        <f>IF(EI19&lt;=Condition!$E$16,0,IF(EI19&lt;=Condition!$F$16,Condition!$D$16,IF(EI19&lt;=Condition!$F$17,Condition!$D$17,IF(EI19&lt;=Condition!$F$18,Condition!$D$18,IF(EI19&gt;Condition!$E$19,Condition!$D$19,"")))))</f>
        <v>0</v>
      </c>
      <c r="EJ62" s="85">
        <f>IF(EJ19&lt;=Condition!$E$16,0,IF(EJ19&lt;=Condition!$F$16,Condition!$D$16,IF(EJ19&lt;=Condition!$F$17,Condition!$D$17,IF(EJ19&lt;=Condition!$F$18,Condition!$D$18,IF(EJ19&gt;Condition!$E$19,Condition!$D$19,"")))))</f>
        <v>0</v>
      </c>
      <c r="EK62" s="85">
        <f>IF(EK19&lt;=Condition!$E$16,0,IF(EK19&lt;=Condition!$F$16,Condition!$D$16,IF(EK19&lt;=Condition!$F$17,Condition!$D$17,IF(EK19&lt;=Condition!$F$18,Condition!$D$18,IF(EK19&gt;Condition!$E$19,Condition!$D$19,"")))))</f>
        <v>0</v>
      </c>
      <c r="EL62" s="85">
        <f>IF(EL19&lt;=Condition!$E$16,0,IF(EL19&lt;=Condition!$F$16,Condition!$D$16,IF(EL19&lt;=Condition!$F$17,Condition!$D$17,IF(EL19&lt;=Condition!$F$18,Condition!$D$18,IF(EL19&gt;Condition!$E$19,Condition!$D$19,"")))))</f>
        <v>0</v>
      </c>
      <c r="EM62" s="85">
        <f>IF(EM19&lt;=Condition!$E$16,0,IF(EM19&lt;=Condition!$F$16,Condition!$D$16,IF(EM19&lt;=Condition!$F$17,Condition!$D$17,IF(EM19&lt;=Condition!$F$18,Condition!$D$18,IF(EM19&gt;Condition!$E$19,Condition!$D$19,"")))))</f>
        <v>0</v>
      </c>
      <c r="EN62" s="85">
        <f>IF(EN19&lt;=Condition!$E$16,0,IF(EN19&lt;=Condition!$F$16,Condition!$D$16,IF(EN19&lt;=Condition!$F$17,Condition!$D$17,IF(EN19&lt;=Condition!$F$18,Condition!$D$18,IF(EN19&gt;Condition!$E$19,Condition!$D$19,"")))))</f>
        <v>0</v>
      </c>
      <c r="EO62" s="85">
        <f>IF(EO19&lt;=Condition!$E$16,0,IF(EO19&lt;=Condition!$F$16,Condition!$D$16,IF(EO19&lt;=Condition!$F$17,Condition!$D$17,IF(EO19&lt;=Condition!$F$18,Condition!$D$18,IF(EO19&gt;Condition!$E$19,Condition!$D$19,"")))))</f>
        <v>0</v>
      </c>
      <c r="EP62" s="85">
        <f>IF(EP19&lt;=Condition!$E$16,0,IF(EP19&lt;=Condition!$F$16,Condition!$D$16,IF(EP19&lt;=Condition!$F$17,Condition!$D$17,IF(EP19&lt;=Condition!$F$18,Condition!$D$18,IF(EP19&gt;Condition!$E$19,Condition!$D$19,"")))))</f>
        <v>0</v>
      </c>
      <c r="EQ62" s="85">
        <f>IF(EQ19&lt;=Condition!$E$16,0,IF(EQ19&lt;=Condition!$F$16,Condition!$D$16,IF(EQ19&lt;=Condition!$F$17,Condition!$D$17,IF(EQ19&lt;=Condition!$F$18,Condition!$D$18,IF(EQ19&gt;Condition!$E$19,Condition!$D$19,"")))))</f>
        <v>0</v>
      </c>
      <c r="ER62" s="85">
        <f>IF(ER19&lt;=Condition!$E$16,0,IF(ER19&lt;=Condition!$F$16,Condition!$D$16,IF(ER19&lt;=Condition!$F$17,Condition!$D$17,IF(ER19&lt;=Condition!$F$18,Condition!$D$18,IF(ER19&gt;Condition!$E$19,Condition!$D$19,"")))))</f>
        <v>0</v>
      </c>
      <c r="ES62" s="85">
        <f>IF(ES19&lt;=Condition!$E$16,0,IF(ES19&lt;=Condition!$F$16,Condition!$D$16,IF(ES19&lt;=Condition!$F$17,Condition!$D$17,IF(ES19&lt;=Condition!$F$18,Condition!$D$18,IF(ES19&gt;Condition!$E$19,Condition!$D$19,"")))))</f>
        <v>0</v>
      </c>
      <c r="ET62" s="85">
        <f>IF(ET19&lt;=Condition!$E$16,0,IF(ET19&lt;=Condition!$F$16,Condition!$D$16,IF(ET19&lt;=Condition!$F$17,Condition!$D$17,IF(ET19&lt;=Condition!$F$18,Condition!$D$18,IF(ET19&gt;Condition!$E$19,Condition!$D$19,"")))))</f>
        <v>0</v>
      </c>
      <c r="EU62" s="85">
        <f>IF(EU19&lt;=Condition!$E$16,0,IF(EU19&lt;=Condition!$F$16,Condition!$D$16,IF(EU19&lt;=Condition!$F$17,Condition!$D$17,IF(EU19&lt;=Condition!$F$18,Condition!$D$18,IF(EU19&gt;Condition!$E$19,Condition!$D$19,"")))))</f>
        <v>0</v>
      </c>
      <c r="EV62" s="85">
        <f>IF(EV19&lt;=Condition!$E$16,0,IF(EV19&lt;=Condition!$F$16,Condition!$D$16,IF(EV19&lt;=Condition!$F$17,Condition!$D$17,IF(EV19&lt;=Condition!$F$18,Condition!$D$18,IF(EV19&gt;Condition!$E$19,Condition!$D$19,"")))))</f>
        <v>0</v>
      </c>
      <c r="EW62" s="85">
        <f>IF(EW19&lt;=Condition!$E$16,0,IF(EW19&lt;=Condition!$F$16,Condition!$D$16,IF(EW19&lt;=Condition!$F$17,Condition!$D$17,IF(EW19&lt;=Condition!$F$18,Condition!$D$18,IF(EW19&gt;Condition!$E$19,Condition!$D$19,"")))))</f>
        <v>0</v>
      </c>
      <c r="EX62" s="85">
        <f>IF(EX19&lt;=Condition!$E$16,0,IF(EX19&lt;=Condition!$F$16,Condition!$D$16,IF(EX19&lt;=Condition!$F$17,Condition!$D$17,IF(EX19&lt;=Condition!$F$18,Condition!$D$18,IF(EX19&gt;Condition!$E$19,Condition!$D$19,"")))))</f>
        <v>0</v>
      </c>
      <c r="EY62" s="85">
        <f>IF(EY19&lt;=Condition!$E$16,0,IF(EY19&lt;=Condition!$F$16,Condition!$D$16,IF(EY19&lt;=Condition!$F$17,Condition!$D$17,IF(EY19&lt;=Condition!$F$18,Condition!$D$18,IF(EY19&gt;Condition!$E$19,Condition!$D$19,"")))))</f>
        <v>0</v>
      </c>
      <c r="EZ62" s="85">
        <f>IF(EZ19&lt;=Condition!$E$16,0,IF(EZ19&lt;=Condition!$F$16,Condition!$D$16,IF(EZ19&lt;=Condition!$F$17,Condition!$D$17,IF(EZ19&lt;=Condition!$F$18,Condition!$D$18,IF(EZ19&gt;Condition!$E$19,Condition!$D$19,"")))))</f>
        <v>0</v>
      </c>
      <c r="FA62" s="85">
        <f>IF(FA19&lt;=Condition!$E$16,0,IF(FA19&lt;=Condition!$F$16,Condition!$D$16,IF(FA19&lt;=Condition!$F$17,Condition!$D$17,IF(FA19&lt;=Condition!$F$18,Condition!$D$18,IF(FA19&gt;Condition!$E$19,Condition!$D$19,"")))))</f>
        <v>0</v>
      </c>
      <c r="FB62" s="85">
        <f>IF(FB19&lt;=Condition!$E$16,0,IF(FB19&lt;=Condition!$F$16,Condition!$D$16,IF(FB19&lt;=Condition!$F$17,Condition!$D$17,IF(FB19&lt;=Condition!$F$18,Condition!$D$18,IF(FB19&gt;Condition!$E$19,Condition!$D$19,"")))))</f>
        <v>0</v>
      </c>
      <c r="FC62" s="85">
        <f>IF(FC19&lt;=Condition!$E$16,0,IF(FC19&lt;=Condition!$F$16,Condition!$D$16,IF(FC19&lt;=Condition!$F$17,Condition!$D$17,IF(FC19&lt;=Condition!$F$18,Condition!$D$18,IF(FC19&gt;Condition!$E$19,Condition!$D$19,"")))))</f>
        <v>0</v>
      </c>
      <c r="FD62" s="85">
        <f>IF(FD19&lt;=Condition!$E$16,0,IF(FD19&lt;=Condition!$F$16,Condition!$D$16,IF(FD19&lt;=Condition!$F$17,Condition!$D$17,IF(FD19&lt;=Condition!$F$18,Condition!$D$18,IF(FD19&gt;Condition!$E$19,Condition!$D$19,"")))))</f>
        <v>0</v>
      </c>
      <c r="FE62" s="85">
        <f>IF(FE19&lt;=Condition!$E$16,0,IF(FE19&lt;=Condition!$F$16,Condition!$D$16,IF(FE19&lt;=Condition!$F$17,Condition!$D$17,IF(FE19&lt;=Condition!$F$18,Condition!$D$18,IF(FE19&gt;Condition!$E$19,Condition!$D$19,"")))))</f>
        <v>0</v>
      </c>
      <c r="FF62" s="85">
        <f>IF(FF19&lt;=Condition!$E$16,0,IF(FF19&lt;=Condition!$F$16,Condition!$D$16,IF(FF19&lt;=Condition!$F$17,Condition!$D$17,IF(FF19&lt;=Condition!$F$18,Condition!$D$18,IF(FF19&gt;Condition!$E$19,Condition!$D$19,"")))))</f>
        <v>0</v>
      </c>
      <c r="FG62" s="85">
        <f>IF(FG19&lt;=Condition!$E$16,0,IF(FG19&lt;=Condition!$F$16,Condition!$D$16,IF(FG19&lt;=Condition!$F$17,Condition!$D$17,IF(FG19&lt;=Condition!$F$18,Condition!$D$18,IF(FG19&gt;Condition!$E$19,Condition!$D$19,"")))))</f>
        <v>0</v>
      </c>
      <c r="FH62" s="85">
        <f>IF(FH19&lt;=Condition!$E$16,0,IF(FH19&lt;=Condition!$F$16,Condition!$D$16,IF(FH19&lt;=Condition!$F$17,Condition!$D$17,IF(FH19&lt;=Condition!$F$18,Condition!$D$18,IF(FH19&gt;Condition!$E$19,Condition!$D$19,"")))))</f>
        <v>0</v>
      </c>
      <c r="FI62" s="85">
        <f>IF(FI19&lt;=Condition!$E$16,0,IF(FI19&lt;=Condition!$F$16,Condition!$D$16,IF(FI19&lt;=Condition!$F$17,Condition!$D$17,IF(FI19&lt;=Condition!$F$18,Condition!$D$18,IF(FI19&gt;Condition!$E$19,Condition!$D$19,"")))))</f>
        <v>0</v>
      </c>
      <c r="FJ62" s="85">
        <f>IF(FJ19&lt;=Condition!$E$16,0,IF(FJ19&lt;=Condition!$F$16,Condition!$D$16,IF(FJ19&lt;=Condition!$F$17,Condition!$D$17,IF(FJ19&lt;=Condition!$F$18,Condition!$D$18,IF(FJ19&gt;Condition!$E$19,Condition!$D$19,"")))))</f>
        <v>0</v>
      </c>
      <c r="FK62" s="85">
        <f>IF(FK19&lt;=Condition!$E$16,0,IF(FK19&lt;=Condition!$F$16,Condition!$D$16,IF(FK19&lt;=Condition!$F$17,Condition!$D$17,IF(FK19&lt;=Condition!$F$18,Condition!$D$18,IF(FK19&gt;Condition!$E$19,Condition!$D$19,"")))))</f>
        <v>0</v>
      </c>
      <c r="FL62" s="85">
        <f>IF(FL19&lt;=Condition!$E$16,0,IF(FL19&lt;=Condition!$F$16,Condition!$D$16,IF(FL19&lt;=Condition!$F$17,Condition!$D$17,IF(FL19&lt;=Condition!$F$18,Condition!$D$18,IF(FL19&gt;Condition!$E$19,Condition!$D$19,"")))))</f>
        <v>0</v>
      </c>
      <c r="FM62" s="85">
        <f>IF(FM19&lt;=Condition!$E$16,0,IF(FM19&lt;=Condition!$F$16,Condition!$D$16,IF(FM19&lt;=Condition!$F$17,Condition!$D$17,IF(FM19&lt;=Condition!$F$18,Condition!$D$18,IF(FM19&gt;Condition!$E$19,Condition!$D$19,"")))))</f>
        <v>0</v>
      </c>
      <c r="FN62" s="85">
        <f>IF(FN19&lt;=Condition!$E$16,0,IF(FN19&lt;=Condition!$F$16,Condition!$D$16,IF(FN19&lt;=Condition!$F$17,Condition!$D$17,IF(FN19&lt;=Condition!$F$18,Condition!$D$18,IF(FN19&gt;Condition!$E$19,Condition!$D$19,"")))))</f>
        <v>0</v>
      </c>
      <c r="FO62" s="85">
        <f>IF(FO19&lt;=Condition!$E$16,0,IF(FO19&lt;=Condition!$F$16,Condition!$D$16,IF(FO19&lt;=Condition!$F$17,Condition!$D$17,IF(FO19&lt;=Condition!$F$18,Condition!$D$18,IF(FO19&gt;Condition!$E$19,Condition!$D$19,"")))))</f>
        <v>0</v>
      </c>
      <c r="FP62" s="85">
        <f>IF(FP19&lt;=Condition!$E$16,0,IF(FP19&lt;=Condition!$F$16,Condition!$D$16,IF(FP19&lt;=Condition!$F$17,Condition!$D$17,IF(FP19&lt;=Condition!$F$18,Condition!$D$18,IF(FP19&gt;Condition!$E$19,Condition!$D$19,"")))))</f>
        <v>0</v>
      </c>
      <c r="FQ62" s="85">
        <f>IF(FQ19&lt;=Condition!$E$16,0,IF(FQ19&lt;=Condition!$F$16,Condition!$D$16,IF(FQ19&lt;=Condition!$F$17,Condition!$D$17,IF(FQ19&lt;=Condition!$F$18,Condition!$D$18,IF(FQ19&gt;Condition!$E$19,Condition!$D$19,"")))))</f>
        <v>0</v>
      </c>
      <c r="FR62" s="85">
        <f>IF(FR19&lt;=Condition!$E$16,0,IF(FR19&lt;=Condition!$F$16,Condition!$D$16,IF(FR19&lt;=Condition!$F$17,Condition!$D$17,IF(FR19&lt;=Condition!$F$18,Condition!$D$18,IF(FR19&gt;Condition!$E$19,Condition!$D$19,"")))))</f>
        <v>0</v>
      </c>
      <c r="FS62" s="85">
        <f>IF(FS19&lt;=Condition!$E$16,0,IF(FS19&lt;=Condition!$F$16,Condition!$D$16,IF(FS19&lt;=Condition!$F$17,Condition!$D$17,IF(FS19&lt;=Condition!$F$18,Condition!$D$18,IF(FS19&gt;Condition!$E$19,Condition!$D$19,"")))))</f>
        <v>0</v>
      </c>
      <c r="FT62" s="85">
        <f>IF(FT19&lt;=Condition!$E$16,0,IF(FT19&lt;=Condition!$F$16,Condition!$D$16,IF(FT19&lt;=Condition!$F$17,Condition!$D$17,IF(FT19&lt;=Condition!$F$18,Condition!$D$18,IF(FT19&gt;Condition!$E$19,Condition!$D$19,"")))))</f>
        <v>0</v>
      </c>
      <c r="FU62" s="85">
        <f>IF(FU19&lt;=Condition!$E$16,0,IF(FU19&lt;=Condition!$F$16,Condition!$D$16,IF(FU19&lt;=Condition!$F$17,Condition!$D$17,IF(FU19&lt;=Condition!$F$18,Condition!$D$18,IF(FU19&gt;Condition!$E$19,Condition!$D$19,"")))))</f>
        <v>0</v>
      </c>
      <c r="FV62" s="85">
        <f>IF(FV19&lt;=Condition!$E$16,0,IF(FV19&lt;=Condition!$F$16,Condition!$D$16,IF(FV19&lt;=Condition!$F$17,Condition!$D$17,IF(FV19&lt;=Condition!$F$18,Condition!$D$18,IF(FV19&gt;Condition!$E$19,Condition!$D$19,"")))))</f>
        <v>0</v>
      </c>
      <c r="FW62" s="85">
        <f>IF(FW19&lt;=Condition!$E$16,0,IF(FW19&lt;=Condition!$F$16,Condition!$D$16,IF(FW19&lt;=Condition!$F$17,Condition!$D$17,IF(FW19&lt;=Condition!$F$18,Condition!$D$18,IF(FW19&gt;Condition!$E$19,Condition!$D$19,"")))))</f>
        <v>0</v>
      </c>
      <c r="FX62" s="85">
        <f>IF(FX19&lt;=Condition!$E$16,0,IF(FX19&lt;=Condition!$F$16,Condition!$D$16,IF(FX19&lt;=Condition!$F$17,Condition!$D$17,IF(FX19&lt;=Condition!$F$18,Condition!$D$18,IF(FX19&gt;Condition!$E$19,Condition!$D$19,"")))))</f>
        <v>0</v>
      </c>
      <c r="FY62" s="85">
        <f>IF(FY19&lt;=Condition!$E$16,0,IF(FY19&lt;=Condition!$F$16,Condition!$D$16,IF(FY19&lt;=Condition!$F$17,Condition!$D$17,IF(FY19&lt;=Condition!$F$18,Condition!$D$18,IF(FY19&gt;Condition!$E$19,Condition!$D$19,"")))))</f>
        <v>0</v>
      </c>
      <c r="FZ62" s="85">
        <f>IF(FZ19&lt;=Condition!$E$16,0,IF(FZ19&lt;=Condition!$F$16,Condition!$D$16,IF(FZ19&lt;=Condition!$F$17,Condition!$D$17,IF(FZ19&lt;=Condition!$F$18,Condition!$D$18,IF(FZ19&gt;Condition!$E$19,Condition!$D$19,"")))))</f>
        <v>0</v>
      </c>
      <c r="GA62" s="85">
        <f>IF(GA19&lt;=Condition!$E$16,0,IF(GA19&lt;=Condition!$F$16,Condition!$D$16,IF(GA19&lt;=Condition!$F$17,Condition!$D$17,IF(GA19&lt;=Condition!$F$18,Condition!$D$18,IF(GA19&gt;Condition!$E$19,Condition!$D$19,"")))))</f>
        <v>0</v>
      </c>
      <c r="GB62" s="85">
        <f>IF(GB19&lt;=Condition!$E$16,0,IF(GB19&lt;=Condition!$F$16,Condition!$D$16,IF(GB19&lt;=Condition!$F$17,Condition!$D$17,IF(GB19&lt;=Condition!$F$18,Condition!$D$18,IF(GB19&gt;Condition!$E$19,Condition!$D$19,"")))))</f>
        <v>0</v>
      </c>
      <c r="GC62" s="85">
        <f>IF(GC19&lt;=Condition!$E$16,0,IF(GC19&lt;=Condition!$F$16,Condition!$D$16,IF(GC19&lt;=Condition!$F$17,Condition!$D$17,IF(GC19&lt;=Condition!$F$18,Condition!$D$18,IF(GC19&gt;Condition!$E$19,Condition!$D$19,"")))))</f>
        <v>0</v>
      </c>
      <c r="GD62" s="85">
        <f>IF(GD19&lt;=Condition!$E$16,0,IF(GD19&lt;=Condition!$F$16,Condition!$D$16,IF(GD19&lt;=Condition!$F$17,Condition!$D$17,IF(GD19&lt;=Condition!$F$18,Condition!$D$18,IF(GD19&gt;Condition!$E$19,Condition!$D$19,"")))))</f>
        <v>0</v>
      </c>
      <c r="GE62" s="85">
        <f>IF(GE19&lt;=Condition!$E$16,0,IF(GE19&lt;=Condition!$F$16,Condition!$D$16,IF(GE19&lt;=Condition!$F$17,Condition!$D$17,IF(GE19&lt;=Condition!$F$18,Condition!$D$18,IF(GE19&gt;Condition!$E$19,Condition!$D$19,"")))))</f>
        <v>0</v>
      </c>
      <c r="GF62" s="85">
        <f>IF(GF19&lt;=Condition!$E$16,0,IF(GF19&lt;=Condition!$F$16,Condition!$D$16,IF(GF19&lt;=Condition!$F$17,Condition!$D$17,IF(GF19&lt;=Condition!$F$18,Condition!$D$18,IF(GF19&gt;Condition!$E$19,Condition!$D$19,"")))))</f>
        <v>0</v>
      </c>
      <c r="GG62" s="85">
        <f>IF(GG19&lt;=Condition!$E$16,0,IF(GG19&lt;=Condition!$F$16,Condition!$D$16,IF(GG19&lt;=Condition!$F$17,Condition!$D$17,IF(GG19&lt;=Condition!$F$18,Condition!$D$18,IF(GG19&gt;Condition!$E$19,Condition!$D$19,"")))))</f>
        <v>0</v>
      </c>
      <c r="GH62" s="85">
        <f>IF(GH19&lt;=Condition!$E$16,0,IF(GH19&lt;=Condition!$F$16,Condition!$D$16,IF(GH19&lt;=Condition!$F$17,Condition!$D$17,IF(GH19&lt;=Condition!$F$18,Condition!$D$18,IF(GH19&gt;Condition!$E$19,Condition!$D$19,"")))))</f>
        <v>0</v>
      </c>
      <c r="GI62" s="85">
        <f>IF(GI19&lt;=Condition!$E$16,0,IF(GI19&lt;=Condition!$F$16,Condition!$D$16,IF(GI19&lt;=Condition!$F$17,Condition!$D$17,IF(GI19&lt;=Condition!$F$18,Condition!$D$18,IF(GI19&gt;Condition!$E$19,Condition!$D$19,"")))))</f>
        <v>0</v>
      </c>
      <c r="GJ62" s="85">
        <f>IF(GJ19&lt;=Condition!$E$16,0,IF(GJ19&lt;=Condition!$F$16,Condition!$D$16,IF(GJ19&lt;=Condition!$F$17,Condition!$D$17,IF(GJ19&lt;=Condition!$F$18,Condition!$D$18,IF(GJ19&gt;Condition!$E$19,Condition!$D$19,"")))))</f>
        <v>0</v>
      </c>
      <c r="GK62" s="85">
        <f>IF(GK19&lt;=Condition!$E$16,0,IF(GK19&lt;=Condition!$F$16,Condition!$D$16,IF(GK19&lt;=Condition!$F$17,Condition!$D$17,IF(GK19&lt;=Condition!$F$18,Condition!$D$18,IF(GK19&gt;Condition!$E$19,Condition!$D$19,"")))))</f>
        <v>0</v>
      </c>
      <c r="GL62" s="85">
        <f>IF(GL19&lt;=Condition!$E$16,0,IF(GL19&lt;=Condition!$F$16,Condition!$D$16,IF(GL19&lt;=Condition!$F$17,Condition!$D$17,IF(GL19&lt;=Condition!$F$18,Condition!$D$18,IF(GL19&gt;Condition!$E$19,Condition!$D$19,"")))))</f>
        <v>0</v>
      </c>
      <c r="GM62" s="85">
        <f>IF(GM19&lt;=Condition!$E$16,0,IF(GM19&lt;=Condition!$F$16,Condition!$D$16,IF(GM19&lt;=Condition!$F$17,Condition!$D$17,IF(GM19&lt;=Condition!$F$18,Condition!$D$18,IF(GM19&gt;Condition!$E$19,Condition!$D$19,"")))))</f>
        <v>0</v>
      </c>
      <c r="GN62" s="85">
        <f>IF(GN19&lt;=Condition!$E$16,0,IF(GN19&lt;=Condition!$F$16,Condition!$D$16,IF(GN19&lt;=Condition!$F$17,Condition!$D$17,IF(GN19&lt;=Condition!$F$18,Condition!$D$18,IF(GN19&gt;Condition!$E$19,Condition!$D$19,"")))))</f>
        <v>0</v>
      </c>
      <c r="GO62" s="85">
        <f>IF(GO19&lt;=Condition!$E$16,0,IF(GO19&lt;=Condition!$F$16,Condition!$D$16,IF(GO19&lt;=Condition!$F$17,Condition!$D$17,IF(GO19&lt;=Condition!$F$18,Condition!$D$18,IF(GO19&gt;Condition!$E$19,Condition!$D$19,"")))))</f>
        <v>0</v>
      </c>
      <c r="GP62" s="85">
        <f>IF(GP19&lt;=Condition!$E$16,0,IF(GP19&lt;=Condition!$F$16,Condition!$D$16,IF(GP19&lt;=Condition!$F$17,Condition!$D$17,IF(GP19&lt;=Condition!$F$18,Condition!$D$18,IF(GP19&gt;Condition!$E$19,Condition!$D$19,"")))))</f>
        <v>0</v>
      </c>
      <c r="GQ62" s="85">
        <f>IF(GQ19&lt;=Condition!$E$16,0,IF(GQ19&lt;=Condition!$F$16,Condition!$D$16,IF(GQ19&lt;=Condition!$F$17,Condition!$D$17,IF(GQ19&lt;=Condition!$F$18,Condition!$D$18,IF(GQ19&gt;Condition!$E$19,Condition!$D$19,"")))))</f>
        <v>0</v>
      </c>
      <c r="GR62" s="85">
        <f>IF(GR19&lt;=Condition!$E$16,0,IF(GR19&lt;=Condition!$F$16,Condition!$D$16,IF(GR19&lt;=Condition!$F$17,Condition!$D$17,IF(GR19&lt;=Condition!$F$18,Condition!$D$18,IF(GR19&gt;Condition!$E$19,Condition!$D$19,"")))))</f>
        <v>0</v>
      </c>
      <c r="GS62" s="85">
        <f>IF(GS19&lt;=Condition!$E$16,0,IF(GS19&lt;=Condition!$F$16,Condition!$D$16,IF(GS19&lt;=Condition!$F$17,Condition!$D$17,IF(GS19&lt;=Condition!$F$18,Condition!$D$18,IF(GS19&gt;Condition!$E$19,Condition!$D$19,"")))))</f>
        <v>0</v>
      </c>
      <c r="GT62" s="85">
        <f>IF(GT19&lt;=Condition!$E$16,0,IF(GT19&lt;=Condition!$F$16,Condition!$D$16,IF(GT19&lt;=Condition!$F$17,Condition!$D$17,IF(GT19&lt;=Condition!$F$18,Condition!$D$18,IF(GT19&gt;Condition!$E$19,Condition!$D$19,"")))))</f>
        <v>0</v>
      </c>
      <c r="GU62" s="85">
        <f>IF(GU19&lt;=Condition!$E$16,0,IF(GU19&lt;=Condition!$F$16,Condition!$D$16,IF(GU19&lt;=Condition!$F$17,Condition!$D$17,IF(GU19&lt;=Condition!$F$18,Condition!$D$18,IF(GU19&gt;Condition!$E$19,Condition!$D$19,"")))))</f>
        <v>0</v>
      </c>
      <c r="GV62" s="85">
        <f>IF(GV19&lt;=Condition!$E$16,0,IF(GV19&lt;=Condition!$F$16,Condition!$D$16,IF(GV19&lt;=Condition!$F$17,Condition!$D$17,IF(GV19&lt;=Condition!$F$18,Condition!$D$18,IF(GV19&gt;Condition!$E$19,Condition!$D$19,"")))))</f>
        <v>0</v>
      </c>
      <c r="GW62" s="85">
        <f>IF(GW19&lt;=Condition!$E$16,0,IF(GW19&lt;=Condition!$F$16,Condition!$D$16,IF(GW19&lt;=Condition!$F$17,Condition!$D$17,IF(GW19&lt;=Condition!$F$18,Condition!$D$18,IF(GW19&gt;Condition!$E$19,Condition!$D$19,"")))))</f>
        <v>0</v>
      </c>
      <c r="GX62" s="85">
        <f>IF(GX19&lt;=Condition!$E$16,0,IF(GX19&lt;=Condition!$F$16,Condition!$D$16,IF(GX19&lt;=Condition!$F$17,Condition!$D$17,IF(GX19&lt;=Condition!$F$18,Condition!$D$18,IF(GX19&gt;Condition!$E$19,Condition!$D$19,"")))))</f>
        <v>0</v>
      </c>
      <c r="GY62" s="85">
        <f>IF(GY19&lt;=Condition!$E$16,0,IF(GY19&lt;=Condition!$F$16,Condition!$D$16,IF(GY19&lt;=Condition!$F$17,Condition!$D$17,IF(GY19&lt;=Condition!$F$18,Condition!$D$18,IF(GY19&gt;Condition!$E$19,Condition!$D$19,"")))))</f>
        <v>0</v>
      </c>
      <c r="GZ62" s="85">
        <f>IF(GZ19&lt;=Condition!$E$16,0,IF(GZ19&lt;=Condition!$F$16,Condition!$D$16,IF(GZ19&lt;=Condition!$F$17,Condition!$D$17,IF(GZ19&lt;=Condition!$F$18,Condition!$D$18,IF(GZ19&gt;Condition!$E$19,Condition!$D$19,"")))))</f>
        <v>0</v>
      </c>
      <c r="HA62" s="85">
        <f>IF(HA19&lt;=Condition!$E$16,0,IF(HA19&lt;=Condition!$F$16,Condition!$D$16,IF(HA19&lt;=Condition!$F$17,Condition!$D$17,IF(HA19&lt;=Condition!$F$18,Condition!$D$18,IF(HA19&gt;Condition!$E$19,Condition!$D$19,"")))))</f>
        <v>0</v>
      </c>
      <c r="HB62" s="85">
        <f>IF(HB19&lt;=Condition!$E$16,0,IF(HB19&lt;=Condition!$F$16,Condition!$D$16,IF(HB19&lt;=Condition!$F$17,Condition!$D$17,IF(HB19&lt;=Condition!$F$18,Condition!$D$18,IF(HB19&gt;Condition!$E$19,Condition!$D$19,"")))))</f>
        <v>0</v>
      </c>
      <c r="HC62" s="85">
        <f>IF(HC19&lt;=Condition!$E$16,0,IF(HC19&lt;=Condition!$F$16,Condition!$D$16,IF(HC19&lt;=Condition!$F$17,Condition!$D$17,IF(HC19&lt;=Condition!$F$18,Condition!$D$18,IF(HC19&gt;Condition!$E$19,Condition!$D$19,"")))))</f>
        <v>0</v>
      </c>
      <c r="HD62" s="85">
        <f>IF(HD19&lt;=Condition!$E$16,0,IF(HD19&lt;=Condition!$F$16,Condition!$D$16,IF(HD19&lt;=Condition!$F$17,Condition!$D$17,IF(HD19&lt;=Condition!$F$18,Condition!$D$18,IF(HD19&gt;Condition!$E$19,Condition!$D$19,"")))))</f>
        <v>0</v>
      </c>
      <c r="HE62" s="85">
        <f>IF(HE19&lt;=Condition!$E$16,0,IF(HE19&lt;=Condition!$F$16,Condition!$D$16,IF(HE19&lt;=Condition!$F$17,Condition!$D$17,IF(HE19&lt;=Condition!$F$18,Condition!$D$18,IF(HE19&gt;Condition!$E$19,Condition!$D$19,"")))))</f>
        <v>0</v>
      </c>
      <c r="HF62" s="85">
        <f>IF(HF19&lt;=Condition!$E$16,0,IF(HF19&lt;=Condition!$F$16,Condition!$D$16,IF(HF19&lt;=Condition!$F$17,Condition!$D$17,IF(HF19&lt;=Condition!$F$18,Condition!$D$18,IF(HF19&gt;Condition!$E$19,Condition!$D$19,"")))))</f>
        <v>0</v>
      </c>
      <c r="HG62" s="85">
        <f>IF(HG19&lt;=Condition!$E$16,0,IF(HG19&lt;=Condition!$F$16,Condition!$D$16,IF(HG19&lt;=Condition!$F$17,Condition!$D$17,IF(HG19&lt;=Condition!$F$18,Condition!$D$18,IF(HG19&gt;Condition!$E$19,Condition!$D$19,"")))))</f>
        <v>0</v>
      </c>
      <c r="HH62" s="85">
        <f>IF(HH19&lt;=Condition!$E$16,0,IF(HH19&lt;=Condition!$F$16,Condition!$D$16,IF(HH19&lt;=Condition!$F$17,Condition!$D$17,IF(HH19&lt;=Condition!$F$18,Condition!$D$18,IF(HH19&gt;Condition!$E$19,Condition!$D$19,"")))))</f>
        <v>0</v>
      </c>
      <c r="HI62" s="85">
        <f>IF(HI19&lt;=Condition!$E$16,0,IF(HI19&lt;=Condition!$F$16,Condition!$D$16,IF(HI19&lt;=Condition!$F$17,Condition!$D$17,IF(HI19&lt;=Condition!$F$18,Condition!$D$18,IF(HI19&gt;Condition!$E$19,Condition!$D$19,"")))))</f>
        <v>0</v>
      </c>
      <c r="HJ62" s="85">
        <f>IF(HJ19&lt;=Condition!$E$16,0,IF(HJ19&lt;=Condition!$F$16,Condition!$D$16,IF(HJ19&lt;=Condition!$F$17,Condition!$D$17,IF(HJ19&lt;=Condition!$F$18,Condition!$D$18,IF(HJ19&gt;Condition!$E$19,Condition!$D$19,"")))))</f>
        <v>0</v>
      </c>
      <c r="HK62" s="85">
        <f>IF(HK19&lt;=Condition!$E$16,0,IF(HK19&lt;=Condition!$F$16,Condition!$D$16,IF(HK19&lt;=Condition!$F$17,Condition!$D$17,IF(HK19&lt;=Condition!$F$18,Condition!$D$18,IF(HK19&gt;Condition!$E$19,Condition!$D$19,"")))))</f>
        <v>0</v>
      </c>
      <c r="HL62" s="85">
        <f>IF(HL19&lt;=Condition!$E$16,0,IF(HL19&lt;=Condition!$F$16,Condition!$D$16,IF(HL19&lt;=Condition!$F$17,Condition!$D$17,IF(HL19&lt;=Condition!$F$18,Condition!$D$18,IF(HL19&gt;Condition!$E$19,Condition!$D$19,"")))))</f>
        <v>0</v>
      </c>
      <c r="HM62" s="85">
        <f>IF(HM19&lt;=Condition!$E$16,0,IF(HM19&lt;=Condition!$F$16,Condition!$D$16,IF(HM19&lt;=Condition!$F$17,Condition!$D$17,IF(HM19&lt;=Condition!$F$18,Condition!$D$18,IF(HM19&gt;Condition!$E$19,Condition!$D$19,"")))))</f>
        <v>0</v>
      </c>
      <c r="HN62" s="85">
        <f>IF(HN19&lt;=Condition!$E$16,0,IF(HN19&lt;=Condition!$F$16,Condition!$D$16,IF(HN19&lt;=Condition!$F$17,Condition!$D$17,IF(HN19&lt;=Condition!$F$18,Condition!$D$18,IF(HN19&gt;Condition!$E$19,Condition!$D$19,"")))))</f>
        <v>0</v>
      </c>
      <c r="HO62" s="85">
        <f>IF(HO19&lt;=Condition!$E$16,0,IF(HO19&lt;=Condition!$F$16,Condition!$D$16,IF(HO19&lt;=Condition!$F$17,Condition!$D$17,IF(HO19&lt;=Condition!$F$18,Condition!$D$18,IF(HO19&gt;Condition!$E$19,Condition!$D$19,"")))))</f>
        <v>0</v>
      </c>
      <c r="HP62" s="85">
        <f>IF(HP19&lt;=Condition!$E$16,0,IF(HP19&lt;=Condition!$F$16,Condition!$D$16,IF(HP19&lt;=Condition!$F$17,Condition!$D$17,IF(HP19&lt;=Condition!$F$18,Condition!$D$18,IF(HP19&gt;Condition!$E$19,Condition!$D$19,"")))))</f>
        <v>0</v>
      </c>
      <c r="HQ62" s="85">
        <f>IF(HQ19&lt;=Condition!$E$16,0,IF(HQ19&lt;=Condition!$F$16,Condition!$D$16,IF(HQ19&lt;=Condition!$F$17,Condition!$D$17,IF(HQ19&lt;=Condition!$F$18,Condition!$D$18,IF(HQ19&gt;Condition!$E$19,Condition!$D$19,"")))))</f>
        <v>0</v>
      </c>
      <c r="HR62" s="85">
        <f>IF(HR19&lt;=Condition!$E$16,0,IF(HR19&lt;=Condition!$F$16,Condition!$D$16,IF(HR19&lt;=Condition!$F$17,Condition!$D$17,IF(HR19&lt;=Condition!$F$18,Condition!$D$18,IF(HR19&gt;Condition!$E$19,Condition!$D$19,"")))))</f>
        <v>0</v>
      </c>
      <c r="HS62" s="85">
        <f>IF(HS19&lt;=Condition!$E$16,0,IF(HS19&lt;=Condition!$F$16,Condition!$D$16,IF(HS19&lt;=Condition!$F$17,Condition!$D$17,IF(HS19&lt;=Condition!$F$18,Condition!$D$18,IF(HS19&gt;Condition!$E$19,Condition!$D$19,"")))))</f>
        <v>0</v>
      </c>
      <c r="HT62" s="85">
        <f>IF(HT19&lt;=Condition!$E$16,0,IF(HT19&lt;=Condition!$F$16,Condition!$D$16,IF(HT19&lt;=Condition!$F$17,Condition!$D$17,IF(HT19&lt;=Condition!$F$18,Condition!$D$18,IF(HT19&gt;Condition!$E$19,Condition!$D$19,"")))))</f>
        <v>0</v>
      </c>
      <c r="HU62" s="85">
        <f>IF(HU19&lt;=Condition!$E$16,0,IF(HU19&lt;=Condition!$F$16,Condition!$D$16,IF(HU19&lt;=Condition!$F$17,Condition!$D$17,IF(HU19&lt;=Condition!$F$18,Condition!$D$18,IF(HU19&gt;Condition!$E$19,Condition!$D$19,"")))))</f>
        <v>0</v>
      </c>
      <c r="HV62" s="85">
        <f>IF(HV19&lt;=Condition!$E$16,0,IF(HV19&lt;=Condition!$F$16,Condition!$D$16,IF(HV19&lt;=Condition!$F$17,Condition!$D$17,IF(HV19&lt;=Condition!$F$18,Condition!$D$18,IF(HV19&gt;Condition!$E$19,Condition!$D$19,"")))))</f>
        <v>0</v>
      </c>
      <c r="HW62" s="85">
        <f>IF(HW19&lt;=Condition!$E$16,0,IF(HW19&lt;=Condition!$F$16,Condition!$D$16,IF(HW19&lt;=Condition!$F$17,Condition!$D$17,IF(HW19&lt;=Condition!$F$18,Condition!$D$18,IF(HW19&gt;Condition!$E$19,Condition!$D$19,"")))))</f>
        <v>0</v>
      </c>
      <c r="HX62" s="85">
        <f>IF(HX19&lt;=Condition!$E$16,0,IF(HX19&lt;=Condition!$F$16,Condition!$D$16,IF(HX19&lt;=Condition!$F$17,Condition!$D$17,IF(HX19&lt;=Condition!$F$18,Condition!$D$18,IF(HX19&gt;Condition!$E$19,Condition!$D$19,"")))))</f>
        <v>0</v>
      </c>
      <c r="HY62" s="85">
        <f>IF(HY19&lt;=Condition!$E$16,0,IF(HY19&lt;=Condition!$F$16,Condition!$D$16,IF(HY19&lt;=Condition!$F$17,Condition!$D$17,IF(HY19&lt;=Condition!$F$18,Condition!$D$18,IF(HY19&gt;Condition!$E$19,Condition!$D$19,"")))))</f>
        <v>0</v>
      </c>
      <c r="HZ62" s="85">
        <f>IF(HZ19&lt;=Condition!$E$16,0,IF(HZ19&lt;=Condition!$F$16,Condition!$D$16,IF(HZ19&lt;=Condition!$F$17,Condition!$D$17,IF(HZ19&lt;=Condition!$F$18,Condition!$D$18,IF(HZ19&gt;Condition!$E$19,Condition!$D$19,"")))))</f>
        <v>0</v>
      </c>
      <c r="IA62" s="85">
        <f>IF(IA19&lt;=Condition!$E$16,0,IF(IA19&lt;=Condition!$F$16,Condition!$D$16,IF(IA19&lt;=Condition!$F$17,Condition!$D$17,IF(IA19&lt;=Condition!$F$18,Condition!$D$18,IF(IA19&gt;Condition!$E$19,Condition!$D$19,"")))))</f>
        <v>0</v>
      </c>
      <c r="IB62" s="85">
        <f>IF(IB19&lt;=Condition!$E$16,0,IF(IB19&lt;=Condition!$F$16,Condition!$D$16,IF(IB19&lt;=Condition!$F$17,Condition!$D$17,IF(IB19&lt;=Condition!$F$18,Condition!$D$18,IF(IB19&gt;Condition!$E$19,Condition!$D$19,"")))))</f>
        <v>0</v>
      </c>
      <c r="IC62" s="85">
        <f>IF(IC19&lt;=Condition!$E$16,0,IF(IC19&lt;=Condition!$F$16,Condition!$D$16,IF(IC19&lt;=Condition!$F$17,Condition!$D$17,IF(IC19&lt;=Condition!$F$18,Condition!$D$18,IF(IC19&gt;Condition!$E$19,Condition!$D$19,"")))))</f>
        <v>0</v>
      </c>
      <c r="ID62" s="85">
        <f>IF(ID19&lt;=Condition!$E$16,0,IF(ID19&lt;=Condition!$F$16,Condition!$D$16,IF(ID19&lt;=Condition!$F$17,Condition!$D$17,IF(ID19&lt;=Condition!$F$18,Condition!$D$18,IF(ID19&gt;Condition!$E$19,Condition!$D$19,"")))))</f>
        <v>0</v>
      </c>
      <c r="IE62" s="85">
        <f>IF(IE19&lt;=Condition!$E$16,0,IF(IE19&lt;=Condition!$F$16,Condition!$D$16,IF(IE19&lt;=Condition!$F$17,Condition!$D$17,IF(IE19&lt;=Condition!$F$18,Condition!$D$18,IF(IE19&gt;Condition!$E$19,Condition!$D$19,"")))))</f>
        <v>0</v>
      </c>
      <c r="IF62" s="85">
        <f>IF(IF19&lt;=Condition!$E$16,0,IF(IF19&lt;=Condition!$F$16,Condition!$D$16,IF(IF19&lt;=Condition!$F$17,Condition!$D$17,IF(IF19&lt;=Condition!$F$18,Condition!$D$18,IF(IF19&gt;Condition!$E$19,Condition!$D$19,"")))))</f>
        <v>0</v>
      </c>
      <c r="IG62" s="85">
        <f>IF(IG19&lt;=Condition!$E$16,0,IF(IG19&lt;=Condition!$F$16,Condition!$D$16,IF(IG19&lt;=Condition!$F$17,Condition!$D$17,IF(IG19&lt;=Condition!$F$18,Condition!$D$18,IF(IG19&gt;Condition!$E$19,Condition!$D$19,"")))))</f>
        <v>0</v>
      </c>
      <c r="IH62" s="85">
        <f>IF(IH19&lt;=Condition!$E$16,0,IF(IH19&lt;=Condition!$F$16,Condition!$D$16,IF(IH19&lt;=Condition!$F$17,Condition!$D$17,IF(IH19&lt;=Condition!$F$18,Condition!$D$18,IF(IH19&gt;Condition!$E$19,Condition!$D$19,"")))))</f>
        <v>0</v>
      </c>
      <c r="II62" s="85">
        <f>IF(II19&lt;=Condition!$E$16,0,IF(II19&lt;=Condition!$F$16,Condition!$D$16,IF(II19&lt;=Condition!$F$17,Condition!$D$17,IF(II19&lt;=Condition!$F$18,Condition!$D$18,IF(II19&gt;Condition!$E$19,Condition!$D$19,"")))))</f>
        <v>0</v>
      </c>
      <c r="IJ62" s="85">
        <f>IF(IJ19&lt;=Condition!$E$16,0,IF(IJ19&lt;=Condition!$F$16,Condition!$D$16,IF(IJ19&lt;=Condition!$F$17,Condition!$D$17,IF(IJ19&lt;=Condition!$F$18,Condition!$D$18,IF(IJ19&gt;Condition!$E$19,Condition!$D$19,"")))))</f>
        <v>0</v>
      </c>
      <c r="IK62" s="85">
        <f>IF(IK19&lt;=Condition!$E$16,0,IF(IK19&lt;=Condition!$F$16,Condition!$D$16,IF(IK19&lt;=Condition!$F$17,Condition!$D$17,IF(IK19&lt;=Condition!$F$18,Condition!$D$18,IF(IK19&gt;Condition!$E$19,Condition!$D$19,"")))))</f>
        <v>0</v>
      </c>
      <c r="IL62" s="85">
        <f>IF(IL19&lt;=Condition!$E$16,0,IF(IL19&lt;=Condition!$F$16,Condition!$D$16,IF(IL19&lt;=Condition!$F$17,Condition!$D$17,IF(IL19&lt;=Condition!$F$18,Condition!$D$18,IF(IL19&gt;Condition!$E$19,Condition!$D$19,"")))))</f>
        <v>0</v>
      </c>
      <c r="IM62" s="85">
        <f>IF(IM19&lt;=Condition!$E$16,0,IF(IM19&lt;=Condition!$F$16,Condition!$D$16,IF(IM19&lt;=Condition!$F$17,Condition!$D$17,IF(IM19&lt;=Condition!$F$18,Condition!$D$18,IF(IM19&gt;Condition!$E$19,Condition!$D$19,"")))))</f>
        <v>0</v>
      </c>
      <c r="IN62" s="85">
        <f>IF(IN19&lt;=Condition!$E$16,0,IF(IN19&lt;=Condition!$F$16,Condition!$D$16,IF(IN19&lt;=Condition!$F$17,Condition!$D$17,IF(IN19&lt;=Condition!$F$18,Condition!$D$18,IF(IN19&gt;Condition!$E$19,Condition!$D$19,"")))))</f>
        <v>0</v>
      </c>
      <c r="IO62" s="85">
        <f>IF(IO19&lt;=Condition!$E$16,0,IF(IO19&lt;=Condition!$F$16,Condition!$D$16,IF(IO19&lt;=Condition!$F$17,Condition!$D$17,IF(IO19&lt;=Condition!$F$18,Condition!$D$18,IF(IO19&gt;Condition!$E$19,Condition!$D$19,"")))))</f>
        <v>0</v>
      </c>
      <c r="IP62" s="85">
        <f>IF(IP19&lt;=Condition!$E$16,0,IF(IP19&lt;=Condition!$F$16,Condition!$D$16,IF(IP19&lt;=Condition!$F$17,Condition!$D$17,IF(IP19&lt;=Condition!$F$18,Condition!$D$18,IF(IP19&gt;Condition!$E$19,Condition!$D$19,"")))))</f>
        <v>0</v>
      </c>
      <c r="IQ62" s="85">
        <f>IF(IQ19&lt;=Condition!$E$16,0,IF(IQ19&lt;=Condition!$F$16,Condition!$D$16,IF(IQ19&lt;=Condition!$F$17,Condition!$D$17,IF(IQ19&lt;=Condition!$F$18,Condition!$D$18,IF(IQ19&gt;Condition!$E$19,Condition!$D$19,"")))))</f>
        <v>0</v>
      </c>
      <c r="IR62" s="85">
        <f>IF(IR19&lt;=Condition!$E$16,0,IF(IR19&lt;=Condition!$F$16,Condition!$D$16,IF(IR19&lt;=Condition!$F$17,Condition!$D$17,IF(IR19&lt;=Condition!$F$18,Condition!$D$18,IF(IR19&gt;Condition!$E$19,Condition!$D$19,"")))))</f>
        <v>0</v>
      </c>
      <c r="IS62" s="85">
        <f>IF(IS19&lt;=Condition!$E$16,0,IF(IS19&lt;=Condition!$F$16,Condition!$D$16,IF(IS19&lt;=Condition!$F$17,Condition!$D$17,IF(IS19&lt;=Condition!$F$18,Condition!$D$18,IF(IS19&gt;Condition!$E$19,Condition!$D$19,"")))))</f>
        <v>0</v>
      </c>
      <c r="IT62" s="85">
        <f>IF(IT19&lt;=Condition!$E$16,0,IF(IT19&lt;=Condition!$F$16,Condition!$D$16,IF(IT19&lt;=Condition!$F$17,Condition!$D$17,IF(IT19&lt;=Condition!$F$18,Condition!$D$18,IF(IT19&gt;Condition!$E$19,Condition!$D$19,"")))))</f>
        <v>0</v>
      </c>
      <c r="IU62" s="85">
        <f>IF(IU19&lt;=Condition!$E$16,0,IF(IU19&lt;=Condition!$F$16,Condition!$D$16,IF(IU19&lt;=Condition!$F$17,Condition!$D$17,IF(IU19&lt;=Condition!$F$18,Condition!$D$18,IF(IU19&gt;Condition!$E$19,Condition!$D$19,"")))))</f>
        <v>0</v>
      </c>
      <c r="IV62" s="85">
        <f>IF(IV19&lt;=Condition!$E$16,0,IF(IV19&lt;=Condition!$F$16,Condition!$D$16,IF(IV19&lt;=Condition!$F$17,Condition!$D$17,IF(IV19&lt;=Condition!$F$18,Condition!$D$18,IF(IV19&gt;Condition!$E$19,Condition!$D$19,"")))))</f>
        <v>0</v>
      </c>
      <c r="IW62" s="85">
        <f>IF(IW19&lt;=Condition!$E$16,0,IF(IW19&lt;=Condition!$F$16,Condition!$D$16,IF(IW19&lt;=Condition!$F$17,Condition!$D$17,IF(IW19&lt;=Condition!$F$18,Condition!$D$18,IF(IW19&gt;Condition!$E$19,Condition!$D$19,"")))))</f>
        <v>0</v>
      </c>
      <c r="IX62" s="85">
        <f>IF(IX19&lt;=Condition!$E$16,0,IF(IX19&lt;=Condition!$F$16,Condition!$D$16,IF(IX19&lt;=Condition!$F$17,Condition!$D$17,IF(IX19&lt;=Condition!$F$18,Condition!$D$18,IF(IX19&gt;Condition!$E$19,Condition!$D$19,"")))))</f>
        <v>0</v>
      </c>
      <c r="IY62" s="85">
        <f>IF(IY19&lt;=Condition!$E$16,0,IF(IY19&lt;=Condition!$F$16,Condition!$D$16,IF(IY19&lt;=Condition!$F$17,Condition!$D$17,IF(IY19&lt;=Condition!$F$18,Condition!$D$18,IF(IY19&gt;Condition!$E$19,Condition!$D$19,"")))))</f>
        <v>0</v>
      </c>
      <c r="IZ62" s="85">
        <f>IF(IZ19&lt;=Condition!$E$16,0,IF(IZ19&lt;=Condition!$F$16,Condition!$D$16,IF(IZ19&lt;=Condition!$F$17,Condition!$D$17,IF(IZ19&lt;=Condition!$F$18,Condition!$D$18,IF(IZ19&gt;Condition!$E$19,Condition!$D$19,"")))))</f>
        <v>0</v>
      </c>
      <c r="JA62" s="85">
        <f>IF(JA19&lt;=Condition!$E$16,0,IF(JA19&lt;=Condition!$F$16,Condition!$D$16,IF(JA19&lt;=Condition!$F$17,Condition!$D$17,IF(JA19&lt;=Condition!$F$18,Condition!$D$18,IF(JA19&gt;Condition!$E$19,Condition!$D$19,"")))))</f>
        <v>0</v>
      </c>
      <c r="JB62" s="85">
        <f>IF(JB19&lt;=Condition!$E$16,0,IF(JB19&lt;=Condition!$F$16,Condition!$D$16,IF(JB19&lt;=Condition!$F$17,Condition!$D$17,IF(JB19&lt;=Condition!$F$18,Condition!$D$18,IF(JB19&gt;Condition!$E$19,Condition!$D$19,"")))))</f>
        <v>0</v>
      </c>
      <c r="JC62" s="85">
        <f>IF(JC19&lt;=Condition!$E$16,0,IF(JC19&lt;=Condition!$F$16,Condition!$D$16,IF(JC19&lt;=Condition!$F$17,Condition!$D$17,IF(JC19&lt;=Condition!$F$18,Condition!$D$18,IF(JC19&gt;Condition!$E$19,Condition!$D$19,"")))))</f>
        <v>0</v>
      </c>
      <c r="JD62" s="85">
        <f>IF(JD19&lt;=Condition!$E$16,0,IF(JD19&lt;=Condition!$F$16,Condition!$D$16,IF(JD19&lt;=Condition!$F$17,Condition!$D$17,IF(JD19&lt;=Condition!$F$18,Condition!$D$18,IF(JD19&gt;Condition!$E$19,Condition!$D$19,"")))))</f>
        <v>0</v>
      </c>
      <c r="JE62" s="85">
        <f>IF(JE19&lt;=Condition!$E$16,0,IF(JE19&lt;=Condition!$F$16,Condition!$D$16,IF(JE19&lt;=Condition!$F$17,Condition!$D$17,IF(JE19&lt;=Condition!$F$18,Condition!$D$18,IF(JE19&gt;Condition!$E$19,Condition!$D$19,"")))))</f>
        <v>0</v>
      </c>
      <c r="JF62" s="85">
        <f>IF(JF19&lt;=Condition!$E$16,0,IF(JF19&lt;=Condition!$F$16,Condition!$D$16,IF(JF19&lt;=Condition!$F$17,Condition!$D$17,IF(JF19&lt;=Condition!$F$18,Condition!$D$18,IF(JF19&gt;Condition!$E$19,Condition!$D$19,"")))))</f>
        <v>0</v>
      </c>
      <c r="JG62" s="85">
        <f>IF(JG19&lt;=Condition!$E$16,0,IF(JG19&lt;=Condition!$F$16,Condition!$D$16,IF(JG19&lt;=Condition!$F$17,Condition!$D$17,IF(JG19&lt;=Condition!$F$18,Condition!$D$18,IF(JG19&gt;Condition!$E$19,Condition!$D$19,"")))))</f>
        <v>0</v>
      </c>
      <c r="JH62" s="85">
        <f>IF(JH19&lt;=Condition!$E$16,0,IF(JH19&lt;=Condition!$F$16,Condition!$D$16,IF(JH19&lt;=Condition!$F$17,Condition!$D$17,IF(JH19&lt;=Condition!$F$18,Condition!$D$18,IF(JH19&gt;Condition!$E$19,Condition!$D$19,"")))))</f>
        <v>0</v>
      </c>
      <c r="JI62" s="85">
        <f>IF(JI19&lt;=Condition!$E$16,0,IF(JI19&lt;=Condition!$F$16,Condition!$D$16,IF(JI19&lt;=Condition!$F$17,Condition!$D$17,IF(JI19&lt;=Condition!$F$18,Condition!$D$18,IF(JI19&gt;Condition!$E$19,Condition!$D$19,"")))))</f>
        <v>0</v>
      </c>
      <c r="JJ62" s="85">
        <f>IF(JJ19&lt;=Condition!$E$16,0,IF(JJ19&lt;=Condition!$F$16,Condition!$D$16,IF(JJ19&lt;=Condition!$F$17,Condition!$D$17,IF(JJ19&lt;=Condition!$F$18,Condition!$D$18,IF(JJ19&gt;Condition!$E$19,Condition!$D$19,"")))))</f>
        <v>0</v>
      </c>
      <c r="JK62" s="85">
        <f>IF(JK19&lt;=Condition!$E$16,0,IF(JK19&lt;=Condition!$F$16,Condition!$D$16,IF(JK19&lt;=Condition!$F$17,Condition!$D$17,IF(JK19&lt;=Condition!$F$18,Condition!$D$18,IF(JK19&gt;Condition!$E$19,Condition!$D$19,"")))))</f>
        <v>0</v>
      </c>
      <c r="JL62" s="85">
        <f>IF(JL19&lt;=Condition!$E$16,0,IF(JL19&lt;=Condition!$F$16,Condition!$D$16,IF(JL19&lt;=Condition!$F$17,Condition!$D$17,IF(JL19&lt;=Condition!$F$18,Condition!$D$18,IF(JL19&gt;Condition!$E$19,Condition!$D$19,"")))))</f>
        <v>0</v>
      </c>
      <c r="JM62" s="85">
        <f>IF(JM19&lt;=Condition!$E$16,0,IF(JM19&lt;=Condition!$F$16,Condition!$D$16,IF(JM19&lt;=Condition!$F$17,Condition!$D$17,IF(JM19&lt;=Condition!$F$18,Condition!$D$18,IF(JM19&gt;Condition!$E$19,Condition!$D$19,"")))))</f>
        <v>0</v>
      </c>
      <c r="JN62" s="85">
        <f>IF(JN19&lt;=Condition!$E$16,0,IF(JN19&lt;=Condition!$F$16,Condition!$D$16,IF(JN19&lt;=Condition!$F$17,Condition!$D$17,IF(JN19&lt;=Condition!$F$18,Condition!$D$18,IF(JN19&gt;Condition!$E$19,Condition!$D$19,"")))))</f>
        <v>0</v>
      </c>
      <c r="JO62" s="85">
        <f>IF(JO19&lt;=Condition!$E$16,0,IF(JO19&lt;=Condition!$F$16,Condition!$D$16,IF(JO19&lt;=Condition!$F$17,Condition!$D$17,IF(JO19&lt;=Condition!$F$18,Condition!$D$18,IF(JO19&gt;Condition!$E$19,Condition!$D$19,"")))))</f>
        <v>0</v>
      </c>
      <c r="JP62" s="85">
        <f>IF(JP19&lt;=Condition!$E$16,0,IF(JP19&lt;=Condition!$F$16,Condition!$D$16,IF(JP19&lt;=Condition!$F$17,Condition!$D$17,IF(JP19&lt;=Condition!$F$18,Condition!$D$18,IF(JP19&gt;Condition!$E$19,Condition!$D$19,"")))))</f>
        <v>0</v>
      </c>
      <c r="JQ62" s="85">
        <f>IF(JQ19&lt;=Condition!$E$16,0,IF(JQ19&lt;=Condition!$F$16,Condition!$D$16,IF(JQ19&lt;=Condition!$F$17,Condition!$D$17,IF(JQ19&lt;=Condition!$F$18,Condition!$D$18,IF(JQ19&gt;Condition!$E$19,Condition!$D$19,"")))))</f>
        <v>0</v>
      </c>
      <c r="JR62" s="85">
        <f>IF(JR19&lt;=Condition!$E$16,0,IF(JR19&lt;=Condition!$F$16,Condition!$D$16,IF(JR19&lt;=Condition!$F$17,Condition!$D$17,IF(JR19&lt;=Condition!$F$18,Condition!$D$18,IF(JR19&gt;Condition!$E$19,Condition!$D$19,"")))))</f>
        <v>0</v>
      </c>
      <c r="JS62" s="85">
        <f>IF(JS19&lt;=Condition!$E$16,0,IF(JS19&lt;=Condition!$F$16,Condition!$D$16,IF(JS19&lt;=Condition!$F$17,Condition!$D$17,IF(JS19&lt;=Condition!$F$18,Condition!$D$18,IF(JS19&gt;Condition!$E$19,Condition!$D$19,"")))))</f>
        <v>0</v>
      </c>
      <c r="JT62" s="85">
        <f>IF(JT19&lt;=Condition!$E$16,0,IF(JT19&lt;=Condition!$F$16,Condition!$D$16,IF(JT19&lt;=Condition!$F$17,Condition!$D$17,IF(JT19&lt;=Condition!$F$18,Condition!$D$18,IF(JT19&gt;Condition!$E$19,Condition!$D$19,"")))))</f>
        <v>0</v>
      </c>
      <c r="JU62" s="85">
        <f>IF(JU19&lt;=Condition!$E$16,0,IF(JU19&lt;=Condition!$F$16,Condition!$D$16,IF(JU19&lt;=Condition!$F$17,Condition!$D$17,IF(JU19&lt;=Condition!$F$18,Condition!$D$18,IF(JU19&gt;Condition!$E$19,Condition!$D$19,"")))))</f>
        <v>0</v>
      </c>
      <c r="JV62" s="85">
        <f>IF(JV19&lt;=Condition!$E$16,0,IF(JV19&lt;=Condition!$F$16,Condition!$D$16,IF(JV19&lt;=Condition!$F$17,Condition!$D$17,IF(JV19&lt;=Condition!$F$18,Condition!$D$18,IF(JV19&gt;Condition!$E$19,Condition!$D$19,"")))))</f>
        <v>0</v>
      </c>
      <c r="JW62" s="85">
        <f>IF(JW19&lt;=Condition!$E$16,0,IF(JW19&lt;=Condition!$F$16,Condition!$D$16,IF(JW19&lt;=Condition!$F$17,Condition!$D$17,IF(JW19&lt;=Condition!$F$18,Condition!$D$18,IF(JW19&gt;Condition!$E$19,Condition!$D$19,"")))))</f>
        <v>0</v>
      </c>
      <c r="JX62" s="85">
        <f>IF(JX19&lt;=Condition!$E$16,0,IF(JX19&lt;=Condition!$F$16,Condition!$D$16,IF(JX19&lt;=Condition!$F$17,Condition!$D$17,IF(JX19&lt;=Condition!$F$18,Condition!$D$18,IF(JX19&gt;Condition!$E$19,Condition!$D$19,"")))))</f>
        <v>0</v>
      </c>
      <c r="JY62" s="85">
        <f>IF(JY19&lt;=Condition!$E$16,0,IF(JY19&lt;=Condition!$F$16,Condition!$D$16,IF(JY19&lt;=Condition!$F$17,Condition!$D$17,IF(JY19&lt;=Condition!$F$18,Condition!$D$18,IF(JY19&gt;Condition!$E$19,Condition!$D$19,"")))))</f>
        <v>0</v>
      </c>
      <c r="JZ62" s="85">
        <f>IF(JZ19&lt;=Condition!$E$16,0,IF(JZ19&lt;=Condition!$F$16,Condition!$D$16,IF(JZ19&lt;=Condition!$F$17,Condition!$D$17,IF(JZ19&lt;=Condition!$F$18,Condition!$D$18,IF(JZ19&gt;Condition!$E$19,Condition!$D$19,"")))))</f>
        <v>0</v>
      </c>
      <c r="KA62" s="85">
        <f>IF(KA19&lt;=Condition!$E$16,0,IF(KA19&lt;=Condition!$F$16,Condition!$D$16,IF(KA19&lt;=Condition!$F$17,Condition!$D$17,IF(KA19&lt;=Condition!$F$18,Condition!$D$18,IF(KA19&gt;Condition!$E$19,Condition!$D$19,"")))))</f>
        <v>0</v>
      </c>
      <c r="KB62" s="85">
        <f>IF(KB19&lt;=Condition!$E$16,0,IF(KB19&lt;=Condition!$F$16,Condition!$D$16,IF(KB19&lt;=Condition!$F$17,Condition!$D$17,IF(KB19&lt;=Condition!$F$18,Condition!$D$18,IF(KB19&gt;Condition!$E$19,Condition!$D$19,"")))))</f>
        <v>0</v>
      </c>
      <c r="KC62" s="85">
        <f>IF(KC19&lt;=Condition!$E$16,0,IF(KC19&lt;=Condition!$F$16,Condition!$D$16,IF(KC19&lt;=Condition!$F$17,Condition!$D$17,IF(KC19&lt;=Condition!$F$18,Condition!$D$18,IF(KC19&gt;Condition!$E$19,Condition!$D$19,"")))))</f>
        <v>0</v>
      </c>
      <c r="KD62" s="85">
        <f>IF(KD19&lt;=Condition!$E$16,0,IF(KD19&lt;=Condition!$F$16,Condition!$D$16,IF(KD19&lt;=Condition!$F$17,Condition!$D$17,IF(KD19&lt;=Condition!$F$18,Condition!$D$18,IF(KD19&gt;Condition!$E$19,Condition!$D$19,"")))))</f>
        <v>0</v>
      </c>
      <c r="KE62" s="85">
        <f>IF(KE19&lt;=Condition!$E$16,0,IF(KE19&lt;=Condition!$F$16,Condition!$D$16,IF(KE19&lt;=Condition!$F$17,Condition!$D$17,IF(KE19&lt;=Condition!$F$18,Condition!$D$18,IF(KE19&gt;Condition!$E$19,Condition!$D$19,"")))))</f>
        <v>0</v>
      </c>
      <c r="KF62" s="85">
        <f>IF(KF19&lt;=Condition!$E$16,0,IF(KF19&lt;=Condition!$F$16,Condition!$D$16,IF(KF19&lt;=Condition!$F$17,Condition!$D$17,IF(KF19&lt;=Condition!$F$18,Condition!$D$18,IF(KF19&gt;Condition!$E$19,Condition!$D$19,"")))))</f>
        <v>0</v>
      </c>
      <c r="KG62" s="85">
        <f>IF(KG19&lt;=Condition!$E$16,0,IF(KG19&lt;=Condition!$F$16,Condition!$D$16,IF(KG19&lt;=Condition!$F$17,Condition!$D$17,IF(KG19&lt;=Condition!$F$18,Condition!$D$18,IF(KG19&gt;Condition!$E$19,Condition!$D$19,"")))))</f>
        <v>0</v>
      </c>
      <c r="KH62" s="85">
        <f>IF(KH19&lt;=Condition!$E$16,0,IF(KH19&lt;=Condition!$F$16,Condition!$D$16,IF(KH19&lt;=Condition!$F$17,Condition!$D$17,IF(KH19&lt;=Condition!$F$18,Condition!$D$18,IF(KH19&gt;Condition!$E$19,Condition!$D$19,"")))))</f>
        <v>0</v>
      </c>
      <c r="KI62" s="85">
        <f>IF(KI19&lt;=Condition!$E$16,0,IF(KI19&lt;=Condition!$F$16,Condition!$D$16,IF(KI19&lt;=Condition!$F$17,Condition!$D$17,IF(KI19&lt;=Condition!$F$18,Condition!$D$18,IF(KI19&gt;Condition!$E$19,Condition!$D$19,"")))))</f>
        <v>0</v>
      </c>
    </row>
    <row r="63" spans="2:295" x14ac:dyDescent="0.25">
      <c r="B63" s="15">
        <f t="shared" ref="B63:E63" si="18">B20</f>
        <v>8</v>
      </c>
      <c r="C63" s="25" t="str">
        <f t="shared" si="18"/>
        <v>DSL-DHK</v>
      </c>
      <c r="D63" s="25" t="str">
        <f t="shared" si="18"/>
        <v>Apurba Kumar Gain</v>
      </c>
      <c r="E63" s="26">
        <f t="shared" si="18"/>
        <v>5927</v>
      </c>
      <c r="F63" s="112">
        <f t="shared" si="4"/>
        <v>3350</v>
      </c>
      <c r="G63" s="112">
        <f t="shared" si="5"/>
        <v>0</v>
      </c>
      <c r="H63" s="85">
        <f>IF(H20&lt;=Condition!$E$16,0,IF(H20&lt;=Condition!$F$16,Condition!$D$16,IF(H20&lt;=Condition!$F$17,Condition!$D$17,IF(H20&lt;=Condition!$F$18,Condition!$D$18,IF(H20&gt;Condition!$E$19,Condition!$D$19,"")))))</f>
        <v>300</v>
      </c>
      <c r="I63" s="85">
        <f>IF(I20&lt;=Condition!$E$16,0,IF(I20&lt;=Condition!$F$16,Condition!$D$16,IF(I20&lt;=Condition!$F$17,Condition!$D$17,IF(I20&lt;=Condition!$F$18,Condition!$D$18,IF(I20&gt;Condition!$E$19,Condition!$D$19,"")))))</f>
        <v>0</v>
      </c>
      <c r="J63" s="85">
        <f>IF(J20&lt;=Condition!$E$16,0,IF(J20&lt;=Condition!$F$16,Condition!$D$16,IF(J20&lt;=Condition!$F$17,Condition!$D$17,IF(J20&lt;=Condition!$F$18,Condition!$D$18,IF(J20&gt;Condition!$E$19,Condition!$D$19,"")))))</f>
        <v>300</v>
      </c>
      <c r="K63" s="85">
        <f>IF(K20&lt;=Condition!$E$16,0,IF(K20&lt;=Condition!$F$16,Condition!$D$16,IF(K20&lt;=Condition!$F$17,Condition!$D$17,IF(K20&lt;=Condition!$F$18,Condition!$D$18,IF(K20&gt;Condition!$E$19,Condition!$D$19,"")))))</f>
        <v>0</v>
      </c>
      <c r="L63" s="85">
        <f>IF(L20&lt;=Condition!$E$16,0,IF(L20&lt;=Condition!$F$16,Condition!$D$16,IF(L20&lt;=Condition!$F$17,Condition!$D$17,IF(L20&lt;=Condition!$F$18,Condition!$D$18,IF(L20&gt;Condition!$E$19,Condition!$D$19,"")))))</f>
        <v>150</v>
      </c>
      <c r="M63" s="85">
        <f>IF(M20&lt;=Condition!$E$16,0,IF(M20&lt;=Condition!$F$16,Condition!$D$16,IF(M20&lt;=Condition!$F$17,Condition!$D$17,IF(M20&lt;=Condition!$F$18,Condition!$D$18,IF(M20&gt;Condition!$E$19,Condition!$D$19,"")))))</f>
        <v>0</v>
      </c>
      <c r="N63" s="85">
        <f>IF(N20&lt;=Condition!$E$16,0,IF(N20&lt;=Condition!$F$16,Condition!$D$16,IF(N20&lt;=Condition!$F$17,Condition!$D$17,IF(N20&lt;=Condition!$F$18,Condition!$D$18,IF(N20&gt;Condition!$E$19,Condition!$D$19,"")))))</f>
        <v>400</v>
      </c>
      <c r="O63" s="85">
        <f>IF(O20&lt;=Condition!$E$16,0,IF(O20&lt;=Condition!$F$16,Condition!$D$16,IF(O20&lt;=Condition!$F$17,Condition!$D$17,IF(O20&lt;=Condition!$F$18,Condition!$D$18,IF(O20&gt;Condition!$E$19,Condition!$D$19,"")))))</f>
        <v>0</v>
      </c>
      <c r="P63" s="85">
        <f>IF(P20&lt;=Condition!$E$16,0,IF(P20&lt;=Condition!$F$16,Condition!$D$16,IF(P20&lt;=Condition!$F$17,Condition!$D$17,IF(P20&lt;=Condition!$F$18,Condition!$D$18,IF(P20&gt;Condition!$E$19,Condition!$D$19,"")))))</f>
        <v>300</v>
      </c>
      <c r="Q63" s="85">
        <f>IF(Q20&lt;=Condition!$E$16,0,IF(Q20&lt;=Condition!$F$16,Condition!$D$16,IF(Q20&lt;=Condition!$F$17,Condition!$D$17,IF(Q20&lt;=Condition!$F$18,Condition!$D$18,IF(Q20&gt;Condition!$E$19,Condition!$D$19,"")))))</f>
        <v>0</v>
      </c>
      <c r="R63" s="85">
        <f>IF(R20&lt;=Condition!$E$16,0,IF(R20&lt;=Condition!$F$16,Condition!$D$16,IF(R20&lt;=Condition!$F$17,Condition!$D$17,IF(R20&lt;=Condition!$F$18,Condition!$D$18,IF(R20&gt;Condition!$E$19,Condition!$D$19,"")))))</f>
        <v>150</v>
      </c>
      <c r="S63" s="85">
        <f>IF(S20&lt;=Condition!$E$16,0,IF(S20&lt;=Condition!$F$16,Condition!$D$16,IF(S20&lt;=Condition!$F$17,Condition!$D$17,IF(S20&lt;=Condition!$F$18,Condition!$D$18,IF(S20&gt;Condition!$E$19,Condition!$D$19,"")))))</f>
        <v>0</v>
      </c>
      <c r="T63" s="85">
        <f>IF(T20&lt;=Condition!$E$16,0,IF(T20&lt;=Condition!$F$16,Condition!$D$16,IF(T20&lt;=Condition!$F$17,Condition!$D$17,IF(T20&lt;=Condition!$F$18,Condition!$D$18,IF(T20&gt;Condition!$E$19,Condition!$D$19,"")))))</f>
        <v>150</v>
      </c>
      <c r="U63" s="85">
        <f>IF(U20&lt;=Condition!$E$16,0,IF(U20&lt;=Condition!$F$16,Condition!$D$16,IF(U20&lt;=Condition!$F$17,Condition!$D$17,IF(U20&lt;=Condition!$F$18,Condition!$D$18,IF(U20&gt;Condition!$E$19,Condition!$D$19,"")))))</f>
        <v>0</v>
      </c>
      <c r="V63" s="85">
        <f>IF(V20&lt;=Condition!$E$16,0,IF(V20&lt;=Condition!$F$16,Condition!$D$16,IF(V20&lt;=Condition!$F$17,Condition!$D$17,IF(V20&lt;=Condition!$F$18,Condition!$D$18,IF(V20&gt;Condition!$E$19,Condition!$D$19,"")))))</f>
        <v>150</v>
      </c>
      <c r="W63" s="85">
        <f>IF(W20&lt;=Condition!$E$16,0,IF(W20&lt;=Condition!$F$16,Condition!$D$16,IF(W20&lt;=Condition!$F$17,Condition!$D$17,IF(W20&lt;=Condition!$F$18,Condition!$D$18,IF(W20&gt;Condition!$E$19,Condition!$D$19,"")))))</f>
        <v>0</v>
      </c>
      <c r="X63" s="85">
        <f>IF(X20&lt;=Condition!$E$16,0,IF(X20&lt;=Condition!$F$16,Condition!$D$16,IF(X20&lt;=Condition!$F$17,Condition!$D$17,IF(X20&lt;=Condition!$F$18,Condition!$D$18,IF(X20&gt;Condition!$E$19,Condition!$D$19,"")))))</f>
        <v>300</v>
      </c>
      <c r="Y63" s="85">
        <f>IF(Y20&lt;=Condition!$E$16,0,IF(Y20&lt;=Condition!$F$16,Condition!$D$16,IF(Y20&lt;=Condition!$F$17,Condition!$D$17,IF(Y20&lt;=Condition!$F$18,Condition!$D$18,IF(Y20&gt;Condition!$E$19,Condition!$D$19,"")))))</f>
        <v>0</v>
      </c>
      <c r="Z63" s="85">
        <f>IF(Z20&lt;=Condition!$E$16,0,IF(Z20&lt;=Condition!$F$16,Condition!$D$16,IF(Z20&lt;=Condition!$F$17,Condition!$D$17,IF(Z20&lt;=Condition!$F$18,Condition!$D$18,IF(Z20&gt;Condition!$E$19,Condition!$D$19,"")))))</f>
        <v>150</v>
      </c>
      <c r="AA63" s="85">
        <f>IF(AA20&lt;=Condition!$E$16,0,IF(AA20&lt;=Condition!$F$16,Condition!$D$16,IF(AA20&lt;=Condition!$F$17,Condition!$D$17,IF(AA20&lt;=Condition!$F$18,Condition!$D$18,IF(AA20&gt;Condition!$E$19,Condition!$D$19,"")))))</f>
        <v>0</v>
      </c>
      <c r="AB63" s="85">
        <f>IF(AB20&lt;=Condition!$E$16,0,IF(AB20&lt;=Condition!$F$16,Condition!$D$16,IF(AB20&lt;=Condition!$F$17,Condition!$D$17,IF(AB20&lt;=Condition!$F$18,Condition!$D$18,IF(AB20&gt;Condition!$E$19,Condition!$D$19,"")))))</f>
        <v>150</v>
      </c>
      <c r="AC63" s="85">
        <f>IF(AC20&lt;=Condition!$E$16,0,IF(AC20&lt;=Condition!$F$16,Condition!$D$16,IF(AC20&lt;=Condition!$F$17,Condition!$D$17,IF(AC20&lt;=Condition!$F$18,Condition!$D$18,IF(AC20&gt;Condition!$E$19,Condition!$D$19,"")))))</f>
        <v>0</v>
      </c>
      <c r="AD63" s="85">
        <f>IF(AD20&lt;=Condition!$E$16,0,IF(AD20&lt;=Condition!$F$16,Condition!$D$16,IF(AD20&lt;=Condition!$F$17,Condition!$D$17,IF(AD20&lt;=Condition!$F$18,Condition!$D$18,IF(AD20&gt;Condition!$E$19,Condition!$D$19,"")))))</f>
        <v>150</v>
      </c>
      <c r="AE63" s="85">
        <f>IF(AE20&lt;=Condition!$E$16,0,IF(AE20&lt;=Condition!$F$16,Condition!$D$16,IF(AE20&lt;=Condition!$F$17,Condition!$D$17,IF(AE20&lt;=Condition!$F$18,Condition!$D$18,IF(AE20&gt;Condition!$E$19,Condition!$D$19,"")))))</f>
        <v>0</v>
      </c>
      <c r="AF63" s="85">
        <f>IF(AF20&lt;=Condition!$E$16,0,IF(AF20&lt;=Condition!$F$16,Condition!$D$16,IF(AF20&lt;=Condition!$F$17,Condition!$D$17,IF(AF20&lt;=Condition!$F$18,Condition!$D$18,IF(AF20&gt;Condition!$E$19,Condition!$D$19,"")))))</f>
        <v>300</v>
      </c>
      <c r="AG63" s="85">
        <f>IF(AG20&lt;=Condition!$E$16,0,IF(AG20&lt;=Condition!$F$16,Condition!$D$16,IF(AG20&lt;=Condition!$F$17,Condition!$D$17,IF(AG20&lt;=Condition!$F$18,Condition!$D$18,IF(AG20&gt;Condition!$E$19,Condition!$D$19,"")))))</f>
        <v>0</v>
      </c>
      <c r="AH63" s="85">
        <f>IF(AH20&lt;=Condition!$E$16,0,IF(AH20&lt;=Condition!$F$16,Condition!$D$16,IF(AH20&lt;=Condition!$F$17,Condition!$D$17,IF(AH20&lt;=Condition!$F$18,Condition!$D$18,IF(AH20&gt;Condition!$E$19,Condition!$D$19,"")))))</f>
        <v>400</v>
      </c>
      <c r="AI63" s="85">
        <f>IF(AI20&lt;=Condition!$E$16,0,IF(AI20&lt;=Condition!$F$16,Condition!$D$16,IF(AI20&lt;=Condition!$F$17,Condition!$D$17,IF(AI20&lt;=Condition!$F$18,Condition!$D$18,IF(AI20&gt;Condition!$E$19,Condition!$D$19,"")))))</f>
        <v>0</v>
      </c>
      <c r="AJ63" s="85">
        <f>IF(AJ20&lt;=Condition!$E$16,0,IF(AJ20&lt;=Condition!$F$16,Condition!$D$16,IF(AJ20&lt;=Condition!$F$17,Condition!$D$17,IF(AJ20&lt;=Condition!$F$18,Condition!$D$18,IF(AJ20&gt;Condition!$E$19,Condition!$D$19,"")))))</f>
        <v>0</v>
      </c>
      <c r="AK63" s="85">
        <f>IF(AK20&lt;=Condition!$E$16,0,IF(AK20&lt;=Condition!$F$16,Condition!$D$16,IF(AK20&lt;=Condition!$F$17,Condition!$D$17,IF(AK20&lt;=Condition!$F$18,Condition!$D$18,IF(AK20&gt;Condition!$E$19,Condition!$D$19,"")))))</f>
        <v>0</v>
      </c>
      <c r="AL63" s="85">
        <f>IF(AL20&lt;=Condition!$E$16,0,IF(AL20&lt;=Condition!$F$16,Condition!$D$16,IF(AL20&lt;=Condition!$F$17,Condition!$D$17,IF(AL20&lt;=Condition!$F$18,Condition!$D$18,IF(AL20&gt;Condition!$E$19,Condition!$D$19,"")))))</f>
        <v>0</v>
      </c>
      <c r="AM63" s="85">
        <f>IF(AM20&lt;=Condition!$E$16,0,IF(AM20&lt;=Condition!$F$16,Condition!$D$16,IF(AM20&lt;=Condition!$F$17,Condition!$D$17,IF(AM20&lt;=Condition!$F$18,Condition!$D$18,IF(AM20&gt;Condition!$E$19,Condition!$D$19,"")))))</f>
        <v>0</v>
      </c>
      <c r="AN63" s="85">
        <f>IF(AN20&lt;=Condition!$E$16,0,IF(AN20&lt;=Condition!$F$16,Condition!$D$16,IF(AN20&lt;=Condition!$F$17,Condition!$D$17,IF(AN20&lt;=Condition!$F$18,Condition!$D$18,IF(AN20&gt;Condition!$E$19,Condition!$D$19,"")))))</f>
        <v>0</v>
      </c>
      <c r="AO63" s="85">
        <f>IF(AO20&lt;=Condition!$E$16,0,IF(AO20&lt;=Condition!$F$16,Condition!$D$16,IF(AO20&lt;=Condition!$F$17,Condition!$D$17,IF(AO20&lt;=Condition!$F$18,Condition!$D$18,IF(AO20&gt;Condition!$E$19,Condition!$D$19,"")))))</f>
        <v>0</v>
      </c>
      <c r="AP63" s="85">
        <f>IF(AP20&lt;=Condition!$E$16,0,IF(AP20&lt;=Condition!$F$16,Condition!$D$16,IF(AP20&lt;=Condition!$F$17,Condition!$D$17,IF(AP20&lt;=Condition!$F$18,Condition!$D$18,IF(AP20&gt;Condition!$E$19,Condition!$D$19,"")))))</f>
        <v>0</v>
      </c>
      <c r="AQ63" s="85">
        <f>IF(AQ20&lt;=Condition!$E$16,0,IF(AQ20&lt;=Condition!$F$16,Condition!$D$16,IF(AQ20&lt;=Condition!$F$17,Condition!$D$17,IF(AQ20&lt;=Condition!$F$18,Condition!$D$18,IF(AQ20&gt;Condition!$E$19,Condition!$D$19,"")))))</f>
        <v>0</v>
      </c>
      <c r="AR63" s="85">
        <f>IF(AR20&lt;=Condition!$E$16,0,IF(AR20&lt;=Condition!$F$16,Condition!$D$16,IF(AR20&lt;=Condition!$F$17,Condition!$D$17,IF(AR20&lt;=Condition!$F$18,Condition!$D$18,IF(AR20&gt;Condition!$E$19,Condition!$D$19,"")))))</f>
        <v>0</v>
      </c>
      <c r="AS63" s="85">
        <f>IF(AS20&lt;=Condition!$E$16,0,IF(AS20&lt;=Condition!$F$16,Condition!$D$16,IF(AS20&lt;=Condition!$F$17,Condition!$D$17,IF(AS20&lt;=Condition!$F$18,Condition!$D$18,IF(AS20&gt;Condition!$E$19,Condition!$D$19,"")))))</f>
        <v>0</v>
      </c>
      <c r="AT63" s="85">
        <f>IF(AT20&lt;=Condition!$E$16,0,IF(AT20&lt;=Condition!$F$16,Condition!$D$16,IF(AT20&lt;=Condition!$F$17,Condition!$D$17,IF(AT20&lt;=Condition!$F$18,Condition!$D$18,IF(AT20&gt;Condition!$E$19,Condition!$D$19,"")))))</f>
        <v>0</v>
      </c>
      <c r="AU63" s="85">
        <f>IF(AU20&lt;=Condition!$E$16,0,IF(AU20&lt;=Condition!$F$16,Condition!$D$16,IF(AU20&lt;=Condition!$F$17,Condition!$D$17,IF(AU20&lt;=Condition!$F$18,Condition!$D$18,IF(AU20&gt;Condition!$E$19,Condition!$D$19,"")))))</f>
        <v>0</v>
      </c>
      <c r="AV63" s="85">
        <f>IF(AV20&lt;=Condition!$E$16,0,IF(AV20&lt;=Condition!$F$16,Condition!$D$16,IF(AV20&lt;=Condition!$F$17,Condition!$D$17,IF(AV20&lt;=Condition!$F$18,Condition!$D$18,IF(AV20&gt;Condition!$E$19,Condition!$D$19,"")))))</f>
        <v>0</v>
      </c>
      <c r="AW63" s="85">
        <f>IF(AW20&lt;=Condition!$E$16,0,IF(AW20&lt;=Condition!$F$16,Condition!$D$16,IF(AW20&lt;=Condition!$F$17,Condition!$D$17,IF(AW20&lt;=Condition!$F$18,Condition!$D$18,IF(AW20&gt;Condition!$E$19,Condition!$D$19,"")))))</f>
        <v>0</v>
      </c>
      <c r="AX63" s="85">
        <f>IF(AX20&lt;=Condition!$E$16,0,IF(AX20&lt;=Condition!$F$16,Condition!$D$16,IF(AX20&lt;=Condition!$F$17,Condition!$D$17,IF(AX20&lt;=Condition!$F$18,Condition!$D$18,IF(AX20&gt;Condition!$E$19,Condition!$D$19,"")))))</f>
        <v>0</v>
      </c>
      <c r="AY63" s="85">
        <f>IF(AY20&lt;=Condition!$E$16,0,IF(AY20&lt;=Condition!$F$16,Condition!$D$16,IF(AY20&lt;=Condition!$F$17,Condition!$D$17,IF(AY20&lt;=Condition!$F$18,Condition!$D$18,IF(AY20&gt;Condition!$E$19,Condition!$D$19,"")))))</f>
        <v>0</v>
      </c>
      <c r="AZ63" s="85">
        <f>IF(AZ20&lt;=Condition!$E$16,0,IF(AZ20&lt;=Condition!$F$16,Condition!$D$16,IF(AZ20&lt;=Condition!$F$17,Condition!$D$17,IF(AZ20&lt;=Condition!$F$18,Condition!$D$18,IF(AZ20&gt;Condition!$E$19,Condition!$D$19,"")))))</f>
        <v>0</v>
      </c>
      <c r="BA63" s="85">
        <f>IF(BA20&lt;=Condition!$E$16,0,IF(BA20&lt;=Condition!$F$16,Condition!$D$16,IF(BA20&lt;=Condition!$F$17,Condition!$D$17,IF(BA20&lt;=Condition!$F$18,Condition!$D$18,IF(BA20&gt;Condition!$E$19,Condition!$D$19,"")))))</f>
        <v>0</v>
      </c>
      <c r="BB63" s="85">
        <f>IF(BB20&lt;=Condition!$E$16,0,IF(BB20&lt;=Condition!$F$16,Condition!$D$16,IF(BB20&lt;=Condition!$F$17,Condition!$D$17,IF(BB20&lt;=Condition!$F$18,Condition!$D$18,IF(BB20&gt;Condition!$E$19,Condition!$D$19,"")))))</f>
        <v>0</v>
      </c>
      <c r="BC63" s="85">
        <f>IF(BC20&lt;=Condition!$E$16,0,IF(BC20&lt;=Condition!$F$16,Condition!$D$16,IF(BC20&lt;=Condition!$F$17,Condition!$D$17,IF(BC20&lt;=Condition!$F$18,Condition!$D$18,IF(BC20&gt;Condition!$E$19,Condition!$D$19,"")))))</f>
        <v>0</v>
      </c>
      <c r="BD63" s="85">
        <f>IF(BD20&lt;=Condition!$E$16,0,IF(BD20&lt;=Condition!$F$16,Condition!$D$16,IF(BD20&lt;=Condition!$F$17,Condition!$D$17,IF(BD20&lt;=Condition!$F$18,Condition!$D$18,IF(BD20&gt;Condition!$E$19,Condition!$D$19,"")))))</f>
        <v>0</v>
      </c>
      <c r="BE63" s="85">
        <f>IF(BE20&lt;=Condition!$E$16,0,IF(BE20&lt;=Condition!$F$16,Condition!$D$16,IF(BE20&lt;=Condition!$F$17,Condition!$D$17,IF(BE20&lt;=Condition!$F$18,Condition!$D$18,IF(BE20&gt;Condition!$E$19,Condition!$D$19,"")))))</f>
        <v>0</v>
      </c>
      <c r="BF63" s="85">
        <f>IF(BF20&lt;=Condition!$E$16,0,IF(BF20&lt;=Condition!$F$16,Condition!$D$16,IF(BF20&lt;=Condition!$F$17,Condition!$D$17,IF(BF20&lt;=Condition!$F$18,Condition!$D$18,IF(BF20&gt;Condition!$E$19,Condition!$D$19,"")))))</f>
        <v>0</v>
      </c>
      <c r="BG63" s="85">
        <f>IF(BG20&lt;=Condition!$E$16,0,IF(BG20&lt;=Condition!$F$16,Condition!$D$16,IF(BG20&lt;=Condition!$F$17,Condition!$D$17,IF(BG20&lt;=Condition!$F$18,Condition!$D$18,IF(BG20&gt;Condition!$E$19,Condition!$D$19,"")))))</f>
        <v>0</v>
      </c>
      <c r="BH63" s="85">
        <f>IF(BH20&lt;=Condition!$E$16,0,IF(BH20&lt;=Condition!$F$16,Condition!$D$16,IF(BH20&lt;=Condition!$F$17,Condition!$D$17,IF(BH20&lt;=Condition!$F$18,Condition!$D$18,IF(BH20&gt;Condition!$E$19,Condition!$D$19,"")))))</f>
        <v>0</v>
      </c>
      <c r="BI63" s="85">
        <f>IF(BI20&lt;=Condition!$E$16,0,IF(BI20&lt;=Condition!$F$16,Condition!$D$16,IF(BI20&lt;=Condition!$F$17,Condition!$D$17,IF(BI20&lt;=Condition!$F$18,Condition!$D$18,IF(BI20&gt;Condition!$E$19,Condition!$D$19,"")))))</f>
        <v>0</v>
      </c>
      <c r="BJ63" s="85">
        <f>IF(BJ20&lt;=Condition!$E$16,0,IF(BJ20&lt;=Condition!$F$16,Condition!$D$16,IF(BJ20&lt;=Condition!$F$17,Condition!$D$17,IF(BJ20&lt;=Condition!$F$18,Condition!$D$18,IF(BJ20&gt;Condition!$E$19,Condition!$D$19,"")))))</f>
        <v>0</v>
      </c>
      <c r="BK63" s="85">
        <f>IF(BK20&lt;=Condition!$E$16,0,IF(BK20&lt;=Condition!$F$16,Condition!$D$16,IF(BK20&lt;=Condition!$F$17,Condition!$D$17,IF(BK20&lt;=Condition!$F$18,Condition!$D$18,IF(BK20&gt;Condition!$E$19,Condition!$D$19,"")))))</f>
        <v>0</v>
      </c>
      <c r="BL63" s="85">
        <f>IF(BL20&lt;=Condition!$E$16,0,IF(BL20&lt;=Condition!$F$16,Condition!$D$16,IF(BL20&lt;=Condition!$F$17,Condition!$D$17,IF(BL20&lt;=Condition!$F$18,Condition!$D$18,IF(BL20&gt;Condition!$E$19,Condition!$D$19,"")))))</f>
        <v>0</v>
      </c>
      <c r="BM63" s="85">
        <f>IF(BM20&lt;=Condition!$E$16,0,IF(BM20&lt;=Condition!$F$16,Condition!$D$16,IF(BM20&lt;=Condition!$F$17,Condition!$D$17,IF(BM20&lt;=Condition!$F$18,Condition!$D$18,IF(BM20&gt;Condition!$E$19,Condition!$D$19,"")))))</f>
        <v>0</v>
      </c>
      <c r="BN63" s="85">
        <f>IF(BN20&lt;=Condition!$E$16,0,IF(BN20&lt;=Condition!$F$16,Condition!$D$16,IF(BN20&lt;=Condition!$F$17,Condition!$D$17,IF(BN20&lt;=Condition!$F$18,Condition!$D$18,IF(BN20&gt;Condition!$E$19,Condition!$D$19,"")))))</f>
        <v>0</v>
      </c>
      <c r="BO63" s="85">
        <f>IF(BO20&lt;=Condition!$E$16,0,IF(BO20&lt;=Condition!$F$16,Condition!$D$16,IF(BO20&lt;=Condition!$F$17,Condition!$D$17,IF(BO20&lt;=Condition!$F$18,Condition!$D$18,IF(BO20&gt;Condition!$E$19,Condition!$D$19,"")))))</f>
        <v>0</v>
      </c>
      <c r="BP63" s="85">
        <f>IF(BP20&lt;=Condition!$E$16,0,IF(BP20&lt;=Condition!$F$16,Condition!$D$16,IF(BP20&lt;=Condition!$F$17,Condition!$D$17,IF(BP20&lt;=Condition!$F$18,Condition!$D$18,IF(BP20&gt;Condition!$E$19,Condition!$D$19,"")))))</f>
        <v>0</v>
      </c>
      <c r="BQ63" s="85">
        <f>IF(BQ20&lt;=Condition!$E$16,0,IF(BQ20&lt;=Condition!$F$16,Condition!$D$16,IF(BQ20&lt;=Condition!$F$17,Condition!$D$17,IF(BQ20&lt;=Condition!$F$18,Condition!$D$18,IF(BQ20&gt;Condition!$E$19,Condition!$D$19,"")))))</f>
        <v>0</v>
      </c>
      <c r="BR63" s="85">
        <f>IF(BR20&lt;=Condition!$E$16,0,IF(BR20&lt;=Condition!$F$16,Condition!$D$16,IF(BR20&lt;=Condition!$F$17,Condition!$D$17,IF(BR20&lt;=Condition!$F$18,Condition!$D$18,IF(BR20&gt;Condition!$E$19,Condition!$D$19,"")))))</f>
        <v>0</v>
      </c>
      <c r="BS63" s="85">
        <f>IF(BS20&lt;=Condition!$E$16,0,IF(BS20&lt;=Condition!$F$16,Condition!$D$16,IF(BS20&lt;=Condition!$F$17,Condition!$D$17,IF(BS20&lt;=Condition!$F$18,Condition!$D$18,IF(BS20&gt;Condition!$E$19,Condition!$D$19,"")))))</f>
        <v>0</v>
      </c>
      <c r="BT63" s="85">
        <f>IF(BT20&lt;=Condition!$E$16,0,IF(BT20&lt;=Condition!$F$16,Condition!$D$16,IF(BT20&lt;=Condition!$F$17,Condition!$D$17,IF(BT20&lt;=Condition!$F$18,Condition!$D$18,IF(BT20&gt;Condition!$E$19,Condition!$D$19,"")))))</f>
        <v>0</v>
      </c>
      <c r="BU63" s="85">
        <f>IF(BU20&lt;=Condition!$E$16,0,IF(BU20&lt;=Condition!$F$16,Condition!$D$16,IF(BU20&lt;=Condition!$F$17,Condition!$D$17,IF(BU20&lt;=Condition!$F$18,Condition!$D$18,IF(BU20&gt;Condition!$E$19,Condition!$D$19,"")))))</f>
        <v>0</v>
      </c>
      <c r="BV63" s="85">
        <f>IF(BV20&lt;=Condition!$E$16,0,IF(BV20&lt;=Condition!$F$16,Condition!$D$16,IF(BV20&lt;=Condition!$F$17,Condition!$D$17,IF(BV20&lt;=Condition!$F$18,Condition!$D$18,IF(BV20&gt;Condition!$E$19,Condition!$D$19,"")))))</f>
        <v>0</v>
      </c>
      <c r="BW63" s="85">
        <f>IF(BW20&lt;=Condition!$E$16,0,IF(BW20&lt;=Condition!$F$16,Condition!$D$16,IF(BW20&lt;=Condition!$F$17,Condition!$D$17,IF(BW20&lt;=Condition!$F$18,Condition!$D$18,IF(BW20&gt;Condition!$E$19,Condition!$D$19,"")))))</f>
        <v>0</v>
      </c>
      <c r="BX63" s="85">
        <f>IF(BX20&lt;=Condition!$E$16,0,IF(BX20&lt;=Condition!$F$16,Condition!$D$16,IF(BX20&lt;=Condition!$F$17,Condition!$D$17,IF(BX20&lt;=Condition!$F$18,Condition!$D$18,IF(BX20&gt;Condition!$E$19,Condition!$D$19,"")))))</f>
        <v>0</v>
      </c>
      <c r="BY63" s="85">
        <f>IF(BY20&lt;=Condition!$E$16,0,IF(BY20&lt;=Condition!$F$16,Condition!$D$16,IF(BY20&lt;=Condition!$F$17,Condition!$D$17,IF(BY20&lt;=Condition!$F$18,Condition!$D$18,IF(BY20&gt;Condition!$E$19,Condition!$D$19,"")))))</f>
        <v>0</v>
      </c>
      <c r="BZ63" s="85">
        <f>IF(BZ20&lt;=Condition!$E$16,0,IF(BZ20&lt;=Condition!$F$16,Condition!$D$16,IF(BZ20&lt;=Condition!$F$17,Condition!$D$17,IF(BZ20&lt;=Condition!$F$18,Condition!$D$18,IF(BZ20&gt;Condition!$E$19,Condition!$D$19,"")))))</f>
        <v>0</v>
      </c>
      <c r="CA63" s="85">
        <f>IF(CA20&lt;=Condition!$E$16,0,IF(CA20&lt;=Condition!$F$16,Condition!$D$16,IF(CA20&lt;=Condition!$F$17,Condition!$D$17,IF(CA20&lt;=Condition!$F$18,Condition!$D$18,IF(CA20&gt;Condition!$E$19,Condition!$D$19,"")))))</f>
        <v>0</v>
      </c>
      <c r="CB63" s="85">
        <f>IF(CB20&lt;=Condition!$E$16,0,IF(CB20&lt;=Condition!$F$16,Condition!$D$16,IF(CB20&lt;=Condition!$F$17,Condition!$D$17,IF(CB20&lt;=Condition!$F$18,Condition!$D$18,IF(CB20&gt;Condition!$E$19,Condition!$D$19,"")))))</f>
        <v>0</v>
      </c>
      <c r="CC63" s="85">
        <f>IF(CC20&lt;=Condition!$E$16,0,IF(CC20&lt;=Condition!$F$16,Condition!$D$16,IF(CC20&lt;=Condition!$F$17,Condition!$D$17,IF(CC20&lt;=Condition!$F$18,Condition!$D$18,IF(CC20&gt;Condition!$E$19,Condition!$D$19,"")))))</f>
        <v>0</v>
      </c>
      <c r="CD63" s="85">
        <f>IF(CD20&lt;=Condition!$E$16,0,IF(CD20&lt;=Condition!$F$16,Condition!$D$16,IF(CD20&lt;=Condition!$F$17,Condition!$D$17,IF(CD20&lt;=Condition!$F$18,Condition!$D$18,IF(CD20&gt;Condition!$E$19,Condition!$D$19,"")))))</f>
        <v>0</v>
      </c>
      <c r="CE63" s="85">
        <f>IF(CE20&lt;=Condition!$E$16,0,IF(CE20&lt;=Condition!$F$16,Condition!$D$16,IF(CE20&lt;=Condition!$F$17,Condition!$D$17,IF(CE20&lt;=Condition!$F$18,Condition!$D$18,IF(CE20&gt;Condition!$E$19,Condition!$D$19,"")))))</f>
        <v>0</v>
      </c>
      <c r="CF63" s="85">
        <f>IF(CF20&lt;=Condition!$E$16,0,IF(CF20&lt;=Condition!$F$16,Condition!$D$16,IF(CF20&lt;=Condition!$F$17,Condition!$D$17,IF(CF20&lt;=Condition!$F$18,Condition!$D$18,IF(CF20&gt;Condition!$E$19,Condition!$D$19,"")))))</f>
        <v>0</v>
      </c>
      <c r="CG63" s="85">
        <f>IF(CG20&lt;=Condition!$E$16,0,IF(CG20&lt;=Condition!$F$16,Condition!$D$16,IF(CG20&lt;=Condition!$F$17,Condition!$D$17,IF(CG20&lt;=Condition!$F$18,Condition!$D$18,IF(CG20&gt;Condition!$E$19,Condition!$D$19,"")))))</f>
        <v>0</v>
      </c>
      <c r="CH63" s="85">
        <f>IF(CH20&lt;=Condition!$E$16,0,IF(CH20&lt;=Condition!$F$16,Condition!$D$16,IF(CH20&lt;=Condition!$F$17,Condition!$D$17,IF(CH20&lt;=Condition!$F$18,Condition!$D$18,IF(CH20&gt;Condition!$E$19,Condition!$D$19,"")))))</f>
        <v>0</v>
      </c>
      <c r="CI63" s="85">
        <f>IF(CI20&lt;=Condition!$E$16,0,IF(CI20&lt;=Condition!$F$16,Condition!$D$16,IF(CI20&lt;=Condition!$F$17,Condition!$D$17,IF(CI20&lt;=Condition!$F$18,Condition!$D$18,IF(CI20&gt;Condition!$E$19,Condition!$D$19,"")))))</f>
        <v>0</v>
      </c>
      <c r="CJ63" s="85">
        <f>IF(CJ20&lt;=Condition!$E$16,0,IF(CJ20&lt;=Condition!$F$16,Condition!$D$16,IF(CJ20&lt;=Condition!$F$17,Condition!$D$17,IF(CJ20&lt;=Condition!$F$18,Condition!$D$18,IF(CJ20&gt;Condition!$E$19,Condition!$D$19,"")))))</f>
        <v>0</v>
      </c>
      <c r="CK63" s="85">
        <f>IF(CK20&lt;=Condition!$E$16,0,IF(CK20&lt;=Condition!$F$16,Condition!$D$16,IF(CK20&lt;=Condition!$F$17,Condition!$D$17,IF(CK20&lt;=Condition!$F$18,Condition!$D$18,IF(CK20&gt;Condition!$E$19,Condition!$D$19,"")))))</f>
        <v>0</v>
      </c>
      <c r="CL63" s="85">
        <f>IF(CL20&lt;=Condition!$E$16,0,IF(CL20&lt;=Condition!$F$16,Condition!$D$16,IF(CL20&lt;=Condition!$F$17,Condition!$D$17,IF(CL20&lt;=Condition!$F$18,Condition!$D$18,IF(CL20&gt;Condition!$E$19,Condition!$D$19,"")))))</f>
        <v>0</v>
      </c>
      <c r="CM63" s="85">
        <f>IF(CM20&lt;=Condition!$E$16,0,IF(CM20&lt;=Condition!$F$16,Condition!$D$16,IF(CM20&lt;=Condition!$F$17,Condition!$D$17,IF(CM20&lt;=Condition!$F$18,Condition!$D$18,IF(CM20&gt;Condition!$E$19,Condition!$D$19,"")))))</f>
        <v>0</v>
      </c>
      <c r="CN63" s="85">
        <f>IF(CN20&lt;=Condition!$E$16,0,IF(CN20&lt;=Condition!$F$16,Condition!$D$16,IF(CN20&lt;=Condition!$F$17,Condition!$D$17,IF(CN20&lt;=Condition!$F$18,Condition!$D$18,IF(CN20&gt;Condition!$E$19,Condition!$D$19,"")))))</f>
        <v>0</v>
      </c>
      <c r="CO63" s="85">
        <f>IF(CO20&lt;=Condition!$E$16,0,IF(CO20&lt;=Condition!$F$16,Condition!$D$16,IF(CO20&lt;=Condition!$F$17,Condition!$D$17,IF(CO20&lt;=Condition!$F$18,Condition!$D$18,IF(CO20&gt;Condition!$E$19,Condition!$D$19,"")))))</f>
        <v>0</v>
      </c>
      <c r="CP63" s="85">
        <f>IF(CP20&lt;=Condition!$E$16,0,IF(CP20&lt;=Condition!$F$16,Condition!$D$16,IF(CP20&lt;=Condition!$F$17,Condition!$D$17,IF(CP20&lt;=Condition!$F$18,Condition!$D$18,IF(CP20&gt;Condition!$E$19,Condition!$D$19,"")))))</f>
        <v>0</v>
      </c>
      <c r="CQ63" s="85">
        <f>IF(CQ20&lt;=Condition!$E$16,0,IF(CQ20&lt;=Condition!$F$16,Condition!$D$16,IF(CQ20&lt;=Condition!$F$17,Condition!$D$17,IF(CQ20&lt;=Condition!$F$18,Condition!$D$18,IF(CQ20&gt;Condition!$E$19,Condition!$D$19,"")))))</f>
        <v>0</v>
      </c>
      <c r="CR63" s="85">
        <f>IF(CR20&lt;=Condition!$E$16,0,IF(CR20&lt;=Condition!$F$16,Condition!$D$16,IF(CR20&lt;=Condition!$F$17,Condition!$D$17,IF(CR20&lt;=Condition!$F$18,Condition!$D$18,IF(CR20&gt;Condition!$E$19,Condition!$D$19,"")))))</f>
        <v>0</v>
      </c>
      <c r="CS63" s="85">
        <f>IF(CS20&lt;=Condition!$E$16,0,IF(CS20&lt;=Condition!$F$16,Condition!$D$16,IF(CS20&lt;=Condition!$F$17,Condition!$D$17,IF(CS20&lt;=Condition!$F$18,Condition!$D$18,IF(CS20&gt;Condition!$E$19,Condition!$D$19,"")))))</f>
        <v>0</v>
      </c>
      <c r="CT63" s="85">
        <f>IF(CT20&lt;=Condition!$E$16,0,IF(CT20&lt;=Condition!$F$16,Condition!$D$16,IF(CT20&lt;=Condition!$F$17,Condition!$D$17,IF(CT20&lt;=Condition!$F$18,Condition!$D$18,IF(CT20&gt;Condition!$E$19,Condition!$D$19,"")))))</f>
        <v>0</v>
      </c>
      <c r="CU63" s="85">
        <f>IF(CU20&lt;=Condition!$E$16,0,IF(CU20&lt;=Condition!$F$16,Condition!$D$16,IF(CU20&lt;=Condition!$F$17,Condition!$D$17,IF(CU20&lt;=Condition!$F$18,Condition!$D$18,IF(CU20&gt;Condition!$E$19,Condition!$D$19,"")))))</f>
        <v>0</v>
      </c>
      <c r="CV63" s="85">
        <f>IF(CV20&lt;=Condition!$E$16,0,IF(CV20&lt;=Condition!$F$16,Condition!$D$16,IF(CV20&lt;=Condition!$F$17,Condition!$D$17,IF(CV20&lt;=Condition!$F$18,Condition!$D$18,IF(CV20&gt;Condition!$E$19,Condition!$D$19,"")))))</f>
        <v>0</v>
      </c>
      <c r="CW63" s="85">
        <f>IF(CW20&lt;=Condition!$E$16,0,IF(CW20&lt;=Condition!$F$16,Condition!$D$16,IF(CW20&lt;=Condition!$F$17,Condition!$D$17,IF(CW20&lt;=Condition!$F$18,Condition!$D$18,IF(CW20&gt;Condition!$E$19,Condition!$D$19,"")))))</f>
        <v>0</v>
      </c>
      <c r="CX63" s="85">
        <f>IF(CX20&lt;=Condition!$E$16,0,IF(CX20&lt;=Condition!$F$16,Condition!$D$16,IF(CX20&lt;=Condition!$F$17,Condition!$D$17,IF(CX20&lt;=Condition!$F$18,Condition!$D$18,IF(CX20&gt;Condition!$E$19,Condition!$D$19,"")))))</f>
        <v>0</v>
      </c>
      <c r="CY63" s="85">
        <f>IF(CY20&lt;=Condition!$E$16,0,IF(CY20&lt;=Condition!$F$16,Condition!$D$16,IF(CY20&lt;=Condition!$F$17,Condition!$D$17,IF(CY20&lt;=Condition!$F$18,Condition!$D$18,IF(CY20&gt;Condition!$E$19,Condition!$D$19,"")))))</f>
        <v>0</v>
      </c>
      <c r="CZ63" s="85">
        <f>IF(CZ20&lt;=Condition!$E$16,0,IF(CZ20&lt;=Condition!$F$16,Condition!$D$16,IF(CZ20&lt;=Condition!$F$17,Condition!$D$17,IF(CZ20&lt;=Condition!$F$18,Condition!$D$18,IF(CZ20&gt;Condition!$E$19,Condition!$D$19,"")))))</f>
        <v>0</v>
      </c>
      <c r="DA63" s="85">
        <f>IF(DA20&lt;=Condition!$E$16,0,IF(DA20&lt;=Condition!$F$16,Condition!$D$16,IF(DA20&lt;=Condition!$F$17,Condition!$D$17,IF(DA20&lt;=Condition!$F$18,Condition!$D$18,IF(DA20&gt;Condition!$E$19,Condition!$D$19,"")))))</f>
        <v>0</v>
      </c>
      <c r="DB63" s="85">
        <f>IF(DB20&lt;=Condition!$E$16,0,IF(DB20&lt;=Condition!$F$16,Condition!$D$16,IF(DB20&lt;=Condition!$F$17,Condition!$D$17,IF(DB20&lt;=Condition!$F$18,Condition!$D$18,IF(DB20&gt;Condition!$E$19,Condition!$D$19,"")))))</f>
        <v>0</v>
      </c>
      <c r="DC63" s="85">
        <f>IF(DC20&lt;=Condition!$E$16,0,IF(DC20&lt;=Condition!$F$16,Condition!$D$16,IF(DC20&lt;=Condition!$F$17,Condition!$D$17,IF(DC20&lt;=Condition!$F$18,Condition!$D$18,IF(DC20&gt;Condition!$E$19,Condition!$D$19,"")))))</f>
        <v>0</v>
      </c>
      <c r="DD63" s="85">
        <f>IF(DD20&lt;=Condition!$E$16,0,IF(DD20&lt;=Condition!$F$16,Condition!$D$16,IF(DD20&lt;=Condition!$F$17,Condition!$D$17,IF(DD20&lt;=Condition!$F$18,Condition!$D$18,IF(DD20&gt;Condition!$E$19,Condition!$D$19,"")))))</f>
        <v>0</v>
      </c>
      <c r="DE63" s="85">
        <f>IF(DE20&lt;=Condition!$E$16,0,IF(DE20&lt;=Condition!$F$16,Condition!$D$16,IF(DE20&lt;=Condition!$F$17,Condition!$D$17,IF(DE20&lt;=Condition!$F$18,Condition!$D$18,IF(DE20&gt;Condition!$E$19,Condition!$D$19,"")))))</f>
        <v>0</v>
      </c>
      <c r="DF63" s="85">
        <f>IF(DF20&lt;=Condition!$E$16,0,IF(DF20&lt;=Condition!$F$16,Condition!$D$16,IF(DF20&lt;=Condition!$F$17,Condition!$D$17,IF(DF20&lt;=Condition!$F$18,Condition!$D$18,IF(DF20&gt;Condition!$E$19,Condition!$D$19,"")))))</f>
        <v>0</v>
      </c>
      <c r="DG63" s="85">
        <f>IF(DG20&lt;=Condition!$E$16,0,IF(DG20&lt;=Condition!$F$16,Condition!$D$16,IF(DG20&lt;=Condition!$F$17,Condition!$D$17,IF(DG20&lt;=Condition!$F$18,Condition!$D$18,IF(DG20&gt;Condition!$E$19,Condition!$D$19,"")))))</f>
        <v>0</v>
      </c>
      <c r="DH63" s="85">
        <f>IF(DH20&lt;=Condition!$E$16,0,IF(DH20&lt;=Condition!$F$16,Condition!$D$16,IF(DH20&lt;=Condition!$F$17,Condition!$D$17,IF(DH20&lt;=Condition!$F$18,Condition!$D$18,IF(DH20&gt;Condition!$E$19,Condition!$D$19,"")))))</f>
        <v>0</v>
      </c>
      <c r="DI63" s="85">
        <f>IF(DI20&lt;=Condition!$E$16,0,IF(DI20&lt;=Condition!$F$16,Condition!$D$16,IF(DI20&lt;=Condition!$F$17,Condition!$D$17,IF(DI20&lt;=Condition!$F$18,Condition!$D$18,IF(DI20&gt;Condition!$E$19,Condition!$D$19,"")))))</f>
        <v>0</v>
      </c>
      <c r="DJ63" s="85">
        <f>IF(DJ20&lt;=Condition!$E$16,0,IF(DJ20&lt;=Condition!$F$16,Condition!$D$16,IF(DJ20&lt;=Condition!$F$17,Condition!$D$17,IF(DJ20&lt;=Condition!$F$18,Condition!$D$18,IF(DJ20&gt;Condition!$E$19,Condition!$D$19,"")))))</f>
        <v>0</v>
      </c>
      <c r="DK63" s="85">
        <f>IF(DK20&lt;=Condition!$E$16,0,IF(DK20&lt;=Condition!$F$16,Condition!$D$16,IF(DK20&lt;=Condition!$F$17,Condition!$D$17,IF(DK20&lt;=Condition!$F$18,Condition!$D$18,IF(DK20&gt;Condition!$E$19,Condition!$D$19,"")))))</f>
        <v>0</v>
      </c>
      <c r="DL63" s="85">
        <f>IF(DL20&lt;=Condition!$E$16,0,IF(DL20&lt;=Condition!$F$16,Condition!$D$16,IF(DL20&lt;=Condition!$F$17,Condition!$D$17,IF(DL20&lt;=Condition!$F$18,Condition!$D$18,IF(DL20&gt;Condition!$E$19,Condition!$D$19,"")))))</f>
        <v>0</v>
      </c>
      <c r="DM63" s="85">
        <f>IF(DM20&lt;=Condition!$E$16,0,IF(DM20&lt;=Condition!$F$16,Condition!$D$16,IF(DM20&lt;=Condition!$F$17,Condition!$D$17,IF(DM20&lt;=Condition!$F$18,Condition!$D$18,IF(DM20&gt;Condition!$E$19,Condition!$D$19,"")))))</f>
        <v>0</v>
      </c>
      <c r="DN63" s="85">
        <f>IF(DN20&lt;=Condition!$E$16,0,IF(DN20&lt;=Condition!$F$16,Condition!$D$16,IF(DN20&lt;=Condition!$F$17,Condition!$D$17,IF(DN20&lt;=Condition!$F$18,Condition!$D$18,IF(DN20&gt;Condition!$E$19,Condition!$D$19,"")))))</f>
        <v>0</v>
      </c>
      <c r="DO63" s="85">
        <f>IF(DO20&lt;=Condition!$E$16,0,IF(DO20&lt;=Condition!$F$16,Condition!$D$16,IF(DO20&lt;=Condition!$F$17,Condition!$D$17,IF(DO20&lt;=Condition!$F$18,Condition!$D$18,IF(DO20&gt;Condition!$E$19,Condition!$D$19,"")))))</f>
        <v>0</v>
      </c>
      <c r="DP63" s="85">
        <f>IF(DP20&lt;=Condition!$E$16,0,IF(DP20&lt;=Condition!$F$16,Condition!$D$16,IF(DP20&lt;=Condition!$F$17,Condition!$D$17,IF(DP20&lt;=Condition!$F$18,Condition!$D$18,IF(DP20&gt;Condition!$E$19,Condition!$D$19,"")))))</f>
        <v>0</v>
      </c>
      <c r="DQ63" s="85">
        <f>IF(DQ20&lt;=Condition!$E$16,0,IF(DQ20&lt;=Condition!$F$16,Condition!$D$16,IF(DQ20&lt;=Condition!$F$17,Condition!$D$17,IF(DQ20&lt;=Condition!$F$18,Condition!$D$18,IF(DQ20&gt;Condition!$E$19,Condition!$D$19,"")))))</f>
        <v>0</v>
      </c>
      <c r="DR63" s="85">
        <f>IF(DR20&lt;=Condition!$E$16,0,IF(DR20&lt;=Condition!$F$16,Condition!$D$16,IF(DR20&lt;=Condition!$F$17,Condition!$D$17,IF(DR20&lt;=Condition!$F$18,Condition!$D$18,IF(DR20&gt;Condition!$E$19,Condition!$D$19,"")))))</f>
        <v>0</v>
      </c>
      <c r="DS63" s="85">
        <f>IF(DS20&lt;=Condition!$E$16,0,IF(DS20&lt;=Condition!$F$16,Condition!$D$16,IF(DS20&lt;=Condition!$F$17,Condition!$D$17,IF(DS20&lt;=Condition!$F$18,Condition!$D$18,IF(DS20&gt;Condition!$E$19,Condition!$D$19,"")))))</f>
        <v>0</v>
      </c>
      <c r="DT63" s="85">
        <f>IF(DT20&lt;=Condition!$E$16,0,IF(DT20&lt;=Condition!$F$16,Condition!$D$16,IF(DT20&lt;=Condition!$F$17,Condition!$D$17,IF(DT20&lt;=Condition!$F$18,Condition!$D$18,IF(DT20&gt;Condition!$E$19,Condition!$D$19,"")))))</f>
        <v>0</v>
      </c>
      <c r="DU63" s="85">
        <f>IF(DU20&lt;=Condition!$E$16,0,IF(DU20&lt;=Condition!$F$16,Condition!$D$16,IF(DU20&lt;=Condition!$F$17,Condition!$D$17,IF(DU20&lt;=Condition!$F$18,Condition!$D$18,IF(DU20&gt;Condition!$E$19,Condition!$D$19,"")))))</f>
        <v>0</v>
      </c>
      <c r="DV63" s="85">
        <f>IF(DV20&lt;=Condition!$E$16,0,IF(DV20&lt;=Condition!$F$16,Condition!$D$16,IF(DV20&lt;=Condition!$F$17,Condition!$D$17,IF(DV20&lt;=Condition!$F$18,Condition!$D$18,IF(DV20&gt;Condition!$E$19,Condition!$D$19,"")))))</f>
        <v>0</v>
      </c>
      <c r="DW63" s="85">
        <f>IF(DW20&lt;=Condition!$E$16,0,IF(DW20&lt;=Condition!$F$16,Condition!$D$16,IF(DW20&lt;=Condition!$F$17,Condition!$D$17,IF(DW20&lt;=Condition!$F$18,Condition!$D$18,IF(DW20&gt;Condition!$E$19,Condition!$D$19,"")))))</f>
        <v>0</v>
      </c>
      <c r="DX63" s="85">
        <f>IF(DX20&lt;=Condition!$E$16,0,IF(DX20&lt;=Condition!$F$16,Condition!$D$16,IF(DX20&lt;=Condition!$F$17,Condition!$D$17,IF(DX20&lt;=Condition!$F$18,Condition!$D$18,IF(DX20&gt;Condition!$E$19,Condition!$D$19,"")))))</f>
        <v>0</v>
      </c>
      <c r="DY63" s="85">
        <f>IF(DY20&lt;=Condition!$E$16,0,IF(DY20&lt;=Condition!$F$16,Condition!$D$16,IF(DY20&lt;=Condition!$F$17,Condition!$D$17,IF(DY20&lt;=Condition!$F$18,Condition!$D$18,IF(DY20&gt;Condition!$E$19,Condition!$D$19,"")))))</f>
        <v>0</v>
      </c>
      <c r="DZ63" s="85">
        <f>IF(DZ20&lt;=Condition!$E$16,0,IF(DZ20&lt;=Condition!$F$16,Condition!$D$16,IF(DZ20&lt;=Condition!$F$17,Condition!$D$17,IF(DZ20&lt;=Condition!$F$18,Condition!$D$18,IF(DZ20&gt;Condition!$E$19,Condition!$D$19,"")))))</f>
        <v>0</v>
      </c>
      <c r="EA63" s="85">
        <f>IF(EA20&lt;=Condition!$E$16,0,IF(EA20&lt;=Condition!$F$16,Condition!$D$16,IF(EA20&lt;=Condition!$F$17,Condition!$D$17,IF(EA20&lt;=Condition!$F$18,Condition!$D$18,IF(EA20&gt;Condition!$E$19,Condition!$D$19,"")))))</f>
        <v>0</v>
      </c>
      <c r="EB63" s="85">
        <f>IF(EB20&lt;=Condition!$E$16,0,IF(EB20&lt;=Condition!$F$16,Condition!$D$16,IF(EB20&lt;=Condition!$F$17,Condition!$D$17,IF(EB20&lt;=Condition!$F$18,Condition!$D$18,IF(EB20&gt;Condition!$E$19,Condition!$D$19,"")))))</f>
        <v>0</v>
      </c>
      <c r="EC63" s="85">
        <f>IF(EC20&lt;=Condition!$E$16,0,IF(EC20&lt;=Condition!$F$16,Condition!$D$16,IF(EC20&lt;=Condition!$F$17,Condition!$D$17,IF(EC20&lt;=Condition!$F$18,Condition!$D$18,IF(EC20&gt;Condition!$E$19,Condition!$D$19,"")))))</f>
        <v>0</v>
      </c>
      <c r="ED63" s="85">
        <f>IF(ED20&lt;=Condition!$E$16,0,IF(ED20&lt;=Condition!$F$16,Condition!$D$16,IF(ED20&lt;=Condition!$F$17,Condition!$D$17,IF(ED20&lt;=Condition!$F$18,Condition!$D$18,IF(ED20&gt;Condition!$E$19,Condition!$D$19,"")))))</f>
        <v>0</v>
      </c>
      <c r="EE63" s="85">
        <f>IF(EE20&lt;=Condition!$E$16,0,IF(EE20&lt;=Condition!$F$16,Condition!$D$16,IF(EE20&lt;=Condition!$F$17,Condition!$D$17,IF(EE20&lt;=Condition!$F$18,Condition!$D$18,IF(EE20&gt;Condition!$E$19,Condition!$D$19,"")))))</f>
        <v>0</v>
      </c>
      <c r="EF63" s="85">
        <f>IF(EF20&lt;=Condition!$E$16,0,IF(EF20&lt;=Condition!$F$16,Condition!$D$16,IF(EF20&lt;=Condition!$F$17,Condition!$D$17,IF(EF20&lt;=Condition!$F$18,Condition!$D$18,IF(EF20&gt;Condition!$E$19,Condition!$D$19,"")))))</f>
        <v>0</v>
      </c>
      <c r="EG63" s="85">
        <f>IF(EG20&lt;=Condition!$E$16,0,IF(EG20&lt;=Condition!$F$16,Condition!$D$16,IF(EG20&lt;=Condition!$F$17,Condition!$D$17,IF(EG20&lt;=Condition!$F$18,Condition!$D$18,IF(EG20&gt;Condition!$E$19,Condition!$D$19,"")))))</f>
        <v>0</v>
      </c>
      <c r="EH63" s="85">
        <f>IF(EH20&lt;=Condition!$E$16,0,IF(EH20&lt;=Condition!$F$16,Condition!$D$16,IF(EH20&lt;=Condition!$F$17,Condition!$D$17,IF(EH20&lt;=Condition!$F$18,Condition!$D$18,IF(EH20&gt;Condition!$E$19,Condition!$D$19,"")))))</f>
        <v>0</v>
      </c>
      <c r="EI63" s="85">
        <f>IF(EI20&lt;=Condition!$E$16,0,IF(EI20&lt;=Condition!$F$16,Condition!$D$16,IF(EI20&lt;=Condition!$F$17,Condition!$D$17,IF(EI20&lt;=Condition!$F$18,Condition!$D$18,IF(EI20&gt;Condition!$E$19,Condition!$D$19,"")))))</f>
        <v>0</v>
      </c>
      <c r="EJ63" s="85">
        <f>IF(EJ20&lt;=Condition!$E$16,0,IF(EJ20&lt;=Condition!$F$16,Condition!$D$16,IF(EJ20&lt;=Condition!$F$17,Condition!$D$17,IF(EJ20&lt;=Condition!$F$18,Condition!$D$18,IF(EJ20&gt;Condition!$E$19,Condition!$D$19,"")))))</f>
        <v>0</v>
      </c>
      <c r="EK63" s="85">
        <f>IF(EK20&lt;=Condition!$E$16,0,IF(EK20&lt;=Condition!$F$16,Condition!$D$16,IF(EK20&lt;=Condition!$F$17,Condition!$D$17,IF(EK20&lt;=Condition!$F$18,Condition!$D$18,IF(EK20&gt;Condition!$E$19,Condition!$D$19,"")))))</f>
        <v>0</v>
      </c>
      <c r="EL63" s="85">
        <f>IF(EL20&lt;=Condition!$E$16,0,IF(EL20&lt;=Condition!$F$16,Condition!$D$16,IF(EL20&lt;=Condition!$F$17,Condition!$D$17,IF(EL20&lt;=Condition!$F$18,Condition!$D$18,IF(EL20&gt;Condition!$E$19,Condition!$D$19,"")))))</f>
        <v>0</v>
      </c>
      <c r="EM63" s="85">
        <f>IF(EM20&lt;=Condition!$E$16,0,IF(EM20&lt;=Condition!$F$16,Condition!$D$16,IF(EM20&lt;=Condition!$F$17,Condition!$D$17,IF(EM20&lt;=Condition!$F$18,Condition!$D$18,IF(EM20&gt;Condition!$E$19,Condition!$D$19,"")))))</f>
        <v>0</v>
      </c>
      <c r="EN63" s="85">
        <f>IF(EN20&lt;=Condition!$E$16,0,IF(EN20&lt;=Condition!$F$16,Condition!$D$16,IF(EN20&lt;=Condition!$F$17,Condition!$D$17,IF(EN20&lt;=Condition!$F$18,Condition!$D$18,IF(EN20&gt;Condition!$E$19,Condition!$D$19,"")))))</f>
        <v>0</v>
      </c>
      <c r="EO63" s="85">
        <f>IF(EO20&lt;=Condition!$E$16,0,IF(EO20&lt;=Condition!$F$16,Condition!$D$16,IF(EO20&lt;=Condition!$F$17,Condition!$D$17,IF(EO20&lt;=Condition!$F$18,Condition!$D$18,IF(EO20&gt;Condition!$E$19,Condition!$D$19,"")))))</f>
        <v>0</v>
      </c>
      <c r="EP63" s="85">
        <f>IF(EP20&lt;=Condition!$E$16,0,IF(EP20&lt;=Condition!$F$16,Condition!$D$16,IF(EP20&lt;=Condition!$F$17,Condition!$D$17,IF(EP20&lt;=Condition!$F$18,Condition!$D$18,IF(EP20&gt;Condition!$E$19,Condition!$D$19,"")))))</f>
        <v>0</v>
      </c>
      <c r="EQ63" s="85">
        <f>IF(EQ20&lt;=Condition!$E$16,0,IF(EQ20&lt;=Condition!$F$16,Condition!$D$16,IF(EQ20&lt;=Condition!$F$17,Condition!$D$17,IF(EQ20&lt;=Condition!$F$18,Condition!$D$18,IF(EQ20&gt;Condition!$E$19,Condition!$D$19,"")))))</f>
        <v>0</v>
      </c>
      <c r="ER63" s="85">
        <f>IF(ER20&lt;=Condition!$E$16,0,IF(ER20&lt;=Condition!$F$16,Condition!$D$16,IF(ER20&lt;=Condition!$F$17,Condition!$D$17,IF(ER20&lt;=Condition!$F$18,Condition!$D$18,IF(ER20&gt;Condition!$E$19,Condition!$D$19,"")))))</f>
        <v>0</v>
      </c>
      <c r="ES63" s="85">
        <f>IF(ES20&lt;=Condition!$E$16,0,IF(ES20&lt;=Condition!$F$16,Condition!$D$16,IF(ES20&lt;=Condition!$F$17,Condition!$D$17,IF(ES20&lt;=Condition!$F$18,Condition!$D$18,IF(ES20&gt;Condition!$E$19,Condition!$D$19,"")))))</f>
        <v>0</v>
      </c>
      <c r="ET63" s="85">
        <f>IF(ET20&lt;=Condition!$E$16,0,IF(ET20&lt;=Condition!$F$16,Condition!$D$16,IF(ET20&lt;=Condition!$F$17,Condition!$D$17,IF(ET20&lt;=Condition!$F$18,Condition!$D$18,IF(ET20&gt;Condition!$E$19,Condition!$D$19,"")))))</f>
        <v>0</v>
      </c>
      <c r="EU63" s="85">
        <f>IF(EU20&lt;=Condition!$E$16,0,IF(EU20&lt;=Condition!$F$16,Condition!$D$16,IF(EU20&lt;=Condition!$F$17,Condition!$D$17,IF(EU20&lt;=Condition!$F$18,Condition!$D$18,IF(EU20&gt;Condition!$E$19,Condition!$D$19,"")))))</f>
        <v>0</v>
      </c>
      <c r="EV63" s="85">
        <f>IF(EV20&lt;=Condition!$E$16,0,IF(EV20&lt;=Condition!$F$16,Condition!$D$16,IF(EV20&lt;=Condition!$F$17,Condition!$D$17,IF(EV20&lt;=Condition!$F$18,Condition!$D$18,IF(EV20&gt;Condition!$E$19,Condition!$D$19,"")))))</f>
        <v>0</v>
      </c>
      <c r="EW63" s="85">
        <f>IF(EW20&lt;=Condition!$E$16,0,IF(EW20&lt;=Condition!$F$16,Condition!$D$16,IF(EW20&lt;=Condition!$F$17,Condition!$D$17,IF(EW20&lt;=Condition!$F$18,Condition!$D$18,IF(EW20&gt;Condition!$E$19,Condition!$D$19,"")))))</f>
        <v>0</v>
      </c>
      <c r="EX63" s="85">
        <f>IF(EX20&lt;=Condition!$E$16,0,IF(EX20&lt;=Condition!$F$16,Condition!$D$16,IF(EX20&lt;=Condition!$F$17,Condition!$D$17,IF(EX20&lt;=Condition!$F$18,Condition!$D$18,IF(EX20&gt;Condition!$E$19,Condition!$D$19,"")))))</f>
        <v>0</v>
      </c>
      <c r="EY63" s="85">
        <f>IF(EY20&lt;=Condition!$E$16,0,IF(EY20&lt;=Condition!$F$16,Condition!$D$16,IF(EY20&lt;=Condition!$F$17,Condition!$D$17,IF(EY20&lt;=Condition!$F$18,Condition!$D$18,IF(EY20&gt;Condition!$E$19,Condition!$D$19,"")))))</f>
        <v>0</v>
      </c>
      <c r="EZ63" s="85">
        <f>IF(EZ20&lt;=Condition!$E$16,0,IF(EZ20&lt;=Condition!$F$16,Condition!$D$16,IF(EZ20&lt;=Condition!$F$17,Condition!$D$17,IF(EZ20&lt;=Condition!$F$18,Condition!$D$18,IF(EZ20&gt;Condition!$E$19,Condition!$D$19,"")))))</f>
        <v>0</v>
      </c>
      <c r="FA63" s="85">
        <f>IF(FA20&lt;=Condition!$E$16,0,IF(FA20&lt;=Condition!$F$16,Condition!$D$16,IF(FA20&lt;=Condition!$F$17,Condition!$D$17,IF(FA20&lt;=Condition!$F$18,Condition!$D$18,IF(FA20&gt;Condition!$E$19,Condition!$D$19,"")))))</f>
        <v>0</v>
      </c>
      <c r="FB63" s="85">
        <f>IF(FB20&lt;=Condition!$E$16,0,IF(FB20&lt;=Condition!$F$16,Condition!$D$16,IF(FB20&lt;=Condition!$F$17,Condition!$D$17,IF(FB20&lt;=Condition!$F$18,Condition!$D$18,IF(FB20&gt;Condition!$E$19,Condition!$D$19,"")))))</f>
        <v>0</v>
      </c>
      <c r="FC63" s="85">
        <f>IF(FC20&lt;=Condition!$E$16,0,IF(FC20&lt;=Condition!$F$16,Condition!$D$16,IF(FC20&lt;=Condition!$F$17,Condition!$D$17,IF(FC20&lt;=Condition!$F$18,Condition!$D$18,IF(FC20&gt;Condition!$E$19,Condition!$D$19,"")))))</f>
        <v>0</v>
      </c>
      <c r="FD63" s="85">
        <f>IF(FD20&lt;=Condition!$E$16,0,IF(FD20&lt;=Condition!$F$16,Condition!$D$16,IF(FD20&lt;=Condition!$F$17,Condition!$D$17,IF(FD20&lt;=Condition!$F$18,Condition!$D$18,IF(FD20&gt;Condition!$E$19,Condition!$D$19,"")))))</f>
        <v>0</v>
      </c>
      <c r="FE63" s="85">
        <f>IF(FE20&lt;=Condition!$E$16,0,IF(FE20&lt;=Condition!$F$16,Condition!$D$16,IF(FE20&lt;=Condition!$F$17,Condition!$D$17,IF(FE20&lt;=Condition!$F$18,Condition!$D$18,IF(FE20&gt;Condition!$E$19,Condition!$D$19,"")))))</f>
        <v>0</v>
      </c>
      <c r="FF63" s="85">
        <f>IF(FF20&lt;=Condition!$E$16,0,IF(FF20&lt;=Condition!$F$16,Condition!$D$16,IF(FF20&lt;=Condition!$F$17,Condition!$D$17,IF(FF20&lt;=Condition!$F$18,Condition!$D$18,IF(FF20&gt;Condition!$E$19,Condition!$D$19,"")))))</f>
        <v>0</v>
      </c>
      <c r="FG63" s="85">
        <f>IF(FG20&lt;=Condition!$E$16,0,IF(FG20&lt;=Condition!$F$16,Condition!$D$16,IF(FG20&lt;=Condition!$F$17,Condition!$D$17,IF(FG20&lt;=Condition!$F$18,Condition!$D$18,IF(FG20&gt;Condition!$E$19,Condition!$D$19,"")))))</f>
        <v>0</v>
      </c>
      <c r="FH63" s="85">
        <f>IF(FH20&lt;=Condition!$E$16,0,IF(FH20&lt;=Condition!$F$16,Condition!$D$16,IF(FH20&lt;=Condition!$F$17,Condition!$D$17,IF(FH20&lt;=Condition!$F$18,Condition!$D$18,IF(FH20&gt;Condition!$E$19,Condition!$D$19,"")))))</f>
        <v>0</v>
      </c>
      <c r="FI63" s="85">
        <f>IF(FI20&lt;=Condition!$E$16,0,IF(FI20&lt;=Condition!$F$16,Condition!$D$16,IF(FI20&lt;=Condition!$F$17,Condition!$D$17,IF(FI20&lt;=Condition!$F$18,Condition!$D$18,IF(FI20&gt;Condition!$E$19,Condition!$D$19,"")))))</f>
        <v>0</v>
      </c>
      <c r="FJ63" s="85">
        <f>IF(FJ20&lt;=Condition!$E$16,0,IF(FJ20&lt;=Condition!$F$16,Condition!$D$16,IF(FJ20&lt;=Condition!$F$17,Condition!$D$17,IF(FJ20&lt;=Condition!$F$18,Condition!$D$18,IF(FJ20&gt;Condition!$E$19,Condition!$D$19,"")))))</f>
        <v>0</v>
      </c>
      <c r="FK63" s="85">
        <f>IF(FK20&lt;=Condition!$E$16,0,IF(FK20&lt;=Condition!$F$16,Condition!$D$16,IF(FK20&lt;=Condition!$F$17,Condition!$D$17,IF(FK20&lt;=Condition!$F$18,Condition!$D$18,IF(FK20&gt;Condition!$E$19,Condition!$D$19,"")))))</f>
        <v>0</v>
      </c>
      <c r="FL63" s="85">
        <f>IF(FL20&lt;=Condition!$E$16,0,IF(FL20&lt;=Condition!$F$16,Condition!$D$16,IF(FL20&lt;=Condition!$F$17,Condition!$D$17,IF(FL20&lt;=Condition!$F$18,Condition!$D$18,IF(FL20&gt;Condition!$E$19,Condition!$D$19,"")))))</f>
        <v>0</v>
      </c>
      <c r="FM63" s="85">
        <f>IF(FM20&lt;=Condition!$E$16,0,IF(FM20&lt;=Condition!$F$16,Condition!$D$16,IF(FM20&lt;=Condition!$F$17,Condition!$D$17,IF(FM20&lt;=Condition!$F$18,Condition!$D$18,IF(FM20&gt;Condition!$E$19,Condition!$D$19,"")))))</f>
        <v>0</v>
      </c>
      <c r="FN63" s="85">
        <f>IF(FN20&lt;=Condition!$E$16,0,IF(FN20&lt;=Condition!$F$16,Condition!$D$16,IF(FN20&lt;=Condition!$F$17,Condition!$D$17,IF(FN20&lt;=Condition!$F$18,Condition!$D$18,IF(FN20&gt;Condition!$E$19,Condition!$D$19,"")))))</f>
        <v>0</v>
      </c>
      <c r="FO63" s="85">
        <f>IF(FO20&lt;=Condition!$E$16,0,IF(FO20&lt;=Condition!$F$16,Condition!$D$16,IF(FO20&lt;=Condition!$F$17,Condition!$D$17,IF(FO20&lt;=Condition!$F$18,Condition!$D$18,IF(FO20&gt;Condition!$E$19,Condition!$D$19,"")))))</f>
        <v>0</v>
      </c>
      <c r="FP63" s="85">
        <f>IF(FP20&lt;=Condition!$E$16,0,IF(FP20&lt;=Condition!$F$16,Condition!$D$16,IF(FP20&lt;=Condition!$F$17,Condition!$D$17,IF(FP20&lt;=Condition!$F$18,Condition!$D$18,IF(FP20&gt;Condition!$E$19,Condition!$D$19,"")))))</f>
        <v>0</v>
      </c>
      <c r="FQ63" s="85">
        <f>IF(FQ20&lt;=Condition!$E$16,0,IF(FQ20&lt;=Condition!$F$16,Condition!$D$16,IF(FQ20&lt;=Condition!$F$17,Condition!$D$17,IF(FQ20&lt;=Condition!$F$18,Condition!$D$18,IF(FQ20&gt;Condition!$E$19,Condition!$D$19,"")))))</f>
        <v>0</v>
      </c>
      <c r="FR63" s="85">
        <f>IF(FR20&lt;=Condition!$E$16,0,IF(FR20&lt;=Condition!$F$16,Condition!$D$16,IF(FR20&lt;=Condition!$F$17,Condition!$D$17,IF(FR20&lt;=Condition!$F$18,Condition!$D$18,IF(FR20&gt;Condition!$E$19,Condition!$D$19,"")))))</f>
        <v>0</v>
      </c>
      <c r="FS63" s="85">
        <f>IF(FS20&lt;=Condition!$E$16,0,IF(FS20&lt;=Condition!$F$16,Condition!$D$16,IF(FS20&lt;=Condition!$F$17,Condition!$D$17,IF(FS20&lt;=Condition!$F$18,Condition!$D$18,IF(FS20&gt;Condition!$E$19,Condition!$D$19,"")))))</f>
        <v>0</v>
      </c>
      <c r="FT63" s="85">
        <f>IF(FT20&lt;=Condition!$E$16,0,IF(FT20&lt;=Condition!$F$16,Condition!$D$16,IF(FT20&lt;=Condition!$F$17,Condition!$D$17,IF(FT20&lt;=Condition!$F$18,Condition!$D$18,IF(FT20&gt;Condition!$E$19,Condition!$D$19,"")))))</f>
        <v>0</v>
      </c>
      <c r="FU63" s="85">
        <f>IF(FU20&lt;=Condition!$E$16,0,IF(FU20&lt;=Condition!$F$16,Condition!$D$16,IF(FU20&lt;=Condition!$F$17,Condition!$D$17,IF(FU20&lt;=Condition!$F$18,Condition!$D$18,IF(FU20&gt;Condition!$E$19,Condition!$D$19,"")))))</f>
        <v>0</v>
      </c>
      <c r="FV63" s="85">
        <f>IF(FV20&lt;=Condition!$E$16,0,IF(FV20&lt;=Condition!$F$16,Condition!$D$16,IF(FV20&lt;=Condition!$F$17,Condition!$D$17,IF(FV20&lt;=Condition!$F$18,Condition!$D$18,IF(FV20&gt;Condition!$E$19,Condition!$D$19,"")))))</f>
        <v>0</v>
      </c>
      <c r="FW63" s="85">
        <f>IF(FW20&lt;=Condition!$E$16,0,IF(FW20&lt;=Condition!$F$16,Condition!$D$16,IF(FW20&lt;=Condition!$F$17,Condition!$D$17,IF(FW20&lt;=Condition!$F$18,Condition!$D$18,IF(FW20&gt;Condition!$E$19,Condition!$D$19,"")))))</f>
        <v>0</v>
      </c>
      <c r="FX63" s="85">
        <f>IF(FX20&lt;=Condition!$E$16,0,IF(FX20&lt;=Condition!$F$16,Condition!$D$16,IF(FX20&lt;=Condition!$F$17,Condition!$D$17,IF(FX20&lt;=Condition!$F$18,Condition!$D$18,IF(FX20&gt;Condition!$E$19,Condition!$D$19,"")))))</f>
        <v>0</v>
      </c>
      <c r="FY63" s="85">
        <f>IF(FY20&lt;=Condition!$E$16,0,IF(FY20&lt;=Condition!$F$16,Condition!$D$16,IF(FY20&lt;=Condition!$F$17,Condition!$D$17,IF(FY20&lt;=Condition!$F$18,Condition!$D$18,IF(FY20&gt;Condition!$E$19,Condition!$D$19,"")))))</f>
        <v>0</v>
      </c>
      <c r="FZ63" s="85">
        <f>IF(FZ20&lt;=Condition!$E$16,0,IF(FZ20&lt;=Condition!$F$16,Condition!$D$16,IF(FZ20&lt;=Condition!$F$17,Condition!$D$17,IF(FZ20&lt;=Condition!$F$18,Condition!$D$18,IF(FZ20&gt;Condition!$E$19,Condition!$D$19,"")))))</f>
        <v>0</v>
      </c>
      <c r="GA63" s="85">
        <f>IF(GA20&lt;=Condition!$E$16,0,IF(GA20&lt;=Condition!$F$16,Condition!$D$16,IF(GA20&lt;=Condition!$F$17,Condition!$D$17,IF(GA20&lt;=Condition!$F$18,Condition!$D$18,IF(GA20&gt;Condition!$E$19,Condition!$D$19,"")))))</f>
        <v>0</v>
      </c>
      <c r="GB63" s="85">
        <f>IF(GB20&lt;=Condition!$E$16,0,IF(GB20&lt;=Condition!$F$16,Condition!$D$16,IF(GB20&lt;=Condition!$F$17,Condition!$D$17,IF(GB20&lt;=Condition!$F$18,Condition!$D$18,IF(GB20&gt;Condition!$E$19,Condition!$D$19,"")))))</f>
        <v>0</v>
      </c>
      <c r="GC63" s="85">
        <f>IF(GC20&lt;=Condition!$E$16,0,IF(GC20&lt;=Condition!$F$16,Condition!$D$16,IF(GC20&lt;=Condition!$F$17,Condition!$D$17,IF(GC20&lt;=Condition!$F$18,Condition!$D$18,IF(GC20&gt;Condition!$E$19,Condition!$D$19,"")))))</f>
        <v>0</v>
      </c>
      <c r="GD63" s="85">
        <f>IF(GD20&lt;=Condition!$E$16,0,IF(GD20&lt;=Condition!$F$16,Condition!$D$16,IF(GD20&lt;=Condition!$F$17,Condition!$D$17,IF(GD20&lt;=Condition!$F$18,Condition!$D$18,IF(GD20&gt;Condition!$E$19,Condition!$D$19,"")))))</f>
        <v>0</v>
      </c>
      <c r="GE63" s="85">
        <f>IF(GE20&lt;=Condition!$E$16,0,IF(GE20&lt;=Condition!$F$16,Condition!$D$16,IF(GE20&lt;=Condition!$F$17,Condition!$D$17,IF(GE20&lt;=Condition!$F$18,Condition!$D$18,IF(GE20&gt;Condition!$E$19,Condition!$D$19,"")))))</f>
        <v>0</v>
      </c>
      <c r="GF63" s="85">
        <f>IF(GF20&lt;=Condition!$E$16,0,IF(GF20&lt;=Condition!$F$16,Condition!$D$16,IF(GF20&lt;=Condition!$F$17,Condition!$D$17,IF(GF20&lt;=Condition!$F$18,Condition!$D$18,IF(GF20&gt;Condition!$E$19,Condition!$D$19,"")))))</f>
        <v>0</v>
      </c>
      <c r="GG63" s="85">
        <f>IF(GG20&lt;=Condition!$E$16,0,IF(GG20&lt;=Condition!$F$16,Condition!$D$16,IF(GG20&lt;=Condition!$F$17,Condition!$D$17,IF(GG20&lt;=Condition!$F$18,Condition!$D$18,IF(GG20&gt;Condition!$E$19,Condition!$D$19,"")))))</f>
        <v>0</v>
      </c>
      <c r="GH63" s="85">
        <f>IF(GH20&lt;=Condition!$E$16,0,IF(GH20&lt;=Condition!$F$16,Condition!$D$16,IF(GH20&lt;=Condition!$F$17,Condition!$D$17,IF(GH20&lt;=Condition!$F$18,Condition!$D$18,IF(GH20&gt;Condition!$E$19,Condition!$D$19,"")))))</f>
        <v>0</v>
      </c>
      <c r="GI63" s="85">
        <f>IF(GI20&lt;=Condition!$E$16,0,IF(GI20&lt;=Condition!$F$16,Condition!$D$16,IF(GI20&lt;=Condition!$F$17,Condition!$D$17,IF(GI20&lt;=Condition!$F$18,Condition!$D$18,IF(GI20&gt;Condition!$E$19,Condition!$D$19,"")))))</f>
        <v>0</v>
      </c>
      <c r="GJ63" s="85">
        <f>IF(GJ20&lt;=Condition!$E$16,0,IF(GJ20&lt;=Condition!$F$16,Condition!$D$16,IF(GJ20&lt;=Condition!$F$17,Condition!$D$17,IF(GJ20&lt;=Condition!$F$18,Condition!$D$18,IF(GJ20&gt;Condition!$E$19,Condition!$D$19,"")))))</f>
        <v>0</v>
      </c>
      <c r="GK63" s="85">
        <f>IF(GK20&lt;=Condition!$E$16,0,IF(GK20&lt;=Condition!$F$16,Condition!$D$16,IF(GK20&lt;=Condition!$F$17,Condition!$D$17,IF(GK20&lt;=Condition!$F$18,Condition!$D$18,IF(GK20&gt;Condition!$E$19,Condition!$D$19,"")))))</f>
        <v>0</v>
      </c>
      <c r="GL63" s="85">
        <f>IF(GL20&lt;=Condition!$E$16,0,IF(GL20&lt;=Condition!$F$16,Condition!$D$16,IF(GL20&lt;=Condition!$F$17,Condition!$D$17,IF(GL20&lt;=Condition!$F$18,Condition!$D$18,IF(GL20&gt;Condition!$E$19,Condition!$D$19,"")))))</f>
        <v>0</v>
      </c>
      <c r="GM63" s="85">
        <f>IF(GM20&lt;=Condition!$E$16,0,IF(GM20&lt;=Condition!$F$16,Condition!$D$16,IF(GM20&lt;=Condition!$F$17,Condition!$D$17,IF(GM20&lt;=Condition!$F$18,Condition!$D$18,IF(GM20&gt;Condition!$E$19,Condition!$D$19,"")))))</f>
        <v>0</v>
      </c>
      <c r="GN63" s="85">
        <f>IF(GN20&lt;=Condition!$E$16,0,IF(GN20&lt;=Condition!$F$16,Condition!$D$16,IF(GN20&lt;=Condition!$F$17,Condition!$D$17,IF(GN20&lt;=Condition!$F$18,Condition!$D$18,IF(GN20&gt;Condition!$E$19,Condition!$D$19,"")))))</f>
        <v>0</v>
      </c>
      <c r="GO63" s="85">
        <f>IF(GO20&lt;=Condition!$E$16,0,IF(GO20&lt;=Condition!$F$16,Condition!$D$16,IF(GO20&lt;=Condition!$F$17,Condition!$D$17,IF(GO20&lt;=Condition!$F$18,Condition!$D$18,IF(GO20&gt;Condition!$E$19,Condition!$D$19,"")))))</f>
        <v>0</v>
      </c>
      <c r="GP63" s="85">
        <f>IF(GP20&lt;=Condition!$E$16,0,IF(GP20&lt;=Condition!$F$16,Condition!$D$16,IF(GP20&lt;=Condition!$F$17,Condition!$D$17,IF(GP20&lt;=Condition!$F$18,Condition!$D$18,IF(GP20&gt;Condition!$E$19,Condition!$D$19,"")))))</f>
        <v>0</v>
      </c>
      <c r="GQ63" s="85">
        <f>IF(GQ20&lt;=Condition!$E$16,0,IF(GQ20&lt;=Condition!$F$16,Condition!$D$16,IF(GQ20&lt;=Condition!$F$17,Condition!$D$17,IF(GQ20&lt;=Condition!$F$18,Condition!$D$18,IF(GQ20&gt;Condition!$E$19,Condition!$D$19,"")))))</f>
        <v>0</v>
      </c>
      <c r="GR63" s="85">
        <f>IF(GR20&lt;=Condition!$E$16,0,IF(GR20&lt;=Condition!$F$16,Condition!$D$16,IF(GR20&lt;=Condition!$F$17,Condition!$D$17,IF(GR20&lt;=Condition!$F$18,Condition!$D$18,IF(GR20&gt;Condition!$E$19,Condition!$D$19,"")))))</f>
        <v>0</v>
      </c>
      <c r="GS63" s="85">
        <f>IF(GS20&lt;=Condition!$E$16,0,IF(GS20&lt;=Condition!$F$16,Condition!$D$16,IF(GS20&lt;=Condition!$F$17,Condition!$D$17,IF(GS20&lt;=Condition!$F$18,Condition!$D$18,IF(GS20&gt;Condition!$E$19,Condition!$D$19,"")))))</f>
        <v>0</v>
      </c>
      <c r="GT63" s="85">
        <f>IF(GT20&lt;=Condition!$E$16,0,IF(GT20&lt;=Condition!$F$16,Condition!$D$16,IF(GT20&lt;=Condition!$F$17,Condition!$D$17,IF(GT20&lt;=Condition!$F$18,Condition!$D$18,IF(GT20&gt;Condition!$E$19,Condition!$D$19,"")))))</f>
        <v>0</v>
      </c>
      <c r="GU63" s="85">
        <f>IF(GU20&lt;=Condition!$E$16,0,IF(GU20&lt;=Condition!$F$16,Condition!$D$16,IF(GU20&lt;=Condition!$F$17,Condition!$D$17,IF(GU20&lt;=Condition!$F$18,Condition!$D$18,IF(GU20&gt;Condition!$E$19,Condition!$D$19,"")))))</f>
        <v>0</v>
      </c>
      <c r="GV63" s="85">
        <f>IF(GV20&lt;=Condition!$E$16,0,IF(GV20&lt;=Condition!$F$16,Condition!$D$16,IF(GV20&lt;=Condition!$F$17,Condition!$D$17,IF(GV20&lt;=Condition!$F$18,Condition!$D$18,IF(GV20&gt;Condition!$E$19,Condition!$D$19,"")))))</f>
        <v>0</v>
      </c>
      <c r="GW63" s="85">
        <f>IF(GW20&lt;=Condition!$E$16,0,IF(GW20&lt;=Condition!$F$16,Condition!$D$16,IF(GW20&lt;=Condition!$F$17,Condition!$D$17,IF(GW20&lt;=Condition!$F$18,Condition!$D$18,IF(GW20&gt;Condition!$E$19,Condition!$D$19,"")))))</f>
        <v>0</v>
      </c>
      <c r="GX63" s="85">
        <f>IF(GX20&lt;=Condition!$E$16,0,IF(GX20&lt;=Condition!$F$16,Condition!$D$16,IF(GX20&lt;=Condition!$F$17,Condition!$D$17,IF(GX20&lt;=Condition!$F$18,Condition!$D$18,IF(GX20&gt;Condition!$E$19,Condition!$D$19,"")))))</f>
        <v>0</v>
      </c>
      <c r="GY63" s="85">
        <f>IF(GY20&lt;=Condition!$E$16,0,IF(GY20&lt;=Condition!$F$16,Condition!$D$16,IF(GY20&lt;=Condition!$F$17,Condition!$D$17,IF(GY20&lt;=Condition!$F$18,Condition!$D$18,IF(GY20&gt;Condition!$E$19,Condition!$D$19,"")))))</f>
        <v>0</v>
      </c>
      <c r="GZ63" s="85">
        <f>IF(GZ20&lt;=Condition!$E$16,0,IF(GZ20&lt;=Condition!$F$16,Condition!$D$16,IF(GZ20&lt;=Condition!$F$17,Condition!$D$17,IF(GZ20&lt;=Condition!$F$18,Condition!$D$18,IF(GZ20&gt;Condition!$E$19,Condition!$D$19,"")))))</f>
        <v>0</v>
      </c>
      <c r="HA63" s="85">
        <f>IF(HA20&lt;=Condition!$E$16,0,IF(HA20&lt;=Condition!$F$16,Condition!$D$16,IF(HA20&lt;=Condition!$F$17,Condition!$D$17,IF(HA20&lt;=Condition!$F$18,Condition!$D$18,IF(HA20&gt;Condition!$E$19,Condition!$D$19,"")))))</f>
        <v>0</v>
      </c>
      <c r="HB63" s="85">
        <f>IF(HB20&lt;=Condition!$E$16,0,IF(HB20&lt;=Condition!$F$16,Condition!$D$16,IF(HB20&lt;=Condition!$F$17,Condition!$D$17,IF(HB20&lt;=Condition!$F$18,Condition!$D$18,IF(HB20&gt;Condition!$E$19,Condition!$D$19,"")))))</f>
        <v>0</v>
      </c>
      <c r="HC63" s="85">
        <f>IF(HC20&lt;=Condition!$E$16,0,IF(HC20&lt;=Condition!$F$16,Condition!$D$16,IF(HC20&lt;=Condition!$F$17,Condition!$D$17,IF(HC20&lt;=Condition!$F$18,Condition!$D$18,IF(HC20&gt;Condition!$E$19,Condition!$D$19,"")))))</f>
        <v>0</v>
      </c>
      <c r="HD63" s="85">
        <f>IF(HD20&lt;=Condition!$E$16,0,IF(HD20&lt;=Condition!$F$16,Condition!$D$16,IF(HD20&lt;=Condition!$F$17,Condition!$D$17,IF(HD20&lt;=Condition!$F$18,Condition!$D$18,IF(HD20&gt;Condition!$E$19,Condition!$D$19,"")))))</f>
        <v>0</v>
      </c>
      <c r="HE63" s="85">
        <f>IF(HE20&lt;=Condition!$E$16,0,IF(HE20&lt;=Condition!$F$16,Condition!$D$16,IF(HE20&lt;=Condition!$F$17,Condition!$D$17,IF(HE20&lt;=Condition!$F$18,Condition!$D$18,IF(HE20&gt;Condition!$E$19,Condition!$D$19,"")))))</f>
        <v>0</v>
      </c>
      <c r="HF63" s="85">
        <f>IF(HF20&lt;=Condition!$E$16,0,IF(HF20&lt;=Condition!$F$16,Condition!$D$16,IF(HF20&lt;=Condition!$F$17,Condition!$D$17,IF(HF20&lt;=Condition!$F$18,Condition!$D$18,IF(HF20&gt;Condition!$E$19,Condition!$D$19,"")))))</f>
        <v>0</v>
      </c>
      <c r="HG63" s="85">
        <f>IF(HG20&lt;=Condition!$E$16,0,IF(HG20&lt;=Condition!$F$16,Condition!$D$16,IF(HG20&lt;=Condition!$F$17,Condition!$D$17,IF(HG20&lt;=Condition!$F$18,Condition!$D$18,IF(HG20&gt;Condition!$E$19,Condition!$D$19,"")))))</f>
        <v>0</v>
      </c>
      <c r="HH63" s="85">
        <f>IF(HH20&lt;=Condition!$E$16,0,IF(HH20&lt;=Condition!$F$16,Condition!$D$16,IF(HH20&lt;=Condition!$F$17,Condition!$D$17,IF(HH20&lt;=Condition!$F$18,Condition!$D$18,IF(HH20&gt;Condition!$E$19,Condition!$D$19,"")))))</f>
        <v>0</v>
      </c>
      <c r="HI63" s="85">
        <f>IF(HI20&lt;=Condition!$E$16,0,IF(HI20&lt;=Condition!$F$16,Condition!$D$16,IF(HI20&lt;=Condition!$F$17,Condition!$D$17,IF(HI20&lt;=Condition!$F$18,Condition!$D$18,IF(HI20&gt;Condition!$E$19,Condition!$D$19,"")))))</f>
        <v>0</v>
      </c>
      <c r="HJ63" s="85">
        <f>IF(HJ20&lt;=Condition!$E$16,0,IF(HJ20&lt;=Condition!$F$16,Condition!$D$16,IF(HJ20&lt;=Condition!$F$17,Condition!$D$17,IF(HJ20&lt;=Condition!$F$18,Condition!$D$18,IF(HJ20&gt;Condition!$E$19,Condition!$D$19,"")))))</f>
        <v>0</v>
      </c>
      <c r="HK63" s="85">
        <f>IF(HK20&lt;=Condition!$E$16,0,IF(HK20&lt;=Condition!$F$16,Condition!$D$16,IF(HK20&lt;=Condition!$F$17,Condition!$D$17,IF(HK20&lt;=Condition!$F$18,Condition!$D$18,IF(HK20&gt;Condition!$E$19,Condition!$D$19,"")))))</f>
        <v>0</v>
      </c>
      <c r="HL63" s="85">
        <f>IF(HL20&lt;=Condition!$E$16,0,IF(HL20&lt;=Condition!$F$16,Condition!$D$16,IF(HL20&lt;=Condition!$F$17,Condition!$D$17,IF(HL20&lt;=Condition!$F$18,Condition!$D$18,IF(HL20&gt;Condition!$E$19,Condition!$D$19,"")))))</f>
        <v>0</v>
      </c>
      <c r="HM63" s="85">
        <f>IF(HM20&lt;=Condition!$E$16,0,IF(HM20&lt;=Condition!$F$16,Condition!$D$16,IF(HM20&lt;=Condition!$F$17,Condition!$D$17,IF(HM20&lt;=Condition!$F$18,Condition!$D$18,IF(HM20&gt;Condition!$E$19,Condition!$D$19,"")))))</f>
        <v>0</v>
      </c>
      <c r="HN63" s="85">
        <f>IF(HN20&lt;=Condition!$E$16,0,IF(HN20&lt;=Condition!$F$16,Condition!$D$16,IF(HN20&lt;=Condition!$F$17,Condition!$D$17,IF(HN20&lt;=Condition!$F$18,Condition!$D$18,IF(HN20&gt;Condition!$E$19,Condition!$D$19,"")))))</f>
        <v>0</v>
      </c>
      <c r="HO63" s="85">
        <f>IF(HO20&lt;=Condition!$E$16,0,IF(HO20&lt;=Condition!$F$16,Condition!$D$16,IF(HO20&lt;=Condition!$F$17,Condition!$D$17,IF(HO20&lt;=Condition!$F$18,Condition!$D$18,IF(HO20&gt;Condition!$E$19,Condition!$D$19,"")))))</f>
        <v>0</v>
      </c>
      <c r="HP63" s="85">
        <f>IF(HP20&lt;=Condition!$E$16,0,IF(HP20&lt;=Condition!$F$16,Condition!$D$16,IF(HP20&lt;=Condition!$F$17,Condition!$D$17,IF(HP20&lt;=Condition!$F$18,Condition!$D$18,IF(HP20&gt;Condition!$E$19,Condition!$D$19,"")))))</f>
        <v>0</v>
      </c>
      <c r="HQ63" s="85">
        <f>IF(HQ20&lt;=Condition!$E$16,0,IF(HQ20&lt;=Condition!$F$16,Condition!$D$16,IF(HQ20&lt;=Condition!$F$17,Condition!$D$17,IF(HQ20&lt;=Condition!$F$18,Condition!$D$18,IF(HQ20&gt;Condition!$E$19,Condition!$D$19,"")))))</f>
        <v>0</v>
      </c>
      <c r="HR63" s="85">
        <f>IF(HR20&lt;=Condition!$E$16,0,IF(HR20&lt;=Condition!$F$16,Condition!$D$16,IF(HR20&lt;=Condition!$F$17,Condition!$D$17,IF(HR20&lt;=Condition!$F$18,Condition!$D$18,IF(HR20&gt;Condition!$E$19,Condition!$D$19,"")))))</f>
        <v>0</v>
      </c>
      <c r="HS63" s="85">
        <f>IF(HS20&lt;=Condition!$E$16,0,IF(HS20&lt;=Condition!$F$16,Condition!$D$16,IF(HS20&lt;=Condition!$F$17,Condition!$D$17,IF(HS20&lt;=Condition!$F$18,Condition!$D$18,IF(HS20&gt;Condition!$E$19,Condition!$D$19,"")))))</f>
        <v>0</v>
      </c>
      <c r="HT63" s="85">
        <f>IF(HT20&lt;=Condition!$E$16,0,IF(HT20&lt;=Condition!$F$16,Condition!$D$16,IF(HT20&lt;=Condition!$F$17,Condition!$D$17,IF(HT20&lt;=Condition!$F$18,Condition!$D$18,IF(HT20&gt;Condition!$E$19,Condition!$D$19,"")))))</f>
        <v>0</v>
      </c>
      <c r="HU63" s="85">
        <f>IF(HU20&lt;=Condition!$E$16,0,IF(HU20&lt;=Condition!$F$16,Condition!$D$16,IF(HU20&lt;=Condition!$F$17,Condition!$D$17,IF(HU20&lt;=Condition!$F$18,Condition!$D$18,IF(HU20&gt;Condition!$E$19,Condition!$D$19,"")))))</f>
        <v>0</v>
      </c>
      <c r="HV63" s="85">
        <f>IF(HV20&lt;=Condition!$E$16,0,IF(HV20&lt;=Condition!$F$16,Condition!$D$16,IF(HV20&lt;=Condition!$F$17,Condition!$D$17,IF(HV20&lt;=Condition!$F$18,Condition!$D$18,IF(HV20&gt;Condition!$E$19,Condition!$D$19,"")))))</f>
        <v>0</v>
      </c>
      <c r="HW63" s="85">
        <f>IF(HW20&lt;=Condition!$E$16,0,IF(HW20&lt;=Condition!$F$16,Condition!$D$16,IF(HW20&lt;=Condition!$F$17,Condition!$D$17,IF(HW20&lt;=Condition!$F$18,Condition!$D$18,IF(HW20&gt;Condition!$E$19,Condition!$D$19,"")))))</f>
        <v>0</v>
      </c>
      <c r="HX63" s="85">
        <f>IF(HX20&lt;=Condition!$E$16,0,IF(HX20&lt;=Condition!$F$16,Condition!$D$16,IF(HX20&lt;=Condition!$F$17,Condition!$D$17,IF(HX20&lt;=Condition!$F$18,Condition!$D$18,IF(HX20&gt;Condition!$E$19,Condition!$D$19,"")))))</f>
        <v>0</v>
      </c>
      <c r="HY63" s="85">
        <f>IF(HY20&lt;=Condition!$E$16,0,IF(HY20&lt;=Condition!$F$16,Condition!$D$16,IF(HY20&lt;=Condition!$F$17,Condition!$D$17,IF(HY20&lt;=Condition!$F$18,Condition!$D$18,IF(HY20&gt;Condition!$E$19,Condition!$D$19,"")))))</f>
        <v>0</v>
      </c>
      <c r="HZ63" s="85">
        <f>IF(HZ20&lt;=Condition!$E$16,0,IF(HZ20&lt;=Condition!$F$16,Condition!$D$16,IF(HZ20&lt;=Condition!$F$17,Condition!$D$17,IF(HZ20&lt;=Condition!$F$18,Condition!$D$18,IF(HZ20&gt;Condition!$E$19,Condition!$D$19,"")))))</f>
        <v>0</v>
      </c>
      <c r="IA63" s="85">
        <f>IF(IA20&lt;=Condition!$E$16,0,IF(IA20&lt;=Condition!$F$16,Condition!$D$16,IF(IA20&lt;=Condition!$F$17,Condition!$D$17,IF(IA20&lt;=Condition!$F$18,Condition!$D$18,IF(IA20&gt;Condition!$E$19,Condition!$D$19,"")))))</f>
        <v>0</v>
      </c>
      <c r="IB63" s="85">
        <f>IF(IB20&lt;=Condition!$E$16,0,IF(IB20&lt;=Condition!$F$16,Condition!$D$16,IF(IB20&lt;=Condition!$F$17,Condition!$D$17,IF(IB20&lt;=Condition!$F$18,Condition!$D$18,IF(IB20&gt;Condition!$E$19,Condition!$D$19,"")))))</f>
        <v>0</v>
      </c>
      <c r="IC63" s="85">
        <f>IF(IC20&lt;=Condition!$E$16,0,IF(IC20&lt;=Condition!$F$16,Condition!$D$16,IF(IC20&lt;=Condition!$F$17,Condition!$D$17,IF(IC20&lt;=Condition!$F$18,Condition!$D$18,IF(IC20&gt;Condition!$E$19,Condition!$D$19,"")))))</f>
        <v>0</v>
      </c>
      <c r="ID63" s="85">
        <f>IF(ID20&lt;=Condition!$E$16,0,IF(ID20&lt;=Condition!$F$16,Condition!$D$16,IF(ID20&lt;=Condition!$F$17,Condition!$D$17,IF(ID20&lt;=Condition!$F$18,Condition!$D$18,IF(ID20&gt;Condition!$E$19,Condition!$D$19,"")))))</f>
        <v>0</v>
      </c>
      <c r="IE63" s="85">
        <f>IF(IE20&lt;=Condition!$E$16,0,IF(IE20&lt;=Condition!$F$16,Condition!$D$16,IF(IE20&lt;=Condition!$F$17,Condition!$D$17,IF(IE20&lt;=Condition!$F$18,Condition!$D$18,IF(IE20&gt;Condition!$E$19,Condition!$D$19,"")))))</f>
        <v>0</v>
      </c>
      <c r="IF63" s="85">
        <f>IF(IF20&lt;=Condition!$E$16,0,IF(IF20&lt;=Condition!$F$16,Condition!$D$16,IF(IF20&lt;=Condition!$F$17,Condition!$D$17,IF(IF20&lt;=Condition!$F$18,Condition!$D$18,IF(IF20&gt;Condition!$E$19,Condition!$D$19,"")))))</f>
        <v>0</v>
      </c>
      <c r="IG63" s="85">
        <f>IF(IG20&lt;=Condition!$E$16,0,IF(IG20&lt;=Condition!$F$16,Condition!$D$16,IF(IG20&lt;=Condition!$F$17,Condition!$D$17,IF(IG20&lt;=Condition!$F$18,Condition!$D$18,IF(IG20&gt;Condition!$E$19,Condition!$D$19,"")))))</f>
        <v>0</v>
      </c>
      <c r="IH63" s="85">
        <f>IF(IH20&lt;=Condition!$E$16,0,IF(IH20&lt;=Condition!$F$16,Condition!$D$16,IF(IH20&lt;=Condition!$F$17,Condition!$D$17,IF(IH20&lt;=Condition!$F$18,Condition!$D$18,IF(IH20&gt;Condition!$E$19,Condition!$D$19,"")))))</f>
        <v>0</v>
      </c>
      <c r="II63" s="85">
        <f>IF(II20&lt;=Condition!$E$16,0,IF(II20&lt;=Condition!$F$16,Condition!$D$16,IF(II20&lt;=Condition!$F$17,Condition!$D$17,IF(II20&lt;=Condition!$F$18,Condition!$D$18,IF(II20&gt;Condition!$E$19,Condition!$D$19,"")))))</f>
        <v>0</v>
      </c>
      <c r="IJ63" s="85">
        <f>IF(IJ20&lt;=Condition!$E$16,0,IF(IJ20&lt;=Condition!$F$16,Condition!$D$16,IF(IJ20&lt;=Condition!$F$17,Condition!$D$17,IF(IJ20&lt;=Condition!$F$18,Condition!$D$18,IF(IJ20&gt;Condition!$E$19,Condition!$D$19,"")))))</f>
        <v>0</v>
      </c>
      <c r="IK63" s="85">
        <f>IF(IK20&lt;=Condition!$E$16,0,IF(IK20&lt;=Condition!$F$16,Condition!$D$16,IF(IK20&lt;=Condition!$F$17,Condition!$D$17,IF(IK20&lt;=Condition!$F$18,Condition!$D$18,IF(IK20&gt;Condition!$E$19,Condition!$D$19,"")))))</f>
        <v>0</v>
      </c>
      <c r="IL63" s="85">
        <f>IF(IL20&lt;=Condition!$E$16,0,IF(IL20&lt;=Condition!$F$16,Condition!$D$16,IF(IL20&lt;=Condition!$F$17,Condition!$D$17,IF(IL20&lt;=Condition!$F$18,Condition!$D$18,IF(IL20&gt;Condition!$E$19,Condition!$D$19,"")))))</f>
        <v>0</v>
      </c>
      <c r="IM63" s="85">
        <f>IF(IM20&lt;=Condition!$E$16,0,IF(IM20&lt;=Condition!$F$16,Condition!$D$16,IF(IM20&lt;=Condition!$F$17,Condition!$D$17,IF(IM20&lt;=Condition!$F$18,Condition!$D$18,IF(IM20&gt;Condition!$E$19,Condition!$D$19,"")))))</f>
        <v>0</v>
      </c>
      <c r="IN63" s="85">
        <f>IF(IN20&lt;=Condition!$E$16,0,IF(IN20&lt;=Condition!$F$16,Condition!$D$16,IF(IN20&lt;=Condition!$F$17,Condition!$D$17,IF(IN20&lt;=Condition!$F$18,Condition!$D$18,IF(IN20&gt;Condition!$E$19,Condition!$D$19,"")))))</f>
        <v>0</v>
      </c>
      <c r="IO63" s="85">
        <f>IF(IO20&lt;=Condition!$E$16,0,IF(IO20&lt;=Condition!$F$16,Condition!$D$16,IF(IO20&lt;=Condition!$F$17,Condition!$D$17,IF(IO20&lt;=Condition!$F$18,Condition!$D$18,IF(IO20&gt;Condition!$E$19,Condition!$D$19,"")))))</f>
        <v>0</v>
      </c>
      <c r="IP63" s="85">
        <f>IF(IP20&lt;=Condition!$E$16,0,IF(IP20&lt;=Condition!$F$16,Condition!$D$16,IF(IP20&lt;=Condition!$F$17,Condition!$D$17,IF(IP20&lt;=Condition!$F$18,Condition!$D$18,IF(IP20&gt;Condition!$E$19,Condition!$D$19,"")))))</f>
        <v>0</v>
      </c>
      <c r="IQ63" s="85">
        <f>IF(IQ20&lt;=Condition!$E$16,0,IF(IQ20&lt;=Condition!$F$16,Condition!$D$16,IF(IQ20&lt;=Condition!$F$17,Condition!$D$17,IF(IQ20&lt;=Condition!$F$18,Condition!$D$18,IF(IQ20&gt;Condition!$E$19,Condition!$D$19,"")))))</f>
        <v>0</v>
      </c>
      <c r="IR63" s="85">
        <f>IF(IR20&lt;=Condition!$E$16,0,IF(IR20&lt;=Condition!$F$16,Condition!$D$16,IF(IR20&lt;=Condition!$F$17,Condition!$D$17,IF(IR20&lt;=Condition!$F$18,Condition!$D$18,IF(IR20&gt;Condition!$E$19,Condition!$D$19,"")))))</f>
        <v>0</v>
      </c>
      <c r="IS63" s="85">
        <f>IF(IS20&lt;=Condition!$E$16,0,IF(IS20&lt;=Condition!$F$16,Condition!$D$16,IF(IS20&lt;=Condition!$F$17,Condition!$D$17,IF(IS20&lt;=Condition!$F$18,Condition!$D$18,IF(IS20&gt;Condition!$E$19,Condition!$D$19,"")))))</f>
        <v>0</v>
      </c>
      <c r="IT63" s="85">
        <f>IF(IT20&lt;=Condition!$E$16,0,IF(IT20&lt;=Condition!$F$16,Condition!$D$16,IF(IT20&lt;=Condition!$F$17,Condition!$D$17,IF(IT20&lt;=Condition!$F$18,Condition!$D$18,IF(IT20&gt;Condition!$E$19,Condition!$D$19,"")))))</f>
        <v>0</v>
      </c>
      <c r="IU63" s="85">
        <f>IF(IU20&lt;=Condition!$E$16,0,IF(IU20&lt;=Condition!$F$16,Condition!$D$16,IF(IU20&lt;=Condition!$F$17,Condition!$D$17,IF(IU20&lt;=Condition!$F$18,Condition!$D$18,IF(IU20&gt;Condition!$E$19,Condition!$D$19,"")))))</f>
        <v>0</v>
      </c>
      <c r="IV63" s="85">
        <f>IF(IV20&lt;=Condition!$E$16,0,IF(IV20&lt;=Condition!$F$16,Condition!$D$16,IF(IV20&lt;=Condition!$F$17,Condition!$D$17,IF(IV20&lt;=Condition!$F$18,Condition!$D$18,IF(IV20&gt;Condition!$E$19,Condition!$D$19,"")))))</f>
        <v>0</v>
      </c>
      <c r="IW63" s="85">
        <f>IF(IW20&lt;=Condition!$E$16,0,IF(IW20&lt;=Condition!$F$16,Condition!$D$16,IF(IW20&lt;=Condition!$F$17,Condition!$D$17,IF(IW20&lt;=Condition!$F$18,Condition!$D$18,IF(IW20&gt;Condition!$E$19,Condition!$D$19,"")))))</f>
        <v>0</v>
      </c>
      <c r="IX63" s="85">
        <f>IF(IX20&lt;=Condition!$E$16,0,IF(IX20&lt;=Condition!$F$16,Condition!$D$16,IF(IX20&lt;=Condition!$F$17,Condition!$D$17,IF(IX20&lt;=Condition!$F$18,Condition!$D$18,IF(IX20&gt;Condition!$E$19,Condition!$D$19,"")))))</f>
        <v>0</v>
      </c>
      <c r="IY63" s="85">
        <f>IF(IY20&lt;=Condition!$E$16,0,IF(IY20&lt;=Condition!$F$16,Condition!$D$16,IF(IY20&lt;=Condition!$F$17,Condition!$D$17,IF(IY20&lt;=Condition!$F$18,Condition!$D$18,IF(IY20&gt;Condition!$E$19,Condition!$D$19,"")))))</f>
        <v>0</v>
      </c>
      <c r="IZ63" s="85">
        <f>IF(IZ20&lt;=Condition!$E$16,0,IF(IZ20&lt;=Condition!$F$16,Condition!$D$16,IF(IZ20&lt;=Condition!$F$17,Condition!$D$17,IF(IZ20&lt;=Condition!$F$18,Condition!$D$18,IF(IZ20&gt;Condition!$E$19,Condition!$D$19,"")))))</f>
        <v>0</v>
      </c>
      <c r="JA63" s="85">
        <f>IF(JA20&lt;=Condition!$E$16,0,IF(JA20&lt;=Condition!$F$16,Condition!$D$16,IF(JA20&lt;=Condition!$F$17,Condition!$D$17,IF(JA20&lt;=Condition!$F$18,Condition!$D$18,IF(JA20&gt;Condition!$E$19,Condition!$D$19,"")))))</f>
        <v>0</v>
      </c>
      <c r="JB63" s="85">
        <f>IF(JB20&lt;=Condition!$E$16,0,IF(JB20&lt;=Condition!$F$16,Condition!$D$16,IF(JB20&lt;=Condition!$F$17,Condition!$D$17,IF(JB20&lt;=Condition!$F$18,Condition!$D$18,IF(JB20&gt;Condition!$E$19,Condition!$D$19,"")))))</f>
        <v>0</v>
      </c>
      <c r="JC63" s="85">
        <f>IF(JC20&lt;=Condition!$E$16,0,IF(JC20&lt;=Condition!$F$16,Condition!$D$16,IF(JC20&lt;=Condition!$F$17,Condition!$D$17,IF(JC20&lt;=Condition!$F$18,Condition!$D$18,IF(JC20&gt;Condition!$E$19,Condition!$D$19,"")))))</f>
        <v>0</v>
      </c>
      <c r="JD63" s="85">
        <f>IF(JD20&lt;=Condition!$E$16,0,IF(JD20&lt;=Condition!$F$16,Condition!$D$16,IF(JD20&lt;=Condition!$F$17,Condition!$D$17,IF(JD20&lt;=Condition!$F$18,Condition!$D$18,IF(JD20&gt;Condition!$E$19,Condition!$D$19,"")))))</f>
        <v>0</v>
      </c>
      <c r="JE63" s="85">
        <f>IF(JE20&lt;=Condition!$E$16,0,IF(JE20&lt;=Condition!$F$16,Condition!$D$16,IF(JE20&lt;=Condition!$F$17,Condition!$D$17,IF(JE20&lt;=Condition!$F$18,Condition!$D$18,IF(JE20&gt;Condition!$E$19,Condition!$D$19,"")))))</f>
        <v>0</v>
      </c>
      <c r="JF63" s="85">
        <f>IF(JF20&lt;=Condition!$E$16,0,IF(JF20&lt;=Condition!$F$16,Condition!$D$16,IF(JF20&lt;=Condition!$F$17,Condition!$D$17,IF(JF20&lt;=Condition!$F$18,Condition!$D$18,IF(JF20&gt;Condition!$E$19,Condition!$D$19,"")))))</f>
        <v>0</v>
      </c>
      <c r="JG63" s="85">
        <f>IF(JG20&lt;=Condition!$E$16,0,IF(JG20&lt;=Condition!$F$16,Condition!$D$16,IF(JG20&lt;=Condition!$F$17,Condition!$D$17,IF(JG20&lt;=Condition!$F$18,Condition!$D$18,IF(JG20&gt;Condition!$E$19,Condition!$D$19,"")))))</f>
        <v>0</v>
      </c>
      <c r="JH63" s="85">
        <f>IF(JH20&lt;=Condition!$E$16,0,IF(JH20&lt;=Condition!$F$16,Condition!$D$16,IF(JH20&lt;=Condition!$F$17,Condition!$D$17,IF(JH20&lt;=Condition!$F$18,Condition!$D$18,IF(JH20&gt;Condition!$E$19,Condition!$D$19,"")))))</f>
        <v>0</v>
      </c>
      <c r="JI63" s="85">
        <f>IF(JI20&lt;=Condition!$E$16,0,IF(JI20&lt;=Condition!$F$16,Condition!$D$16,IF(JI20&lt;=Condition!$F$17,Condition!$D$17,IF(JI20&lt;=Condition!$F$18,Condition!$D$18,IF(JI20&gt;Condition!$E$19,Condition!$D$19,"")))))</f>
        <v>0</v>
      </c>
      <c r="JJ63" s="85">
        <f>IF(JJ20&lt;=Condition!$E$16,0,IF(JJ20&lt;=Condition!$F$16,Condition!$D$16,IF(JJ20&lt;=Condition!$F$17,Condition!$D$17,IF(JJ20&lt;=Condition!$F$18,Condition!$D$18,IF(JJ20&gt;Condition!$E$19,Condition!$D$19,"")))))</f>
        <v>0</v>
      </c>
      <c r="JK63" s="85">
        <f>IF(JK20&lt;=Condition!$E$16,0,IF(JK20&lt;=Condition!$F$16,Condition!$D$16,IF(JK20&lt;=Condition!$F$17,Condition!$D$17,IF(JK20&lt;=Condition!$F$18,Condition!$D$18,IF(JK20&gt;Condition!$E$19,Condition!$D$19,"")))))</f>
        <v>0</v>
      </c>
      <c r="JL63" s="85">
        <f>IF(JL20&lt;=Condition!$E$16,0,IF(JL20&lt;=Condition!$F$16,Condition!$D$16,IF(JL20&lt;=Condition!$F$17,Condition!$D$17,IF(JL20&lt;=Condition!$F$18,Condition!$D$18,IF(JL20&gt;Condition!$E$19,Condition!$D$19,"")))))</f>
        <v>0</v>
      </c>
      <c r="JM63" s="85">
        <f>IF(JM20&lt;=Condition!$E$16,0,IF(JM20&lt;=Condition!$F$16,Condition!$D$16,IF(JM20&lt;=Condition!$F$17,Condition!$D$17,IF(JM20&lt;=Condition!$F$18,Condition!$D$18,IF(JM20&gt;Condition!$E$19,Condition!$D$19,"")))))</f>
        <v>0</v>
      </c>
      <c r="JN63" s="85">
        <f>IF(JN20&lt;=Condition!$E$16,0,IF(JN20&lt;=Condition!$F$16,Condition!$D$16,IF(JN20&lt;=Condition!$F$17,Condition!$D$17,IF(JN20&lt;=Condition!$F$18,Condition!$D$18,IF(JN20&gt;Condition!$E$19,Condition!$D$19,"")))))</f>
        <v>0</v>
      </c>
      <c r="JO63" s="85">
        <f>IF(JO20&lt;=Condition!$E$16,0,IF(JO20&lt;=Condition!$F$16,Condition!$D$16,IF(JO20&lt;=Condition!$F$17,Condition!$D$17,IF(JO20&lt;=Condition!$F$18,Condition!$D$18,IF(JO20&gt;Condition!$E$19,Condition!$D$19,"")))))</f>
        <v>0</v>
      </c>
      <c r="JP63" s="85">
        <f>IF(JP20&lt;=Condition!$E$16,0,IF(JP20&lt;=Condition!$F$16,Condition!$D$16,IF(JP20&lt;=Condition!$F$17,Condition!$D$17,IF(JP20&lt;=Condition!$F$18,Condition!$D$18,IF(JP20&gt;Condition!$E$19,Condition!$D$19,"")))))</f>
        <v>0</v>
      </c>
      <c r="JQ63" s="85">
        <f>IF(JQ20&lt;=Condition!$E$16,0,IF(JQ20&lt;=Condition!$F$16,Condition!$D$16,IF(JQ20&lt;=Condition!$F$17,Condition!$D$17,IF(JQ20&lt;=Condition!$F$18,Condition!$D$18,IF(JQ20&gt;Condition!$E$19,Condition!$D$19,"")))))</f>
        <v>0</v>
      </c>
      <c r="JR63" s="85">
        <f>IF(JR20&lt;=Condition!$E$16,0,IF(JR20&lt;=Condition!$F$16,Condition!$D$16,IF(JR20&lt;=Condition!$F$17,Condition!$D$17,IF(JR20&lt;=Condition!$F$18,Condition!$D$18,IF(JR20&gt;Condition!$E$19,Condition!$D$19,"")))))</f>
        <v>0</v>
      </c>
      <c r="JS63" s="85">
        <f>IF(JS20&lt;=Condition!$E$16,0,IF(JS20&lt;=Condition!$F$16,Condition!$D$16,IF(JS20&lt;=Condition!$F$17,Condition!$D$17,IF(JS20&lt;=Condition!$F$18,Condition!$D$18,IF(JS20&gt;Condition!$E$19,Condition!$D$19,"")))))</f>
        <v>0</v>
      </c>
      <c r="JT63" s="85">
        <f>IF(JT20&lt;=Condition!$E$16,0,IF(JT20&lt;=Condition!$F$16,Condition!$D$16,IF(JT20&lt;=Condition!$F$17,Condition!$D$17,IF(JT20&lt;=Condition!$F$18,Condition!$D$18,IF(JT20&gt;Condition!$E$19,Condition!$D$19,"")))))</f>
        <v>0</v>
      </c>
      <c r="JU63" s="85">
        <f>IF(JU20&lt;=Condition!$E$16,0,IF(JU20&lt;=Condition!$F$16,Condition!$D$16,IF(JU20&lt;=Condition!$F$17,Condition!$D$17,IF(JU20&lt;=Condition!$F$18,Condition!$D$18,IF(JU20&gt;Condition!$E$19,Condition!$D$19,"")))))</f>
        <v>0</v>
      </c>
      <c r="JV63" s="85">
        <f>IF(JV20&lt;=Condition!$E$16,0,IF(JV20&lt;=Condition!$F$16,Condition!$D$16,IF(JV20&lt;=Condition!$F$17,Condition!$D$17,IF(JV20&lt;=Condition!$F$18,Condition!$D$18,IF(JV20&gt;Condition!$E$19,Condition!$D$19,"")))))</f>
        <v>0</v>
      </c>
      <c r="JW63" s="85">
        <f>IF(JW20&lt;=Condition!$E$16,0,IF(JW20&lt;=Condition!$F$16,Condition!$D$16,IF(JW20&lt;=Condition!$F$17,Condition!$D$17,IF(JW20&lt;=Condition!$F$18,Condition!$D$18,IF(JW20&gt;Condition!$E$19,Condition!$D$19,"")))))</f>
        <v>0</v>
      </c>
      <c r="JX63" s="85">
        <f>IF(JX20&lt;=Condition!$E$16,0,IF(JX20&lt;=Condition!$F$16,Condition!$D$16,IF(JX20&lt;=Condition!$F$17,Condition!$D$17,IF(JX20&lt;=Condition!$F$18,Condition!$D$18,IF(JX20&gt;Condition!$E$19,Condition!$D$19,"")))))</f>
        <v>0</v>
      </c>
      <c r="JY63" s="85">
        <f>IF(JY20&lt;=Condition!$E$16,0,IF(JY20&lt;=Condition!$F$16,Condition!$D$16,IF(JY20&lt;=Condition!$F$17,Condition!$D$17,IF(JY20&lt;=Condition!$F$18,Condition!$D$18,IF(JY20&gt;Condition!$E$19,Condition!$D$19,"")))))</f>
        <v>0</v>
      </c>
      <c r="JZ63" s="85">
        <f>IF(JZ20&lt;=Condition!$E$16,0,IF(JZ20&lt;=Condition!$F$16,Condition!$D$16,IF(JZ20&lt;=Condition!$F$17,Condition!$D$17,IF(JZ20&lt;=Condition!$F$18,Condition!$D$18,IF(JZ20&gt;Condition!$E$19,Condition!$D$19,"")))))</f>
        <v>0</v>
      </c>
      <c r="KA63" s="85">
        <f>IF(KA20&lt;=Condition!$E$16,0,IF(KA20&lt;=Condition!$F$16,Condition!$D$16,IF(KA20&lt;=Condition!$F$17,Condition!$D$17,IF(KA20&lt;=Condition!$F$18,Condition!$D$18,IF(KA20&gt;Condition!$E$19,Condition!$D$19,"")))))</f>
        <v>0</v>
      </c>
      <c r="KB63" s="85">
        <f>IF(KB20&lt;=Condition!$E$16,0,IF(KB20&lt;=Condition!$F$16,Condition!$D$16,IF(KB20&lt;=Condition!$F$17,Condition!$D$17,IF(KB20&lt;=Condition!$F$18,Condition!$D$18,IF(KB20&gt;Condition!$E$19,Condition!$D$19,"")))))</f>
        <v>0</v>
      </c>
      <c r="KC63" s="85">
        <f>IF(KC20&lt;=Condition!$E$16,0,IF(KC20&lt;=Condition!$F$16,Condition!$D$16,IF(KC20&lt;=Condition!$F$17,Condition!$D$17,IF(KC20&lt;=Condition!$F$18,Condition!$D$18,IF(KC20&gt;Condition!$E$19,Condition!$D$19,"")))))</f>
        <v>0</v>
      </c>
      <c r="KD63" s="85">
        <f>IF(KD20&lt;=Condition!$E$16,0,IF(KD20&lt;=Condition!$F$16,Condition!$D$16,IF(KD20&lt;=Condition!$F$17,Condition!$D$17,IF(KD20&lt;=Condition!$F$18,Condition!$D$18,IF(KD20&gt;Condition!$E$19,Condition!$D$19,"")))))</f>
        <v>0</v>
      </c>
      <c r="KE63" s="85">
        <f>IF(KE20&lt;=Condition!$E$16,0,IF(KE20&lt;=Condition!$F$16,Condition!$D$16,IF(KE20&lt;=Condition!$F$17,Condition!$D$17,IF(KE20&lt;=Condition!$F$18,Condition!$D$18,IF(KE20&gt;Condition!$E$19,Condition!$D$19,"")))))</f>
        <v>0</v>
      </c>
      <c r="KF63" s="85">
        <f>IF(KF20&lt;=Condition!$E$16,0,IF(KF20&lt;=Condition!$F$16,Condition!$D$16,IF(KF20&lt;=Condition!$F$17,Condition!$D$17,IF(KF20&lt;=Condition!$F$18,Condition!$D$18,IF(KF20&gt;Condition!$E$19,Condition!$D$19,"")))))</f>
        <v>0</v>
      </c>
      <c r="KG63" s="85">
        <f>IF(KG20&lt;=Condition!$E$16,0,IF(KG20&lt;=Condition!$F$16,Condition!$D$16,IF(KG20&lt;=Condition!$F$17,Condition!$D$17,IF(KG20&lt;=Condition!$F$18,Condition!$D$18,IF(KG20&gt;Condition!$E$19,Condition!$D$19,"")))))</f>
        <v>0</v>
      </c>
      <c r="KH63" s="85">
        <f>IF(KH20&lt;=Condition!$E$16,0,IF(KH20&lt;=Condition!$F$16,Condition!$D$16,IF(KH20&lt;=Condition!$F$17,Condition!$D$17,IF(KH20&lt;=Condition!$F$18,Condition!$D$18,IF(KH20&gt;Condition!$E$19,Condition!$D$19,"")))))</f>
        <v>0</v>
      </c>
      <c r="KI63" s="85">
        <f>IF(KI20&lt;=Condition!$E$16,0,IF(KI20&lt;=Condition!$F$16,Condition!$D$16,IF(KI20&lt;=Condition!$F$17,Condition!$D$17,IF(KI20&lt;=Condition!$F$18,Condition!$D$18,IF(KI20&gt;Condition!$E$19,Condition!$D$19,"")))))</f>
        <v>0</v>
      </c>
    </row>
    <row r="64" spans="2:295" x14ac:dyDescent="0.25">
      <c r="B64" s="15">
        <f t="shared" ref="B64:E64" si="19">B21</f>
        <v>9</v>
      </c>
      <c r="C64" s="25" t="str">
        <f t="shared" si="19"/>
        <v>DSL-DHK</v>
      </c>
      <c r="D64" s="25" t="str">
        <f t="shared" si="19"/>
        <v>Amirul Islam</v>
      </c>
      <c r="E64" s="26">
        <f t="shared" si="19"/>
        <v>5928</v>
      </c>
      <c r="F64" s="112">
        <f t="shared" si="4"/>
        <v>3900</v>
      </c>
      <c r="G64" s="112">
        <f t="shared" si="5"/>
        <v>0</v>
      </c>
      <c r="H64" s="85">
        <f>IF(H21&lt;=Condition!$E$16,0,IF(H21&lt;=Condition!$F$16,Condition!$D$16,IF(H21&lt;=Condition!$F$17,Condition!$D$17,IF(H21&lt;=Condition!$F$18,Condition!$D$18,IF(H21&gt;Condition!$E$19,Condition!$D$19,"")))))</f>
        <v>300</v>
      </c>
      <c r="I64" s="85">
        <f>IF(I21&lt;=Condition!$E$16,0,IF(I21&lt;=Condition!$F$16,Condition!$D$16,IF(I21&lt;=Condition!$F$17,Condition!$D$17,IF(I21&lt;=Condition!$F$18,Condition!$D$18,IF(I21&gt;Condition!$E$19,Condition!$D$19,"")))))</f>
        <v>0</v>
      </c>
      <c r="J64" s="85">
        <f>IF(J21&lt;=Condition!$E$16,0,IF(J21&lt;=Condition!$F$16,Condition!$D$16,IF(J21&lt;=Condition!$F$17,Condition!$D$17,IF(J21&lt;=Condition!$F$18,Condition!$D$18,IF(J21&gt;Condition!$E$19,Condition!$D$19,"")))))</f>
        <v>150</v>
      </c>
      <c r="K64" s="85">
        <f>IF(K21&lt;=Condition!$E$16,0,IF(K21&lt;=Condition!$F$16,Condition!$D$16,IF(K21&lt;=Condition!$F$17,Condition!$D$17,IF(K21&lt;=Condition!$F$18,Condition!$D$18,IF(K21&gt;Condition!$E$19,Condition!$D$19,"")))))</f>
        <v>0</v>
      </c>
      <c r="L64" s="85">
        <f>IF(L21&lt;=Condition!$E$16,0,IF(L21&lt;=Condition!$F$16,Condition!$D$16,IF(L21&lt;=Condition!$F$17,Condition!$D$17,IF(L21&lt;=Condition!$F$18,Condition!$D$18,IF(L21&gt;Condition!$E$19,Condition!$D$19,"")))))</f>
        <v>150</v>
      </c>
      <c r="M64" s="85">
        <f>IF(M21&lt;=Condition!$E$16,0,IF(M21&lt;=Condition!$F$16,Condition!$D$16,IF(M21&lt;=Condition!$F$17,Condition!$D$17,IF(M21&lt;=Condition!$F$18,Condition!$D$18,IF(M21&gt;Condition!$E$19,Condition!$D$19,"")))))</f>
        <v>0</v>
      </c>
      <c r="N64" s="85">
        <f>IF(N21&lt;=Condition!$E$16,0,IF(N21&lt;=Condition!$F$16,Condition!$D$16,IF(N21&lt;=Condition!$F$17,Condition!$D$17,IF(N21&lt;=Condition!$F$18,Condition!$D$18,IF(N21&gt;Condition!$E$19,Condition!$D$19,"")))))</f>
        <v>150</v>
      </c>
      <c r="O64" s="85">
        <f>IF(O21&lt;=Condition!$E$16,0,IF(O21&lt;=Condition!$F$16,Condition!$D$16,IF(O21&lt;=Condition!$F$17,Condition!$D$17,IF(O21&lt;=Condition!$F$18,Condition!$D$18,IF(O21&gt;Condition!$E$19,Condition!$D$19,"")))))</f>
        <v>0</v>
      </c>
      <c r="P64" s="85">
        <f>IF(P21&lt;=Condition!$E$16,0,IF(P21&lt;=Condition!$F$16,Condition!$D$16,IF(P21&lt;=Condition!$F$17,Condition!$D$17,IF(P21&lt;=Condition!$F$18,Condition!$D$18,IF(P21&gt;Condition!$E$19,Condition!$D$19,"")))))</f>
        <v>150</v>
      </c>
      <c r="Q64" s="85">
        <f>IF(Q21&lt;=Condition!$E$16,0,IF(Q21&lt;=Condition!$F$16,Condition!$D$16,IF(Q21&lt;=Condition!$F$17,Condition!$D$17,IF(Q21&lt;=Condition!$F$18,Condition!$D$18,IF(Q21&gt;Condition!$E$19,Condition!$D$19,"")))))</f>
        <v>0</v>
      </c>
      <c r="R64" s="85">
        <f>IF(R21&lt;=Condition!$E$16,0,IF(R21&lt;=Condition!$F$16,Condition!$D$16,IF(R21&lt;=Condition!$F$17,Condition!$D$17,IF(R21&lt;=Condition!$F$18,Condition!$D$18,IF(R21&gt;Condition!$E$19,Condition!$D$19,"")))))</f>
        <v>150</v>
      </c>
      <c r="S64" s="85">
        <f>IF(S21&lt;=Condition!$E$16,0,IF(S21&lt;=Condition!$F$16,Condition!$D$16,IF(S21&lt;=Condition!$F$17,Condition!$D$17,IF(S21&lt;=Condition!$F$18,Condition!$D$18,IF(S21&gt;Condition!$E$19,Condition!$D$19,"")))))</f>
        <v>0</v>
      </c>
      <c r="T64" s="85">
        <f>IF(T21&lt;=Condition!$E$16,0,IF(T21&lt;=Condition!$F$16,Condition!$D$16,IF(T21&lt;=Condition!$F$17,Condition!$D$17,IF(T21&lt;=Condition!$F$18,Condition!$D$18,IF(T21&gt;Condition!$E$19,Condition!$D$19,"")))))</f>
        <v>300</v>
      </c>
      <c r="U64" s="85">
        <f>IF(U21&lt;=Condition!$E$16,0,IF(U21&lt;=Condition!$F$16,Condition!$D$16,IF(U21&lt;=Condition!$F$17,Condition!$D$17,IF(U21&lt;=Condition!$F$18,Condition!$D$18,IF(U21&gt;Condition!$E$19,Condition!$D$19,"")))))</f>
        <v>0</v>
      </c>
      <c r="V64" s="85">
        <f>IF(V21&lt;=Condition!$E$16,0,IF(V21&lt;=Condition!$F$16,Condition!$D$16,IF(V21&lt;=Condition!$F$17,Condition!$D$17,IF(V21&lt;=Condition!$F$18,Condition!$D$18,IF(V21&gt;Condition!$E$19,Condition!$D$19,"")))))</f>
        <v>300</v>
      </c>
      <c r="W64" s="85">
        <f>IF(W21&lt;=Condition!$E$16,0,IF(W21&lt;=Condition!$F$16,Condition!$D$16,IF(W21&lt;=Condition!$F$17,Condition!$D$17,IF(W21&lt;=Condition!$F$18,Condition!$D$18,IF(W21&gt;Condition!$E$19,Condition!$D$19,"")))))</f>
        <v>0</v>
      </c>
      <c r="X64" s="85">
        <f>IF(X21&lt;=Condition!$E$16,0,IF(X21&lt;=Condition!$F$16,Condition!$D$16,IF(X21&lt;=Condition!$F$17,Condition!$D$17,IF(X21&lt;=Condition!$F$18,Condition!$D$18,IF(X21&gt;Condition!$E$19,Condition!$D$19,"")))))</f>
        <v>150</v>
      </c>
      <c r="Y64" s="85">
        <f>IF(Y21&lt;=Condition!$E$16,0,IF(Y21&lt;=Condition!$F$16,Condition!$D$16,IF(Y21&lt;=Condition!$F$17,Condition!$D$17,IF(Y21&lt;=Condition!$F$18,Condition!$D$18,IF(Y21&gt;Condition!$E$19,Condition!$D$19,"")))))</f>
        <v>0</v>
      </c>
      <c r="Z64" s="85">
        <f>IF(Z21&lt;=Condition!$E$16,0,IF(Z21&lt;=Condition!$F$16,Condition!$D$16,IF(Z21&lt;=Condition!$F$17,Condition!$D$17,IF(Z21&lt;=Condition!$F$18,Condition!$D$18,IF(Z21&gt;Condition!$E$19,Condition!$D$19,"")))))</f>
        <v>150</v>
      </c>
      <c r="AA64" s="85">
        <f>IF(AA21&lt;=Condition!$E$16,0,IF(AA21&lt;=Condition!$F$16,Condition!$D$16,IF(AA21&lt;=Condition!$F$17,Condition!$D$17,IF(AA21&lt;=Condition!$F$18,Condition!$D$18,IF(AA21&gt;Condition!$E$19,Condition!$D$19,"")))))</f>
        <v>0</v>
      </c>
      <c r="AB64" s="85">
        <f>IF(AB21&lt;=Condition!$E$16,0,IF(AB21&lt;=Condition!$F$16,Condition!$D$16,IF(AB21&lt;=Condition!$F$17,Condition!$D$17,IF(AB21&lt;=Condition!$F$18,Condition!$D$18,IF(AB21&gt;Condition!$E$19,Condition!$D$19,"")))))</f>
        <v>150</v>
      </c>
      <c r="AC64" s="85">
        <f>IF(AC21&lt;=Condition!$E$16,0,IF(AC21&lt;=Condition!$F$16,Condition!$D$16,IF(AC21&lt;=Condition!$F$17,Condition!$D$17,IF(AC21&lt;=Condition!$F$18,Condition!$D$18,IF(AC21&gt;Condition!$E$19,Condition!$D$19,"")))))</f>
        <v>0</v>
      </c>
      <c r="AD64" s="85">
        <f>IF(AD21&lt;=Condition!$E$16,0,IF(AD21&lt;=Condition!$F$16,Condition!$D$16,IF(AD21&lt;=Condition!$F$17,Condition!$D$17,IF(AD21&lt;=Condition!$F$18,Condition!$D$18,IF(AD21&gt;Condition!$E$19,Condition!$D$19,"")))))</f>
        <v>300</v>
      </c>
      <c r="AE64" s="85">
        <f>IF(AE21&lt;=Condition!$E$16,0,IF(AE21&lt;=Condition!$F$16,Condition!$D$16,IF(AE21&lt;=Condition!$F$17,Condition!$D$17,IF(AE21&lt;=Condition!$F$18,Condition!$D$18,IF(AE21&gt;Condition!$E$19,Condition!$D$19,"")))))</f>
        <v>0</v>
      </c>
      <c r="AF64" s="85">
        <f>IF(AF21&lt;=Condition!$E$16,0,IF(AF21&lt;=Condition!$F$16,Condition!$D$16,IF(AF21&lt;=Condition!$F$17,Condition!$D$17,IF(AF21&lt;=Condition!$F$18,Condition!$D$18,IF(AF21&gt;Condition!$E$19,Condition!$D$19,"")))))</f>
        <v>0</v>
      </c>
      <c r="AG64" s="85">
        <f>IF(AG21&lt;=Condition!$E$16,0,IF(AG21&lt;=Condition!$F$16,Condition!$D$16,IF(AG21&lt;=Condition!$F$17,Condition!$D$17,IF(AG21&lt;=Condition!$F$18,Condition!$D$18,IF(AG21&gt;Condition!$E$19,Condition!$D$19,"")))))</f>
        <v>0</v>
      </c>
      <c r="AH64" s="85">
        <f>IF(AH21&lt;=Condition!$E$16,0,IF(AH21&lt;=Condition!$F$16,Condition!$D$16,IF(AH21&lt;=Condition!$F$17,Condition!$D$17,IF(AH21&lt;=Condition!$F$18,Condition!$D$18,IF(AH21&gt;Condition!$E$19,Condition!$D$19,"")))))</f>
        <v>150</v>
      </c>
      <c r="AI64" s="85">
        <f>IF(AI21&lt;=Condition!$E$16,0,IF(AI21&lt;=Condition!$F$16,Condition!$D$16,IF(AI21&lt;=Condition!$F$17,Condition!$D$17,IF(AI21&lt;=Condition!$F$18,Condition!$D$18,IF(AI21&gt;Condition!$E$19,Condition!$D$19,"")))))</f>
        <v>0</v>
      </c>
      <c r="AJ64" s="85">
        <f>IF(AJ21&lt;=Condition!$E$16,0,IF(AJ21&lt;=Condition!$F$16,Condition!$D$16,IF(AJ21&lt;=Condition!$F$17,Condition!$D$17,IF(AJ21&lt;=Condition!$F$18,Condition!$D$18,IF(AJ21&gt;Condition!$E$19,Condition!$D$19,"")))))</f>
        <v>150</v>
      </c>
      <c r="AK64" s="85">
        <f>IF(AK21&lt;=Condition!$E$16,0,IF(AK21&lt;=Condition!$F$16,Condition!$D$16,IF(AK21&lt;=Condition!$F$17,Condition!$D$17,IF(AK21&lt;=Condition!$F$18,Condition!$D$18,IF(AK21&gt;Condition!$E$19,Condition!$D$19,"")))))</f>
        <v>0</v>
      </c>
      <c r="AL64" s="85">
        <f>IF(AL21&lt;=Condition!$E$16,0,IF(AL21&lt;=Condition!$F$16,Condition!$D$16,IF(AL21&lt;=Condition!$F$17,Condition!$D$17,IF(AL21&lt;=Condition!$F$18,Condition!$D$18,IF(AL21&gt;Condition!$E$19,Condition!$D$19,"")))))</f>
        <v>150</v>
      </c>
      <c r="AM64" s="85">
        <f>IF(AM21&lt;=Condition!$E$16,0,IF(AM21&lt;=Condition!$F$16,Condition!$D$16,IF(AM21&lt;=Condition!$F$17,Condition!$D$17,IF(AM21&lt;=Condition!$F$18,Condition!$D$18,IF(AM21&gt;Condition!$E$19,Condition!$D$19,"")))))</f>
        <v>0</v>
      </c>
      <c r="AN64" s="85">
        <f>IF(AN21&lt;=Condition!$E$16,0,IF(AN21&lt;=Condition!$F$16,Condition!$D$16,IF(AN21&lt;=Condition!$F$17,Condition!$D$17,IF(AN21&lt;=Condition!$F$18,Condition!$D$18,IF(AN21&gt;Condition!$E$19,Condition!$D$19,"")))))</f>
        <v>150</v>
      </c>
      <c r="AO64" s="85">
        <f>IF(AO21&lt;=Condition!$E$16,0,IF(AO21&lt;=Condition!$F$16,Condition!$D$16,IF(AO21&lt;=Condition!$F$17,Condition!$D$17,IF(AO21&lt;=Condition!$F$18,Condition!$D$18,IF(AO21&gt;Condition!$E$19,Condition!$D$19,"")))))</f>
        <v>0</v>
      </c>
      <c r="AP64" s="85">
        <f>IF(AP21&lt;=Condition!$E$16,0,IF(AP21&lt;=Condition!$F$16,Condition!$D$16,IF(AP21&lt;=Condition!$F$17,Condition!$D$17,IF(AP21&lt;=Condition!$F$18,Condition!$D$18,IF(AP21&gt;Condition!$E$19,Condition!$D$19,"")))))</f>
        <v>150</v>
      </c>
      <c r="AQ64" s="85">
        <f>IF(AQ21&lt;=Condition!$E$16,0,IF(AQ21&lt;=Condition!$F$16,Condition!$D$16,IF(AQ21&lt;=Condition!$F$17,Condition!$D$17,IF(AQ21&lt;=Condition!$F$18,Condition!$D$18,IF(AQ21&gt;Condition!$E$19,Condition!$D$19,"")))))</f>
        <v>0</v>
      </c>
      <c r="AR64" s="85">
        <f>IF(AR21&lt;=Condition!$E$16,0,IF(AR21&lt;=Condition!$F$16,Condition!$D$16,IF(AR21&lt;=Condition!$F$17,Condition!$D$17,IF(AR21&lt;=Condition!$F$18,Condition!$D$18,IF(AR21&gt;Condition!$E$19,Condition!$D$19,"")))))</f>
        <v>150</v>
      </c>
      <c r="AS64" s="85">
        <f>IF(AS21&lt;=Condition!$E$16,0,IF(AS21&lt;=Condition!$F$16,Condition!$D$16,IF(AS21&lt;=Condition!$F$17,Condition!$D$17,IF(AS21&lt;=Condition!$F$18,Condition!$D$18,IF(AS21&gt;Condition!$E$19,Condition!$D$19,"")))))</f>
        <v>0</v>
      </c>
      <c r="AT64" s="85">
        <f>IF(AT21&lt;=Condition!$E$16,0,IF(AT21&lt;=Condition!$F$16,Condition!$D$16,IF(AT21&lt;=Condition!$F$17,Condition!$D$17,IF(AT21&lt;=Condition!$F$18,Condition!$D$18,IF(AT21&gt;Condition!$E$19,Condition!$D$19,"")))))</f>
        <v>300</v>
      </c>
      <c r="AU64" s="85">
        <f>IF(AU21&lt;=Condition!$E$16,0,IF(AU21&lt;=Condition!$F$16,Condition!$D$16,IF(AU21&lt;=Condition!$F$17,Condition!$D$17,IF(AU21&lt;=Condition!$F$18,Condition!$D$18,IF(AU21&gt;Condition!$E$19,Condition!$D$19,"")))))</f>
        <v>0</v>
      </c>
      <c r="AV64" s="85">
        <f>IF(AV21&lt;=Condition!$E$16,0,IF(AV21&lt;=Condition!$F$16,Condition!$D$16,IF(AV21&lt;=Condition!$F$17,Condition!$D$17,IF(AV21&lt;=Condition!$F$18,Condition!$D$18,IF(AV21&gt;Condition!$E$19,Condition!$D$19,"")))))</f>
        <v>300</v>
      </c>
      <c r="AW64" s="85">
        <f>IF(AW21&lt;=Condition!$E$16,0,IF(AW21&lt;=Condition!$F$16,Condition!$D$16,IF(AW21&lt;=Condition!$F$17,Condition!$D$17,IF(AW21&lt;=Condition!$F$18,Condition!$D$18,IF(AW21&gt;Condition!$E$19,Condition!$D$19,"")))))</f>
        <v>0</v>
      </c>
      <c r="AX64" s="85">
        <f>IF(AX21&lt;=Condition!$E$16,0,IF(AX21&lt;=Condition!$F$16,Condition!$D$16,IF(AX21&lt;=Condition!$F$17,Condition!$D$17,IF(AX21&lt;=Condition!$F$18,Condition!$D$18,IF(AX21&gt;Condition!$E$19,Condition!$D$19,"")))))</f>
        <v>0</v>
      </c>
      <c r="AY64" s="85">
        <f>IF(AY21&lt;=Condition!$E$16,0,IF(AY21&lt;=Condition!$F$16,Condition!$D$16,IF(AY21&lt;=Condition!$F$17,Condition!$D$17,IF(AY21&lt;=Condition!$F$18,Condition!$D$18,IF(AY21&gt;Condition!$E$19,Condition!$D$19,"")))))</f>
        <v>0</v>
      </c>
      <c r="AZ64" s="85">
        <f>IF(AZ21&lt;=Condition!$E$16,0,IF(AZ21&lt;=Condition!$F$16,Condition!$D$16,IF(AZ21&lt;=Condition!$F$17,Condition!$D$17,IF(AZ21&lt;=Condition!$F$18,Condition!$D$18,IF(AZ21&gt;Condition!$E$19,Condition!$D$19,"")))))</f>
        <v>0</v>
      </c>
      <c r="BA64" s="85">
        <f>IF(BA21&lt;=Condition!$E$16,0,IF(BA21&lt;=Condition!$F$16,Condition!$D$16,IF(BA21&lt;=Condition!$F$17,Condition!$D$17,IF(BA21&lt;=Condition!$F$18,Condition!$D$18,IF(BA21&gt;Condition!$E$19,Condition!$D$19,"")))))</f>
        <v>0</v>
      </c>
      <c r="BB64" s="85">
        <f>IF(BB21&lt;=Condition!$E$16,0,IF(BB21&lt;=Condition!$F$16,Condition!$D$16,IF(BB21&lt;=Condition!$F$17,Condition!$D$17,IF(BB21&lt;=Condition!$F$18,Condition!$D$18,IF(BB21&gt;Condition!$E$19,Condition!$D$19,"")))))</f>
        <v>0</v>
      </c>
      <c r="BC64" s="85">
        <f>IF(BC21&lt;=Condition!$E$16,0,IF(BC21&lt;=Condition!$F$16,Condition!$D$16,IF(BC21&lt;=Condition!$F$17,Condition!$D$17,IF(BC21&lt;=Condition!$F$18,Condition!$D$18,IF(BC21&gt;Condition!$E$19,Condition!$D$19,"")))))</f>
        <v>0</v>
      </c>
      <c r="BD64" s="85">
        <f>IF(BD21&lt;=Condition!$E$16,0,IF(BD21&lt;=Condition!$F$16,Condition!$D$16,IF(BD21&lt;=Condition!$F$17,Condition!$D$17,IF(BD21&lt;=Condition!$F$18,Condition!$D$18,IF(BD21&gt;Condition!$E$19,Condition!$D$19,"")))))</f>
        <v>0</v>
      </c>
      <c r="BE64" s="85">
        <f>IF(BE21&lt;=Condition!$E$16,0,IF(BE21&lt;=Condition!$F$16,Condition!$D$16,IF(BE21&lt;=Condition!$F$17,Condition!$D$17,IF(BE21&lt;=Condition!$F$18,Condition!$D$18,IF(BE21&gt;Condition!$E$19,Condition!$D$19,"")))))</f>
        <v>0</v>
      </c>
      <c r="BF64" s="85">
        <f>IF(BF21&lt;=Condition!$E$16,0,IF(BF21&lt;=Condition!$F$16,Condition!$D$16,IF(BF21&lt;=Condition!$F$17,Condition!$D$17,IF(BF21&lt;=Condition!$F$18,Condition!$D$18,IF(BF21&gt;Condition!$E$19,Condition!$D$19,"")))))</f>
        <v>0</v>
      </c>
      <c r="BG64" s="85">
        <f>IF(BG21&lt;=Condition!$E$16,0,IF(BG21&lt;=Condition!$F$16,Condition!$D$16,IF(BG21&lt;=Condition!$F$17,Condition!$D$17,IF(BG21&lt;=Condition!$F$18,Condition!$D$18,IF(BG21&gt;Condition!$E$19,Condition!$D$19,"")))))</f>
        <v>0</v>
      </c>
      <c r="BH64" s="85">
        <f>IF(BH21&lt;=Condition!$E$16,0,IF(BH21&lt;=Condition!$F$16,Condition!$D$16,IF(BH21&lt;=Condition!$F$17,Condition!$D$17,IF(BH21&lt;=Condition!$F$18,Condition!$D$18,IF(BH21&gt;Condition!$E$19,Condition!$D$19,"")))))</f>
        <v>0</v>
      </c>
      <c r="BI64" s="85">
        <f>IF(BI21&lt;=Condition!$E$16,0,IF(BI21&lt;=Condition!$F$16,Condition!$D$16,IF(BI21&lt;=Condition!$F$17,Condition!$D$17,IF(BI21&lt;=Condition!$F$18,Condition!$D$18,IF(BI21&gt;Condition!$E$19,Condition!$D$19,"")))))</f>
        <v>0</v>
      </c>
      <c r="BJ64" s="85">
        <f>IF(BJ21&lt;=Condition!$E$16,0,IF(BJ21&lt;=Condition!$F$16,Condition!$D$16,IF(BJ21&lt;=Condition!$F$17,Condition!$D$17,IF(BJ21&lt;=Condition!$F$18,Condition!$D$18,IF(BJ21&gt;Condition!$E$19,Condition!$D$19,"")))))</f>
        <v>0</v>
      </c>
      <c r="BK64" s="85">
        <f>IF(BK21&lt;=Condition!$E$16,0,IF(BK21&lt;=Condition!$F$16,Condition!$D$16,IF(BK21&lt;=Condition!$F$17,Condition!$D$17,IF(BK21&lt;=Condition!$F$18,Condition!$D$18,IF(BK21&gt;Condition!$E$19,Condition!$D$19,"")))))</f>
        <v>0</v>
      </c>
      <c r="BL64" s="85">
        <f>IF(BL21&lt;=Condition!$E$16,0,IF(BL21&lt;=Condition!$F$16,Condition!$D$16,IF(BL21&lt;=Condition!$F$17,Condition!$D$17,IF(BL21&lt;=Condition!$F$18,Condition!$D$18,IF(BL21&gt;Condition!$E$19,Condition!$D$19,"")))))</f>
        <v>0</v>
      </c>
      <c r="BM64" s="85">
        <f>IF(BM21&lt;=Condition!$E$16,0,IF(BM21&lt;=Condition!$F$16,Condition!$D$16,IF(BM21&lt;=Condition!$F$17,Condition!$D$17,IF(BM21&lt;=Condition!$F$18,Condition!$D$18,IF(BM21&gt;Condition!$E$19,Condition!$D$19,"")))))</f>
        <v>0</v>
      </c>
      <c r="BN64" s="85">
        <f>IF(BN21&lt;=Condition!$E$16,0,IF(BN21&lt;=Condition!$F$16,Condition!$D$16,IF(BN21&lt;=Condition!$F$17,Condition!$D$17,IF(BN21&lt;=Condition!$F$18,Condition!$D$18,IF(BN21&gt;Condition!$E$19,Condition!$D$19,"")))))</f>
        <v>0</v>
      </c>
      <c r="BO64" s="85">
        <f>IF(BO21&lt;=Condition!$E$16,0,IF(BO21&lt;=Condition!$F$16,Condition!$D$16,IF(BO21&lt;=Condition!$F$17,Condition!$D$17,IF(BO21&lt;=Condition!$F$18,Condition!$D$18,IF(BO21&gt;Condition!$E$19,Condition!$D$19,"")))))</f>
        <v>0</v>
      </c>
      <c r="BP64" s="85">
        <f>IF(BP21&lt;=Condition!$E$16,0,IF(BP21&lt;=Condition!$F$16,Condition!$D$16,IF(BP21&lt;=Condition!$F$17,Condition!$D$17,IF(BP21&lt;=Condition!$F$18,Condition!$D$18,IF(BP21&gt;Condition!$E$19,Condition!$D$19,"")))))</f>
        <v>0</v>
      </c>
      <c r="BQ64" s="85">
        <f>IF(BQ21&lt;=Condition!$E$16,0,IF(BQ21&lt;=Condition!$F$16,Condition!$D$16,IF(BQ21&lt;=Condition!$F$17,Condition!$D$17,IF(BQ21&lt;=Condition!$F$18,Condition!$D$18,IF(BQ21&gt;Condition!$E$19,Condition!$D$19,"")))))</f>
        <v>0</v>
      </c>
      <c r="BR64" s="85">
        <f>IF(BR21&lt;=Condition!$E$16,0,IF(BR21&lt;=Condition!$F$16,Condition!$D$16,IF(BR21&lt;=Condition!$F$17,Condition!$D$17,IF(BR21&lt;=Condition!$F$18,Condition!$D$18,IF(BR21&gt;Condition!$E$19,Condition!$D$19,"")))))</f>
        <v>0</v>
      </c>
      <c r="BS64" s="85">
        <f>IF(BS21&lt;=Condition!$E$16,0,IF(BS21&lt;=Condition!$F$16,Condition!$D$16,IF(BS21&lt;=Condition!$F$17,Condition!$D$17,IF(BS21&lt;=Condition!$F$18,Condition!$D$18,IF(BS21&gt;Condition!$E$19,Condition!$D$19,"")))))</f>
        <v>0</v>
      </c>
      <c r="BT64" s="85">
        <f>IF(BT21&lt;=Condition!$E$16,0,IF(BT21&lt;=Condition!$F$16,Condition!$D$16,IF(BT21&lt;=Condition!$F$17,Condition!$D$17,IF(BT21&lt;=Condition!$F$18,Condition!$D$18,IF(BT21&gt;Condition!$E$19,Condition!$D$19,"")))))</f>
        <v>0</v>
      </c>
      <c r="BU64" s="85">
        <f>IF(BU21&lt;=Condition!$E$16,0,IF(BU21&lt;=Condition!$F$16,Condition!$D$16,IF(BU21&lt;=Condition!$F$17,Condition!$D$17,IF(BU21&lt;=Condition!$F$18,Condition!$D$18,IF(BU21&gt;Condition!$E$19,Condition!$D$19,"")))))</f>
        <v>0</v>
      </c>
      <c r="BV64" s="85">
        <f>IF(BV21&lt;=Condition!$E$16,0,IF(BV21&lt;=Condition!$F$16,Condition!$D$16,IF(BV21&lt;=Condition!$F$17,Condition!$D$17,IF(BV21&lt;=Condition!$F$18,Condition!$D$18,IF(BV21&gt;Condition!$E$19,Condition!$D$19,"")))))</f>
        <v>0</v>
      </c>
      <c r="BW64" s="85">
        <f>IF(BW21&lt;=Condition!$E$16,0,IF(BW21&lt;=Condition!$F$16,Condition!$D$16,IF(BW21&lt;=Condition!$F$17,Condition!$D$17,IF(BW21&lt;=Condition!$F$18,Condition!$D$18,IF(BW21&gt;Condition!$E$19,Condition!$D$19,"")))))</f>
        <v>0</v>
      </c>
      <c r="BX64" s="85">
        <f>IF(BX21&lt;=Condition!$E$16,0,IF(BX21&lt;=Condition!$F$16,Condition!$D$16,IF(BX21&lt;=Condition!$F$17,Condition!$D$17,IF(BX21&lt;=Condition!$F$18,Condition!$D$18,IF(BX21&gt;Condition!$E$19,Condition!$D$19,"")))))</f>
        <v>0</v>
      </c>
      <c r="BY64" s="85">
        <f>IF(BY21&lt;=Condition!$E$16,0,IF(BY21&lt;=Condition!$F$16,Condition!$D$16,IF(BY21&lt;=Condition!$F$17,Condition!$D$17,IF(BY21&lt;=Condition!$F$18,Condition!$D$18,IF(BY21&gt;Condition!$E$19,Condition!$D$19,"")))))</f>
        <v>0</v>
      </c>
      <c r="BZ64" s="85">
        <f>IF(BZ21&lt;=Condition!$E$16,0,IF(BZ21&lt;=Condition!$F$16,Condition!$D$16,IF(BZ21&lt;=Condition!$F$17,Condition!$D$17,IF(BZ21&lt;=Condition!$F$18,Condition!$D$18,IF(BZ21&gt;Condition!$E$19,Condition!$D$19,"")))))</f>
        <v>0</v>
      </c>
      <c r="CA64" s="85">
        <f>IF(CA21&lt;=Condition!$E$16,0,IF(CA21&lt;=Condition!$F$16,Condition!$D$16,IF(CA21&lt;=Condition!$F$17,Condition!$D$17,IF(CA21&lt;=Condition!$F$18,Condition!$D$18,IF(CA21&gt;Condition!$E$19,Condition!$D$19,"")))))</f>
        <v>0</v>
      </c>
      <c r="CB64" s="85">
        <f>IF(CB21&lt;=Condition!$E$16,0,IF(CB21&lt;=Condition!$F$16,Condition!$D$16,IF(CB21&lt;=Condition!$F$17,Condition!$D$17,IF(CB21&lt;=Condition!$F$18,Condition!$D$18,IF(CB21&gt;Condition!$E$19,Condition!$D$19,"")))))</f>
        <v>0</v>
      </c>
      <c r="CC64" s="85">
        <f>IF(CC21&lt;=Condition!$E$16,0,IF(CC21&lt;=Condition!$F$16,Condition!$D$16,IF(CC21&lt;=Condition!$F$17,Condition!$D$17,IF(CC21&lt;=Condition!$F$18,Condition!$D$18,IF(CC21&gt;Condition!$E$19,Condition!$D$19,"")))))</f>
        <v>0</v>
      </c>
      <c r="CD64" s="85">
        <f>IF(CD21&lt;=Condition!$E$16,0,IF(CD21&lt;=Condition!$F$16,Condition!$D$16,IF(CD21&lt;=Condition!$F$17,Condition!$D$17,IF(CD21&lt;=Condition!$F$18,Condition!$D$18,IF(CD21&gt;Condition!$E$19,Condition!$D$19,"")))))</f>
        <v>0</v>
      </c>
      <c r="CE64" s="85">
        <f>IF(CE21&lt;=Condition!$E$16,0,IF(CE21&lt;=Condition!$F$16,Condition!$D$16,IF(CE21&lt;=Condition!$F$17,Condition!$D$17,IF(CE21&lt;=Condition!$F$18,Condition!$D$18,IF(CE21&gt;Condition!$E$19,Condition!$D$19,"")))))</f>
        <v>0</v>
      </c>
      <c r="CF64" s="85">
        <f>IF(CF21&lt;=Condition!$E$16,0,IF(CF21&lt;=Condition!$F$16,Condition!$D$16,IF(CF21&lt;=Condition!$F$17,Condition!$D$17,IF(CF21&lt;=Condition!$F$18,Condition!$D$18,IF(CF21&gt;Condition!$E$19,Condition!$D$19,"")))))</f>
        <v>0</v>
      </c>
      <c r="CG64" s="85">
        <f>IF(CG21&lt;=Condition!$E$16,0,IF(CG21&lt;=Condition!$F$16,Condition!$D$16,IF(CG21&lt;=Condition!$F$17,Condition!$D$17,IF(CG21&lt;=Condition!$F$18,Condition!$D$18,IF(CG21&gt;Condition!$E$19,Condition!$D$19,"")))))</f>
        <v>0</v>
      </c>
      <c r="CH64" s="85">
        <f>IF(CH21&lt;=Condition!$E$16,0,IF(CH21&lt;=Condition!$F$16,Condition!$D$16,IF(CH21&lt;=Condition!$F$17,Condition!$D$17,IF(CH21&lt;=Condition!$F$18,Condition!$D$18,IF(CH21&gt;Condition!$E$19,Condition!$D$19,"")))))</f>
        <v>0</v>
      </c>
      <c r="CI64" s="85">
        <f>IF(CI21&lt;=Condition!$E$16,0,IF(CI21&lt;=Condition!$F$16,Condition!$D$16,IF(CI21&lt;=Condition!$F$17,Condition!$D$17,IF(CI21&lt;=Condition!$F$18,Condition!$D$18,IF(CI21&gt;Condition!$E$19,Condition!$D$19,"")))))</f>
        <v>0</v>
      </c>
      <c r="CJ64" s="85">
        <f>IF(CJ21&lt;=Condition!$E$16,0,IF(CJ21&lt;=Condition!$F$16,Condition!$D$16,IF(CJ21&lt;=Condition!$F$17,Condition!$D$17,IF(CJ21&lt;=Condition!$F$18,Condition!$D$18,IF(CJ21&gt;Condition!$E$19,Condition!$D$19,"")))))</f>
        <v>0</v>
      </c>
      <c r="CK64" s="85">
        <f>IF(CK21&lt;=Condition!$E$16,0,IF(CK21&lt;=Condition!$F$16,Condition!$D$16,IF(CK21&lt;=Condition!$F$17,Condition!$D$17,IF(CK21&lt;=Condition!$F$18,Condition!$D$18,IF(CK21&gt;Condition!$E$19,Condition!$D$19,"")))))</f>
        <v>0</v>
      </c>
      <c r="CL64" s="85">
        <f>IF(CL21&lt;=Condition!$E$16,0,IF(CL21&lt;=Condition!$F$16,Condition!$D$16,IF(CL21&lt;=Condition!$F$17,Condition!$D$17,IF(CL21&lt;=Condition!$F$18,Condition!$D$18,IF(CL21&gt;Condition!$E$19,Condition!$D$19,"")))))</f>
        <v>0</v>
      </c>
      <c r="CM64" s="85">
        <f>IF(CM21&lt;=Condition!$E$16,0,IF(CM21&lt;=Condition!$F$16,Condition!$D$16,IF(CM21&lt;=Condition!$F$17,Condition!$D$17,IF(CM21&lt;=Condition!$F$18,Condition!$D$18,IF(CM21&gt;Condition!$E$19,Condition!$D$19,"")))))</f>
        <v>0</v>
      </c>
      <c r="CN64" s="85">
        <f>IF(CN21&lt;=Condition!$E$16,0,IF(CN21&lt;=Condition!$F$16,Condition!$D$16,IF(CN21&lt;=Condition!$F$17,Condition!$D$17,IF(CN21&lt;=Condition!$F$18,Condition!$D$18,IF(CN21&gt;Condition!$E$19,Condition!$D$19,"")))))</f>
        <v>0</v>
      </c>
      <c r="CO64" s="85">
        <f>IF(CO21&lt;=Condition!$E$16,0,IF(CO21&lt;=Condition!$F$16,Condition!$D$16,IF(CO21&lt;=Condition!$F$17,Condition!$D$17,IF(CO21&lt;=Condition!$F$18,Condition!$D$18,IF(CO21&gt;Condition!$E$19,Condition!$D$19,"")))))</f>
        <v>0</v>
      </c>
      <c r="CP64" s="85">
        <f>IF(CP21&lt;=Condition!$E$16,0,IF(CP21&lt;=Condition!$F$16,Condition!$D$16,IF(CP21&lt;=Condition!$F$17,Condition!$D$17,IF(CP21&lt;=Condition!$F$18,Condition!$D$18,IF(CP21&gt;Condition!$E$19,Condition!$D$19,"")))))</f>
        <v>0</v>
      </c>
      <c r="CQ64" s="85">
        <f>IF(CQ21&lt;=Condition!$E$16,0,IF(CQ21&lt;=Condition!$F$16,Condition!$D$16,IF(CQ21&lt;=Condition!$F$17,Condition!$D$17,IF(CQ21&lt;=Condition!$F$18,Condition!$D$18,IF(CQ21&gt;Condition!$E$19,Condition!$D$19,"")))))</f>
        <v>0</v>
      </c>
      <c r="CR64" s="85">
        <f>IF(CR21&lt;=Condition!$E$16,0,IF(CR21&lt;=Condition!$F$16,Condition!$D$16,IF(CR21&lt;=Condition!$F$17,Condition!$D$17,IF(CR21&lt;=Condition!$F$18,Condition!$D$18,IF(CR21&gt;Condition!$E$19,Condition!$D$19,"")))))</f>
        <v>0</v>
      </c>
      <c r="CS64" s="85">
        <f>IF(CS21&lt;=Condition!$E$16,0,IF(CS21&lt;=Condition!$F$16,Condition!$D$16,IF(CS21&lt;=Condition!$F$17,Condition!$D$17,IF(CS21&lt;=Condition!$F$18,Condition!$D$18,IF(CS21&gt;Condition!$E$19,Condition!$D$19,"")))))</f>
        <v>0</v>
      </c>
      <c r="CT64" s="85">
        <f>IF(CT21&lt;=Condition!$E$16,0,IF(CT21&lt;=Condition!$F$16,Condition!$D$16,IF(CT21&lt;=Condition!$F$17,Condition!$D$17,IF(CT21&lt;=Condition!$F$18,Condition!$D$18,IF(CT21&gt;Condition!$E$19,Condition!$D$19,"")))))</f>
        <v>0</v>
      </c>
      <c r="CU64" s="85">
        <f>IF(CU21&lt;=Condition!$E$16,0,IF(CU21&lt;=Condition!$F$16,Condition!$D$16,IF(CU21&lt;=Condition!$F$17,Condition!$D$17,IF(CU21&lt;=Condition!$F$18,Condition!$D$18,IF(CU21&gt;Condition!$E$19,Condition!$D$19,"")))))</f>
        <v>0</v>
      </c>
      <c r="CV64" s="85">
        <f>IF(CV21&lt;=Condition!$E$16,0,IF(CV21&lt;=Condition!$F$16,Condition!$D$16,IF(CV21&lt;=Condition!$F$17,Condition!$D$17,IF(CV21&lt;=Condition!$F$18,Condition!$D$18,IF(CV21&gt;Condition!$E$19,Condition!$D$19,"")))))</f>
        <v>0</v>
      </c>
      <c r="CW64" s="85">
        <f>IF(CW21&lt;=Condition!$E$16,0,IF(CW21&lt;=Condition!$F$16,Condition!$D$16,IF(CW21&lt;=Condition!$F$17,Condition!$D$17,IF(CW21&lt;=Condition!$F$18,Condition!$D$18,IF(CW21&gt;Condition!$E$19,Condition!$D$19,"")))))</f>
        <v>0</v>
      </c>
      <c r="CX64" s="85">
        <f>IF(CX21&lt;=Condition!$E$16,0,IF(CX21&lt;=Condition!$F$16,Condition!$D$16,IF(CX21&lt;=Condition!$F$17,Condition!$D$17,IF(CX21&lt;=Condition!$F$18,Condition!$D$18,IF(CX21&gt;Condition!$E$19,Condition!$D$19,"")))))</f>
        <v>0</v>
      </c>
      <c r="CY64" s="85">
        <f>IF(CY21&lt;=Condition!$E$16,0,IF(CY21&lt;=Condition!$F$16,Condition!$D$16,IF(CY21&lt;=Condition!$F$17,Condition!$D$17,IF(CY21&lt;=Condition!$F$18,Condition!$D$18,IF(CY21&gt;Condition!$E$19,Condition!$D$19,"")))))</f>
        <v>0</v>
      </c>
      <c r="CZ64" s="85">
        <f>IF(CZ21&lt;=Condition!$E$16,0,IF(CZ21&lt;=Condition!$F$16,Condition!$D$16,IF(CZ21&lt;=Condition!$F$17,Condition!$D$17,IF(CZ21&lt;=Condition!$F$18,Condition!$D$18,IF(CZ21&gt;Condition!$E$19,Condition!$D$19,"")))))</f>
        <v>0</v>
      </c>
      <c r="DA64" s="85">
        <f>IF(DA21&lt;=Condition!$E$16,0,IF(DA21&lt;=Condition!$F$16,Condition!$D$16,IF(DA21&lt;=Condition!$F$17,Condition!$D$17,IF(DA21&lt;=Condition!$F$18,Condition!$D$18,IF(DA21&gt;Condition!$E$19,Condition!$D$19,"")))))</f>
        <v>0</v>
      </c>
      <c r="DB64" s="85">
        <f>IF(DB21&lt;=Condition!$E$16,0,IF(DB21&lt;=Condition!$F$16,Condition!$D$16,IF(DB21&lt;=Condition!$F$17,Condition!$D$17,IF(DB21&lt;=Condition!$F$18,Condition!$D$18,IF(DB21&gt;Condition!$E$19,Condition!$D$19,"")))))</f>
        <v>0</v>
      </c>
      <c r="DC64" s="85">
        <f>IF(DC21&lt;=Condition!$E$16,0,IF(DC21&lt;=Condition!$F$16,Condition!$D$16,IF(DC21&lt;=Condition!$F$17,Condition!$D$17,IF(DC21&lt;=Condition!$F$18,Condition!$D$18,IF(DC21&gt;Condition!$E$19,Condition!$D$19,"")))))</f>
        <v>0</v>
      </c>
      <c r="DD64" s="85">
        <f>IF(DD21&lt;=Condition!$E$16,0,IF(DD21&lt;=Condition!$F$16,Condition!$D$16,IF(DD21&lt;=Condition!$F$17,Condition!$D$17,IF(DD21&lt;=Condition!$F$18,Condition!$D$18,IF(DD21&gt;Condition!$E$19,Condition!$D$19,"")))))</f>
        <v>0</v>
      </c>
      <c r="DE64" s="85">
        <f>IF(DE21&lt;=Condition!$E$16,0,IF(DE21&lt;=Condition!$F$16,Condition!$D$16,IF(DE21&lt;=Condition!$F$17,Condition!$D$17,IF(DE21&lt;=Condition!$F$18,Condition!$D$18,IF(DE21&gt;Condition!$E$19,Condition!$D$19,"")))))</f>
        <v>0</v>
      </c>
      <c r="DF64" s="85">
        <f>IF(DF21&lt;=Condition!$E$16,0,IF(DF21&lt;=Condition!$F$16,Condition!$D$16,IF(DF21&lt;=Condition!$F$17,Condition!$D$17,IF(DF21&lt;=Condition!$F$18,Condition!$D$18,IF(DF21&gt;Condition!$E$19,Condition!$D$19,"")))))</f>
        <v>0</v>
      </c>
      <c r="DG64" s="85">
        <f>IF(DG21&lt;=Condition!$E$16,0,IF(DG21&lt;=Condition!$F$16,Condition!$D$16,IF(DG21&lt;=Condition!$F$17,Condition!$D$17,IF(DG21&lt;=Condition!$F$18,Condition!$D$18,IF(DG21&gt;Condition!$E$19,Condition!$D$19,"")))))</f>
        <v>0</v>
      </c>
      <c r="DH64" s="85">
        <f>IF(DH21&lt;=Condition!$E$16,0,IF(DH21&lt;=Condition!$F$16,Condition!$D$16,IF(DH21&lt;=Condition!$F$17,Condition!$D$17,IF(DH21&lt;=Condition!$F$18,Condition!$D$18,IF(DH21&gt;Condition!$E$19,Condition!$D$19,"")))))</f>
        <v>0</v>
      </c>
      <c r="DI64" s="85">
        <f>IF(DI21&lt;=Condition!$E$16,0,IF(DI21&lt;=Condition!$F$16,Condition!$D$16,IF(DI21&lt;=Condition!$F$17,Condition!$D$17,IF(DI21&lt;=Condition!$F$18,Condition!$D$18,IF(DI21&gt;Condition!$E$19,Condition!$D$19,"")))))</f>
        <v>0</v>
      </c>
      <c r="DJ64" s="85">
        <f>IF(DJ21&lt;=Condition!$E$16,0,IF(DJ21&lt;=Condition!$F$16,Condition!$D$16,IF(DJ21&lt;=Condition!$F$17,Condition!$D$17,IF(DJ21&lt;=Condition!$F$18,Condition!$D$18,IF(DJ21&gt;Condition!$E$19,Condition!$D$19,"")))))</f>
        <v>0</v>
      </c>
      <c r="DK64" s="85">
        <f>IF(DK21&lt;=Condition!$E$16,0,IF(DK21&lt;=Condition!$F$16,Condition!$D$16,IF(DK21&lt;=Condition!$F$17,Condition!$D$17,IF(DK21&lt;=Condition!$F$18,Condition!$D$18,IF(DK21&gt;Condition!$E$19,Condition!$D$19,"")))))</f>
        <v>0</v>
      </c>
      <c r="DL64" s="85">
        <f>IF(DL21&lt;=Condition!$E$16,0,IF(DL21&lt;=Condition!$F$16,Condition!$D$16,IF(DL21&lt;=Condition!$F$17,Condition!$D$17,IF(DL21&lt;=Condition!$F$18,Condition!$D$18,IF(DL21&gt;Condition!$E$19,Condition!$D$19,"")))))</f>
        <v>0</v>
      </c>
      <c r="DM64" s="85">
        <f>IF(DM21&lt;=Condition!$E$16,0,IF(DM21&lt;=Condition!$F$16,Condition!$D$16,IF(DM21&lt;=Condition!$F$17,Condition!$D$17,IF(DM21&lt;=Condition!$F$18,Condition!$D$18,IF(DM21&gt;Condition!$E$19,Condition!$D$19,"")))))</f>
        <v>0</v>
      </c>
      <c r="DN64" s="85">
        <f>IF(DN21&lt;=Condition!$E$16,0,IF(DN21&lt;=Condition!$F$16,Condition!$D$16,IF(DN21&lt;=Condition!$F$17,Condition!$D$17,IF(DN21&lt;=Condition!$F$18,Condition!$D$18,IF(DN21&gt;Condition!$E$19,Condition!$D$19,"")))))</f>
        <v>0</v>
      </c>
      <c r="DO64" s="85">
        <f>IF(DO21&lt;=Condition!$E$16,0,IF(DO21&lt;=Condition!$F$16,Condition!$D$16,IF(DO21&lt;=Condition!$F$17,Condition!$D$17,IF(DO21&lt;=Condition!$F$18,Condition!$D$18,IF(DO21&gt;Condition!$E$19,Condition!$D$19,"")))))</f>
        <v>0</v>
      </c>
      <c r="DP64" s="85">
        <f>IF(DP21&lt;=Condition!$E$16,0,IF(DP21&lt;=Condition!$F$16,Condition!$D$16,IF(DP21&lt;=Condition!$F$17,Condition!$D$17,IF(DP21&lt;=Condition!$F$18,Condition!$D$18,IF(DP21&gt;Condition!$E$19,Condition!$D$19,"")))))</f>
        <v>0</v>
      </c>
      <c r="DQ64" s="85">
        <f>IF(DQ21&lt;=Condition!$E$16,0,IF(DQ21&lt;=Condition!$F$16,Condition!$D$16,IF(DQ21&lt;=Condition!$F$17,Condition!$D$17,IF(DQ21&lt;=Condition!$F$18,Condition!$D$18,IF(DQ21&gt;Condition!$E$19,Condition!$D$19,"")))))</f>
        <v>0</v>
      </c>
      <c r="DR64" s="85">
        <f>IF(DR21&lt;=Condition!$E$16,0,IF(DR21&lt;=Condition!$F$16,Condition!$D$16,IF(DR21&lt;=Condition!$F$17,Condition!$D$17,IF(DR21&lt;=Condition!$F$18,Condition!$D$18,IF(DR21&gt;Condition!$E$19,Condition!$D$19,"")))))</f>
        <v>0</v>
      </c>
      <c r="DS64" s="85">
        <f>IF(DS21&lt;=Condition!$E$16,0,IF(DS21&lt;=Condition!$F$16,Condition!$D$16,IF(DS21&lt;=Condition!$F$17,Condition!$D$17,IF(DS21&lt;=Condition!$F$18,Condition!$D$18,IF(DS21&gt;Condition!$E$19,Condition!$D$19,"")))))</f>
        <v>0</v>
      </c>
      <c r="DT64" s="85">
        <f>IF(DT21&lt;=Condition!$E$16,0,IF(DT21&lt;=Condition!$F$16,Condition!$D$16,IF(DT21&lt;=Condition!$F$17,Condition!$D$17,IF(DT21&lt;=Condition!$F$18,Condition!$D$18,IF(DT21&gt;Condition!$E$19,Condition!$D$19,"")))))</f>
        <v>0</v>
      </c>
      <c r="DU64" s="85">
        <f>IF(DU21&lt;=Condition!$E$16,0,IF(DU21&lt;=Condition!$F$16,Condition!$D$16,IF(DU21&lt;=Condition!$F$17,Condition!$D$17,IF(DU21&lt;=Condition!$F$18,Condition!$D$18,IF(DU21&gt;Condition!$E$19,Condition!$D$19,"")))))</f>
        <v>0</v>
      </c>
      <c r="DV64" s="85">
        <f>IF(DV21&lt;=Condition!$E$16,0,IF(DV21&lt;=Condition!$F$16,Condition!$D$16,IF(DV21&lt;=Condition!$F$17,Condition!$D$17,IF(DV21&lt;=Condition!$F$18,Condition!$D$18,IF(DV21&gt;Condition!$E$19,Condition!$D$19,"")))))</f>
        <v>0</v>
      </c>
      <c r="DW64" s="85">
        <f>IF(DW21&lt;=Condition!$E$16,0,IF(DW21&lt;=Condition!$F$16,Condition!$D$16,IF(DW21&lt;=Condition!$F$17,Condition!$D$17,IF(DW21&lt;=Condition!$F$18,Condition!$D$18,IF(DW21&gt;Condition!$E$19,Condition!$D$19,"")))))</f>
        <v>0</v>
      </c>
      <c r="DX64" s="85">
        <f>IF(DX21&lt;=Condition!$E$16,0,IF(DX21&lt;=Condition!$F$16,Condition!$D$16,IF(DX21&lt;=Condition!$F$17,Condition!$D$17,IF(DX21&lt;=Condition!$F$18,Condition!$D$18,IF(DX21&gt;Condition!$E$19,Condition!$D$19,"")))))</f>
        <v>0</v>
      </c>
      <c r="DY64" s="85">
        <f>IF(DY21&lt;=Condition!$E$16,0,IF(DY21&lt;=Condition!$F$16,Condition!$D$16,IF(DY21&lt;=Condition!$F$17,Condition!$D$17,IF(DY21&lt;=Condition!$F$18,Condition!$D$18,IF(DY21&gt;Condition!$E$19,Condition!$D$19,"")))))</f>
        <v>0</v>
      </c>
      <c r="DZ64" s="85">
        <f>IF(DZ21&lt;=Condition!$E$16,0,IF(DZ21&lt;=Condition!$F$16,Condition!$D$16,IF(DZ21&lt;=Condition!$F$17,Condition!$D$17,IF(DZ21&lt;=Condition!$F$18,Condition!$D$18,IF(DZ21&gt;Condition!$E$19,Condition!$D$19,"")))))</f>
        <v>0</v>
      </c>
      <c r="EA64" s="85">
        <f>IF(EA21&lt;=Condition!$E$16,0,IF(EA21&lt;=Condition!$F$16,Condition!$D$16,IF(EA21&lt;=Condition!$F$17,Condition!$D$17,IF(EA21&lt;=Condition!$F$18,Condition!$D$18,IF(EA21&gt;Condition!$E$19,Condition!$D$19,"")))))</f>
        <v>0</v>
      </c>
      <c r="EB64" s="85">
        <f>IF(EB21&lt;=Condition!$E$16,0,IF(EB21&lt;=Condition!$F$16,Condition!$D$16,IF(EB21&lt;=Condition!$F$17,Condition!$D$17,IF(EB21&lt;=Condition!$F$18,Condition!$D$18,IF(EB21&gt;Condition!$E$19,Condition!$D$19,"")))))</f>
        <v>0</v>
      </c>
      <c r="EC64" s="85">
        <f>IF(EC21&lt;=Condition!$E$16,0,IF(EC21&lt;=Condition!$F$16,Condition!$D$16,IF(EC21&lt;=Condition!$F$17,Condition!$D$17,IF(EC21&lt;=Condition!$F$18,Condition!$D$18,IF(EC21&gt;Condition!$E$19,Condition!$D$19,"")))))</f>
        <v>0</v>
      </c>
      <c r="ED64" s="85">
        <f>IF(ED21&lt;=Condition!$E$16,0,IF(ED21&lt;=Condition!$F$16,Condition!$D$16,IF(ED21&lt;=Condition!$F$17,Condition!$D$17,IF(ED21&lt;=Condition!$F$18,Condition!$D$18,IF(ED21&gt;Condition!$E$19,Condition!$D$19,"")))))</f>
        <v>0</v>
      </c>
      <c r="EE64" s="85">
        <f>IF(EE21&lt;=Condition!$E$16,0,IF(EE21&lt;=Condition!$F$16,Condition!$D$16,IF(EE21&lt;=Condition!$F$17,Condition!$D$17,IF(EE21&lt;=Condition!$F$18,Condition!$D$18,IF(EE21&gt;Condition!$E$19,Condition!$D$19,"")))))</f>
        <v>0</v>
      </c>
      <c r="EF64" s="85">
        <f>IF(EF21&lt;=Condition!$E$16,0,IF(EF21&lt;=Condition!$F$16,Condition!$D$16,IF(EF21&lt;=Condition!$F$17,Condition!$D$17,IF(EF21&lt;=Condition!$F$18,Condition!$D$18,IF(EF21&gt;Condition!$E$19,Condition!$D$19,"")))))</f>
        <v>0</v>
      </c>
      <c r="EG64" s="85">
        <f>IF(EG21&lt;=Condition!$E$16,0,IF(EG21&lt;=Condition!$F$16,Condition!$D$16,IF(EG21&lt;=Condition!$F$17,Condition!$D$17,IF(EG21&lt;=Condition!$F$18,Condition!$D$18,IF(EG21&gt;Condition!$E$19,Condition!$D$19,"")))))</f>
        <v>0</v>
      </c>
      <c r="EH64" s="85">
        <f>IF(EH21&lt;=Condition!$E$16,0,IF(EH21&lt;=Condition!$F$16,Condition!$D$16,IF(EH21&lt;=Condition!$F$17,Condition!$D$17,IF(EH21&lt;=Condition!$F$18,Condition!$D$18,IF(EH21&gt;Condition!$E$19,Condition!$D$19,"")))))</f>
        <v>0</v>
      </c>
      <c r="EI64" s="85">
        <f>IF(EI21&lt;=Condition!$E$16,0,IF(EI21&lt;=Condition!$F$16,Condition!$D$16,IF(EI21&lt;=Condition!$F$17,Condition!$D$17,IF(EI21&lt;=Condition!$F$18,Condition!$D$18,IF(EI21&gt;Condition!$E$19,Condition!$D$19,"")))))</f>
        <v>0</v>
      </c>
      <c r="EJ64" s="85">
        <f>IF(EJ21&lt;=Condition!$E$16,0,IF(EJ21&lt;=Condition!$F$16,Condition!$D$16,IF(EJ21&lt;=Condition!$F$17,Condition!$D$17,IF(EJ21&lt;=Condition!$F$18,Condition!$D$18,IF(EJ21&gt;Condition!$E$19,Condition!$D$19,"")))))</f>
        <v>0</v>
      </c>
      <c r="EK64" s="85">
        <f>IF(EK21&lt;=Condition!$E$16,0,IF(EK21&lt;=Condition!$F$16,Condition!$D$16,IF(EK21&lt;=Condition!$F$17,Condition!$D$17,IF(EK21&lt;=Condition!$F$18,Condition!$D$18,IF(EK21&gt;Condition!$E$19,Condition!$D$19,"")))))</f>
        <v>0</v>
      </c>
      <c r="EL64" s="85">
        <f>IF(EL21&lt;=Condition!$E$16,0,IF(EL21&lt;=Condition!$F$16,Condition!$D$16,IF(EL21&lt;=Condition!$F$17,Condition!$D$17,IF(EL21&lt;=Condition!$F$18,Condition!$D$18,IF(EL21&gt;Condition!$E$19,Condition!$D$19,"")))))</f>
        <v>0</v>
      </c>
      <c r="EM64" s="85">
        <f>IF(EM21&lt;=Condition!$E$16,0,IF(EM21&lt;=Condition!$F$16,Condition!$D$16,IF(EM21&lt;=Condition!$F$17,Condition!$D$17,IF(EM21&lt;=Condition!$F$18,Condition!$D$18,IF(EM21&gt;Condition!$E$19,Condition!$D$19,"")))))</f>
        <v>0</v>
      </c>
      <c r="EN64" s="85">
        <f>IF(EN21&lt;=Condition!$E$16,0,IF(EN21&lt;=Condition!$F$16,Condition!$D$16,IF(EN21&lt;=Condition!$F$17,Condition!$D$17,IF(EN21&lt;=Condition!$F$18,Condition!$D$18,IF(EN21&gt;Condition!$E$19,Condition!$D$19,"")))))</f>
        <v>0</v>
      </c>
      <c r="EO64" s="85">
        <f>IF(EO21&lt;=Condition!$E$16,0,IF(EO21&lt;=Condition!$F$16,Condition!$D$16,IF(EO21&lt;=Condition!$F$17,Condition!$D$17,IF(EO21&lt;=Condition!$F$18,Condition!$D$18,IF(EO21&gt;Condition!$E$19,Condition!$D$19,"")))))</f>
        <v>0</v>
      </c>
      <c r="EP64" s="85">
        <f>IF(EP21&lt;=Condition!$E$16,0,IF(EP21&lt;=Condition!$F$16,Condition!$D$16,IF(EP21&lt;=Condition!$F$17,Condition!$D$17,IF(EP21&lt;=Condition!$F$18,Condition!$D$18,IF(EP21&gt;Condition!$E$19,Condition!$D$19,"")))))</f>
        <v>0</v>
      </c>
      <c r="EQ64" s="85">
        <f>IF(EQ21&lt;=Condition!$E$16,0,IF(EQ21&lt;=Condition!$F$16,Condition!$D$16,IF(EQ21&lt;=Condition!$F$17,Condition!$D$17,IF(EQ21&lt;=Condition!$F$18,Condition!$D$18,IF(EQ21&gt;Condition!$E$19,Condition!$D$19,"")))))</f>
        <v>0</v>
      </c>
      <c r="ER64" s="85">
        <f>IF(ER21&lt;=Condition!$E$16,0,IF(ER21&lt;=Condition!$F$16,Condition!$D$16,IF(ER21&lt;=Condition!$F$17,Condition!$D$17,IF(ER21&lt;=Condition!$F$18,Condition!$D$18,IF(ER21&gt;Condition!$E$19,Condition!$D$19,"")))))</f>
        <v>0</v>
      </c>
      <c r="ES64" s="85">
        <f>IF(ES21&lt;=Condition!$E$16,0,IF(ES21&lt;=Condition!$F$16,Condition!$D$16,IF(ES21&lt;=Condition!$F$17,Condition!$D$17,IF(ES21&lt;=Condition!$F$18,Condition!$D$18,IF(ES21&gt;Condition!$E$19,Condition!$D$19,"")))))</f>
        <v>0</v>
      </c>
      <c r="ET64" s="85">
        <f>IF(ET21&lt;=Condition!$E$16,0,IF(ET21&lt;=Condition!$F$16,Condition!$D$16,IF(ET21&lt;=Condition!$F$17,Condition!$D$17,IF(ET21&lt;=Condition!$F$18,Condition!$D$18,IF(ET21&gt;Condition!$E$19,Condition!$D$19,"")))))</f>
        <v>0</v>
      </c>
      <c r="EU64" s="85">
        <f>IF(EU21&lt;=Condition!$E$16,0,IF(EU21&lt;=Condition!$F$16,Condition!$D$16,IF(EU21&lt;=Condition!$F$17,Condition!$D$17,IF(EU21&lt;=Condition!$F$18,Condition!$D$18,IF(EU21&gt;Condition!$E$19,Condition!$D$19,"")))))</f>
        <v>0</v>
      </c>
      <c r="EV64" s="85">
        <f>IF(EV21&lt;=Condition!$E$16,0,IF(EV21&lt;=Condition!$F$16,Condition!$D$16,IF(EV21&lt;=Condition!$F$17,Condition!$D$17,IF(EV21&lt;=Condition!$F$18,Condition!$D$18,IF(EV21&gt;Condition!$E$19,Condition!$D$19,"")))))</f>
        <v>0</v>
      </c>
      <c r="EW64" s="85">
        <f>IF(EW21&lt;=Condition!$E$16,0,IF(EW21&lt;=Condition!$F$16,Condition!$D$16,IF(EW21&lt;=Condition!$F$17,Condition!$D$17,IF(EW21&lt;=Condition!$F$18,Condition!$D$18,IF(EW21&gt;Condition!$E$19,Condition!$D$19,"")))))</f>
        <v>0</v>
      </c>
      <c r="EX64" s="85">
        <f>IF(EX21&lt;=Condition!$E$16,0,IF(EX21&lt;=Condition!$F$16,Condition!$D$16,IF(EX21&lt;=Condition!$F$17,Condition!$D$17,IF(EX21&lt;=Condition!$F$18,Condition!$D$18,IF(EX21&gt;Condition!$E$19,Condition!$D$19,"")))))</f>
        <v>0</v>
      </c>
      <c r="EY64" s="85">
        <f>IF(EY21&lt;=Condition!$E$16,0,IF(EY21&lt;=Condition!$F$16,Condition!$D$16,IF(EY21&lt;=Condition!$F$17,Condition!$D$17,IF(EY21&lt;=Condition!$F$18,Condition!$D$18,IF(EY21&gt;Condition!$E$19,Condition!$D$19,"")))))</f>
        <v>0</v>
      </c>
      <c r="EZ64" s="85">
        <f>IF(EZ21&lt;=Condition!$E$16,0,IF(EZ21&lt;=Condition!$F$16,Condition!$D$16,IF(EZ21&lt;=Condition!$F$17,Condition!$D$17,IF(EZ21&lt;=Condition!$F$18,Condition!$D$18,IF(EZ21&gt;Condition!$E$19,Condition!$D$19,"")))))</f>
        <v>0</v>
      </c>
      <c r="FA64" s="85">
        <f>IF(FA21&lt;=Condition!$E$16,0,IF(FA21&lt;=Condition!$F$16,Condition!$D$16,IF(FA21&lt;=Condition!$F$17,Condition!$D$17,IF(FA21&lt;=Condition!$F$18,Condition!$D$18,IF(FA21&gt;Condition!$E$19,Condition!$D$19,"")))))</f>
        <v>0</v>
      </c>
      <c r="FB64" s="85">
        <f>IF(FB21&lt;=Condition!$E$16,0,IF(FB21&lt;=Condition!$F$16,Condition!$D$16,IF(FB21&lt;=Condition!$F$17,Condition!$D$17,IF(FB21&lt;=Condition!$F$18,Condition!$D$18,IF(FB21&gt;Condition!$E$19,Condition!$D$19,"")))))</f>
        <v>0</v>
      </c>
      <c r="FC64" s="85">
        <f>IF(FC21&lt;=Condition!$E$16,0,IF(FC21&lt;=Condition!$F$16,Condition!$D$16,IF(FC21&lt;=Condition!$F$17,Condition!$D$17,IF(FC21&lt;=Condition!$F$18,Condition!$D$18,IF(FC21&gt;Condition!$E$19,Condition!$D$19,"")))))</f>
        <v>0</v>
      </c>
      <c r="FD64" s="85">
        <f>IF(FD21&lt;=Condition!$E$16,0,IF(FD21&lt;=Condition!$F$16,Condition!$D$16,IF(FD21&lt;=Condition!$F$17,Condition!$D$17,IF(FD21&lt;=Condition!$F$18,Condition!$D$18,IF(FD21&gt;Condition!$E$19,Condition!$D$19,"")))))</f>
        <v>0</v>
      </c>
      <c r="FE64" s="85">
        <f>IF(FE21&lt;=Condition!$E$16,0,IF(FE21&lt;=Condition!$F$16,Condition!$D$16,IF(FE21&lt;=Condition!$F$17,Condition!$D$17,IF(FE21&lt;=Condition!$F$18,Condition!$D$18,IF(FE21&gt;Condition!$E$19,Condition!$D$19,"")))))</f>
        <v>0</v>
      </c>
      <c r="FF64" s="85">
        <f>IF(FF21&lt;=Condition!$E$16,0,IF(FF21&lt;=Condition!$F$16,Condition!$D$16,IF(FF21&lt;=Condition!$F$17,Condition!$D$17,IF(FF21&lt;=Condition!$F$18,Condition!$D$18,IF(FF21&gt;Condition!$E$19,Condition!$D$19,"")))))</f>
        <v>0</v>
      </c>
      <c r="FG64" s="85">
        <f>IF(FG21&lt;=Condition!$E$16,0,IF(FG21&lt;=Condition!$F$16,Condition!$D$16,IF(FG21&lt;=Condition!$F$17,Condition!$D$17,IF(FG21&lt;=Condition!$F$18,Condition!$D$18,IF(FG21&gt;Condition!$E$19,Condition!$D$19,"")))))</f>
        <v>0</v>
      </c>
      <c r="FH64" s="85">
        <f>IF(FH21&lt;=Condition!$E$16,0,IF(FH21&lt;=Condition!$F$16,Condition!$D$16,IF(FH21&lt;=Condition!$F$17,Condition!$D$17,IF(FH21&lt;=Condition!$F$18,Condition!$D$18,IF(FH21&gt;Condition!$E$19,Condition!$D$19,"")))))</f>
        <v>0</v>
      </c>
      <c r="FI64" s="85">
        <f>IF(FI21&lt;=Condition!$E$16,0,IF(FI21&lt;=Condition!$F$16,Condition!$D$16,IF(FI21&lt;=Condition!$F$17,Condition!$D$17,IF(FI21&lt;=Condition!$F$18,Condition!$D$18,IF(FI21&gt;Condition!$E$19,Condition!$D$19,"")))))</f>
        <v>0</v>
      </c>
      <c r="FJ64" s="85">
        <f>IF(FJ21&lt;=Condition!$E$16,0,IF(FJ21&lt;=Condition!$F$16,Condition!$D$16,IF(FJ21&lt;=Condition!$F$17,Condition!$D$17,IF(FJ21&lt;=Condition!$F$18,Condition!$D$18,IF(FJ21&gt;Condition!$E$19,Condition!$D$19,"")))))</f>
        <v>0</v>
      </c>
      <c r="FK64" s="85">
        <f>IF(FK21&lt;=Condition!$E$16,0,IF(FK21&lt;=Condition!$F$16,Condition!$D$16,IF(FK21&lt;=Condition!$F$17,Condition!$D$17,IF(FK21&lt;=Condition!$F$18,Condition!$D$18,IF(FK21&gt;Condition!$E$19,Condition!$D$19,"")))))</f>
        <v>0</v>
      </c>
      <c r="FL64" s="85">
        <f>IF(FL21&lt;=Condition!$E$16,0,IF(FL21&lt;=Condition!$F$16,Condition!$D$16,IF(FL21&lt;=Condition!$F$17,Condition!$D$17,IF(FL21&lt;=Condition!$F$18,Condition!$D$18,IF(FL21&gt;Condition!$E$19,Condition!$D$19,"")))))</f>
        <v>0</v>
      </c>
      <c r="FM64" s="85">
        <f>IF(FM21&lt;=Condition!$E$16,0,IF(FM21&lt;=Condition!$F$16,Condition!$D$16,IF(FM21&lt;=Condition!$F$17,Condition!$D$17,IF(FM21&lt;=Condition!$F$18,Condition!$D$18,IF(FM21&gt;Condition!$E$19,Condition!$D$19,"")))))</f>
        <v>0</v>
      </c>
      <c r="FN64" s="85">
        <f>IF(FN21&lt;=Condition!$E$16,0,IF(FN21&lt;=Condition!$F$16,Condition!$D$16,IF(FN21&lt;=Condition!$F$17,Condition!$D$17,IF(FN21&lt;=Condition!$F$18,Condition!$D$18,IF(FN21&gt;Condition!$E$19,Condition!$D$19,"")))))</f>
        <v>0</v>
      </c>
      <c r="FO64" s="85">
        <f>IF(FO21&lt;=Condition!$E$16,0,IF(FO21&lt;=Condition!$F$16,Condition!$D$16,IF(FO21&lt;=Condition!$F$17,Condition!$D$17,IF(FO21&lt;=Condition!$F$18,Condition!$D$18,IF(FO21&gt;Condition!$E$19,Condition!$D$19,"")))))</f>
        <v>0</v>
      </c>
      <c r="FP64" s="85">
        <f>IF(FP21&lt;=Condition!$E$16,0,IF(FP21&lt;=Condition!$F$16,Condition!$D$16,IF(FP21&lt;=Condition!$F$17,Condition!$D$17,IF(FP21&lt;=Condition!$F$18,Condition!$D$18,IF(FP21&gt;Condition!$E$19,Condition!$D$19,"")))))</f>
        <v>0</v>
      </c>
      <c r="FQ64" s="85">
        <f>IF(FQ21&lt;=Condition!$E$16,0,IF(FQ21&lt;=Condition!$F$16,Condition!$D$16,IF(FQ21&lt;=Condition!$F$17,Condition!$D$17,IF(FQ21&lt;=Condition!$F$18,Condition!$D$18,IF(FQ21&gt;Condition!$E$19,Condition!$D$19,"")))))</f>
        <v>0</v>
      </c>
      <c r="FR64" s="85">
        <f>IF(FR21&lt;=Condition!$E$16,0,IF(FR21&lt;=Condition!$F$16,Condition!$D$16,IF(FR21&lt;=Condition!$F$17,Condition!$D$17,IF(FR21&lt;=Condition!$F$18,Condition!$D$18,IF(FR21&gt;Condition!$E$19,Condition!$D$19,"")))))</f>
        <v>0</v>
      </c>
      <c r="FS64" s="85">
        <f>IF(FS21&lt;=Condition!$E$16,0,IF(FS21&lt;=Condition!$F$16,Condition!$D$16,IF(FS21&lt;=Condition!$F$17,Condition!$D$17,IF(FS21&lt;=Condition!$F$18,Condition!$D$18,IF(FS21&gt;Condition!$E$19,Condition!$D$19,"")))))</f>
        <v>0</v>
      </c>
      <c r="FT64" s="85">
        <f>IF(FT21&lt;=Condition!$E$16,0,IF(FT21&lt;=Condition!$F$16,Condition!$D$16,IF(FT21&lt;=Condition!$F$17,Condition!$D$17,IF(FT21&lt;=Condition!$F$18,Condition!$D$18,IF(FT21&gt;Condition!$E$19,Condition!$D$19,"")))))</f>
        <v>0</v>
      </c>
      <c r="FU64" s="85">
        <f>IF(FU21&lt;=Condition!$E$16,0,IF(FU21&lt;=Condition!$F$16,Condition!$D$16,IF(FU21&lt;=Condition!$F$17,Condition!$D$17,IF(FU21&lt;=Condition!$F$18,Condition!$D$18,IF(FU21&gt;Condition!$E$19,Condition!$D$19,"")))))</f>
        <v>0</v>
      </c>
      <c r="FV64" s="85">
        <f>IF(FV21&lt;=Condition!$E$16,0,IF(FV21&lt;=Condition!$F$16,Condition!$D$16,IF(FV21&lt;=Condition!$F$17,Condition!$D$17,IF(FV21&lt;=Condition!$F$18,Condition!$D$18,IF(FV21&gt;Condition!$E$19,Condition!$D$19,"")))))</f>
        <v>0</v>
      </c>
      <c r="FW64" s="85">
        <f>IF(FW21&lt;=Condition!$E$16,0,IF(FW21&lt;=Condition!$F$16,Condition!$D$16,IF(FW21&lt;=Condition!$F$17,Condition!$D$17,IF(FW21&lt;=Condition!$F$18,Condition!$D$18,IF(FW21&gt;Condition!$E$19,Condition!$D$19,"")))))</f>
        <v>0</v>
      </c>
      <c r="FX64" s="85">
        <f>IF(FX21&lt;=Condition!$E$16,0,IF(FX21&lt;=Condition!$F$16,Condition!$D$16,IF(FX21&lt;=Condition!$F$17,Condition!$D$17,IF(FX21&lt;=Condition!$F$18,Condition!$D$18,IF(FX21&gt;Condition!$E$19,Condition!$D$19,"")))))</f>
        <v>0</v>
      </c>
      <c r="FY64" s="85">
        <f>IF(FY21&lt;=Condition!$E$16,0,IF(FY21&lt;=Condition!$F$16,Condition!$D$16,IF(FY21&lt;=Condition!$F$17,Condition!$D$17,IF(FY21&lt;=Condition!$F$18,Condition!$D$18,IF(FY21&gt;Condition!$E$19,Condition!$D$19,"")))))</f>
        <v>0</v>
      </c>
      <c r="FZ64" s="85">
        <f>IF(FZ21&lt;=Condition!$E$16,0,IF(FZ21&lt;=Condition!$F$16,Condition!$D$16,IF(FZ21&lt;=Condition!$F$17,Condition!$D$17,IF(FZ21&lt;=Condition!$F$18,Condition!$D$18,IF(FZ21&gt;Condition!$E$19,Condition!$D$19,"")))))</f>
        <v>0</v>
      </c>
      <c r="GA64" s="85">
        <f>IF(GA21&lt;=Condition!$E$16,0,IF(GA21&lt;=Condition!$F$16,Condition!$D$16,IF(GA21&lt;=Condition!$F$17,Condition!$D$17,IF(GA21&lt;=Condition!$F$18,Condition!$D$18,IF(GA21&gt;Condition!$E$19,Condition!$D$19,"")))))</f>
        <v>0</v>
      </c>
      <c r="GB64" s="85">
        <f>IF(GB21&lt;=Condition!$E$16,0,IF(GB21&lt;=Condition!$F$16,Condition!$D$16,IF(GB21&lt;=Condition!$F$17,Condition!$D$17,IF(GB21&lt;=Condition!$F$18,Condition!$D$18,IF(GB21&gt;Condition!$E$19,Condition!$D$19,"")))))</f>
        <v>0</v>
      </c>
      <c r="GC64" s="85">
        <f>IF(GC21&lt;=Condition!$E$16,0,IF(GC21&lt;=Condition!$F$16,Condition!$D$16,IF(GC21&lt;=Condition!$F$17,Condition!$D$17,IF(GC21&lt;=Condition!$F$18,Condition!$D$18,IF(GC21&gt;Condition!$E$19,Condition!$D$19,"")))))</f>
        <v>0</v>
      </c>
      <c r="GD64" s="85">
        <f>IF(GD21&lt;=Condition!$E$16,0,IF(GD21&lt;=Condition!$F$16,Condition!$D$16,IF(GD21&lt;=Condition!$F$17,Condition!$D$17,IF(GD21&lt;=Condition!$F$18,Condition!$D$18,IF(GD21&gt;Condition!$E$19,Condition!$D$19,"")))))</f>
        <v>0</v>
      </c>
      <c r="GE64" s="85">
        <f>IF(GE21&lt;=Condition!$E$16,0,IF(GE21&lt;=Condition!$F$16,Condition!$D$16,IF(GE21&lt;=Condition!$F$17,Condition!$D$17,IF(GE21&lt;=Condition!$F$18,Condition!$D$18,IF(GE21&gt;Condition!$E$19,Condition!$D$19,"")))))</f>
        <v>0</v>
      </c>
      <c r="GF64" s="85">
        <f>IF(GF21&lt;=Condition!$E$16,0,IF(GF21&lt;=Condition!$F$16,Condition!$D$16,IF(GF21&lt;=Condition!$F$17,Condition!$D$17,IF(GF21&lt;=Condition!$F$18,Condition!$D$18,IF(GF21&gt;Condition!$E$19,Condition!$D$19,"")))))</f>
        <v>0</v>
      </c>
      <c r="GG64" s="85">
        <f>IF(GG21&lt;=Condition!$E$16,0,IF(GG21&lt;=Condition!$F$16,Condition!$D$16,IF(GG21&lt;=Condition!$F$17,Condition!$D$17,IF(GG21&lt;=Condition!$F$18,Condition!$D$18,IF(GG21&gt;Condition!$E$19,Condition!$D$19,"")))))</f>
        <v>0</v>
      </c>
      <c r="GH64" s="85">
        <f>IF(GH21&lt;=Condition!$E$16,0,IF(GH21&lt;=Condition!$F$16,Condition!$D$16,IF(GH21&lt;=Condition!$F$17,Condition!$D$17,IF(GH21&lt;=Condition!$F$18,Condition!$D$18,IF(GH21&gt;Condition!$E$19,Condition!$D$19,"")))))</f>
        <v>0</v>
      </c>
      <c r="GI64" s="85">
        <f>IF(GI21&lt;=Condition!$E$16,0,IF(GI21&lt;=Condition!$F$16,Condition!$D$16,IF(GI21&lt;=Condition!$F$17,Condition!$D$17,IF(GI21&lt;=Condition!$F$18,Condition!$D$18,IF(GI21&gt;Condition!$E$19,Condition!$D$19,"")))))</f>
        <v>0</v>
      </c>
      <c r="GJ64" s="85">
        <f>IF(GJ21&lt;=Condition!$E$16,0,IF(GJ21&lt;=Condition!$F$16,Condition!$D$16,IF(GJ21&lt;=Condition!$F$17,Condition!$D$17,IF(GJ21&lt;=Condition!$F$18,Condition!$D$18,IF(GJ21&gt;Condition!$E$19,Condition!$D$19,"")))))</f>
        <v>0</v>
      </c>
      <c r="GK64" s="85">
        <f>IF(GK21&lt;=Condition!$E$16,0,IF(GK21&lt;=Condition!$F$16,Condition!$D$16,IF(GK21&lt;=Condition!$F$17,Condition!$D$17,IF(GK21&lt;=Condition!$F$18,Condition!$D$18,IF(GK21&gt;Condition!$E$19,Condition!$D$19,"")))))</f>
        <v>0</v>
      </c>
      <c r="GL64" s="85">
        <f>IF(GL21&lt;=Condition!$E$16,0,IF(GL21&lt;=Condition!$F$16,Condition!$D$16,IF(GL21&lt;=Condition!$F$17,Condition!$D$17,IF(GL21&lt;=Condition!$F$18,Condition!$D$18,IF(GL21&gt;Condition!$E$19,Condition!$D$19,"")))))</f>
        <v>0</v>
      </c>
      <c r="GM64" s="85">
        <f>IF(GM21&lt;=Condition!$E$16,0,IF(GM21&lt;=Condition!$F$16,Condition!$D$16,IF(GM21&lt;=Condition!$F$17,Condition!$D$17,IF(GM21&lt;=Condition!$F$18,Condition!$D$18,IF(GM21&gt;Condition!$E$19,Condition!$D$19,"")))))</f>
        <v>0</v>
      </c>
      <c r="GN64" s="85">
        <f>IF(GN21&lt;=Condition!$E$16,0,IF(GN21&lt;=Condition!$F$16,Condition!$D$16,IF(GN21&lt;=Condition!$F$17,Condition!$D$17,IF(GN21&lt;=Condition!$F$18,Condition!$D$18,IF(GN21&gt;Condition!$E$19,Condition!$D$19,"")))))</f>
        <v>0</v>
      </c>
      <c r="GO64" s="85">
        <f>IF(GO21&lt;=Condition!$E$16,0,IF(GO21&lt;=Condition!$F$16,Condition!$D$16,IF(GO21&lt;=Condition!$F$17,Condition!$D$17,IF(GO21&lt;=Condition!$F$18,Condition!$D$18,IF(GO21&gt;Condition!$E$19,Condition!$D$19,"")))))</f>
        <v>0</v>
      </c>
      <c r="GP64" s="85">
        <f>IF(GP21&lt;=Condition!$E$16,0,IF(GP21&lt;=Condition!$F$16,Condition!$D$16,IF(GP21&lt;=Condition!$F$17,Condition!$D$17,IF(GP21&lt;=Condition!$F$18,Condition!$D$18,IF(GP21&gt;Condition!$E$19,Condition!$D$19,"")))))</f>
        <v>0</v>
      </c>
      <c r="GQ64" s="85">
        <f>IF(GQ21&lt;=Condition!$E$16,0,IF(GQ21&lt;=Condition!$F$16,Condition!$D$16,IF(GQ21&lt;=Condition!$F$17,Condition!$D$17,IF(GQ21&lt;=Condition!$F$18,Condition!$D$18,IF(GQ21&gt;Condition!$E$19,Condition!$D$19,"")))))</f>
        <v>0</v>
      </c>
      <c r="GR64" s="85">
        <f>IF(GR21&lt;=Condition!$E$16,0,IF(GR21&lt;=Condition!$F$16,Condition!$D$16,IF(GR21&lt;=Condition!$F$17,Condition!$D$17,IF(GR21&lt;=Condition!$F$18,Condition!$D$18,IF(GR21&gt;Condition!$E$19,Condition!$D$19,"")))))</f>
        <v>0</v>
      </c>
      <c r="GS64" s="85">
        <f>IF(GS21&lt;=Condition!$E$16,0,IF(GS21&lt;=Condition!$F$16,Condition!$D$16,IF(GS21&lt;=Condition!$F$17,Condition!$D$17,IF(GS21&lt;=Condition!$F$18,Condition!$D$18,IF(GS21&gt;Condition!$E$19,Condition!$D$19,"")))))</f>
        <v>0</v>
      </c>
      <c r="GT64" s="85">
        <f>IF(GT21&lt;=Condition!$E$16,0,IF(GT21&lt;=Condition!$F$16,Condition!$D$16,IF(GT21&lt;=Condition!$F$17,Condition!$D$17,IF(GT21&lt;=Condition!$F$18,Condition!$D$18,IF(GT21&gt;Condition!$E$19,Condition!$D$19,"")))))</f>
        <v>0</v>
      </c>
      <c r="GU64" s="85">
        <f>IF(GU21&lt;=Condition!$E$16,0,IF(GU21&lt;=Condition!$F$16,Condition!$D$16,IF(GU21&lt;=Condition!$F$17,Condition!$D$17,IF(GU21&lt;=Condition!$F$18,Condition!$D$18,IF(GU21&gt;Condition!$E$19,Condition!$D$19,"")))))</f>
        <v>0</v>
      </c>
      <c r="GV64" s="85">
        <f>IF(GV21&lt;=Condition!$E$16,0,IF(GV21&lt;=Condition!$F$16,Condition!$D$16,IF(GV21&lt;=Condition!$F$17,Condition!$D$17,IF(GV21&lt;=Condition!$F$18,Condition!$D$18,IF(GV21&gt;Condition!$E$19,Condition!$D$19,"")))))</f>
        <v>0</v>
      </c>
      <c r="GW64" s="85">
        <f>IF(GW21&lt;=Condition!$E$16,0,IF(GW21&lt;=Condition!$F$16,Condition!$D$16,IF(GW21&lt;=Condition!$F$17,Condition!$D$17,IF(GW21&lt;=Condition!$F$18,Condition!$D$18,IF(GW21&gt;Condition!$E$19,Condition!$D$19,"")))))</f>
        <v>0</v>
      </c>
      <c r="GX64" s="85">
        <f>IF(GX21&lt;=Condition!$E$16,0,IF(GX21&lt;=Condition!$F$16,Condition!$D$16,IF(GX21&lt;=Condition!$F$17,Condition!$D$17,IF(GX21&lt;=Condition!$F$18,Condition!$D$18,IF(GX21&gt;Condition!$E$19,Condition!$D$19,"")))))</f>
        <v>0</v>
      </c>
      <c r="GY64" s="85">
        <f>IF(GY21&lt;=Condition!$E$16,0,IF(GY21&lt;=Condition!$F$16,Condition!$D$16,IF(GY21&lt;=Condition!$F$17,Condition!$D$17,IF(GY21&lt;=Condition!$F$18,Condition!$D$18,IF(GY21&gt;Condition!$E$19,Condition!$D$19,"")))))</f>
        <v>0</v>
      </c>
      <c r="GZ64" s="85">
        <f>IF(GZ21&lt;=Condition!$E$16,0,IF(GZ21&lt;=Condition!$F$16,Condition!$D$16,IF(GZ21&lt;=Condition!$F$17,Condition!$D$17,IF(GZ21&lt;=Condition!$F$18,Condition!$D$18,IF(GZ21&gt;Condition!$E$19,Condition!$D$19,"")))))</f>
        <v>0</v>
      </c>
      <c r="HA64" s="85">
        <f>IF(HA21&lt;=Condition!$E$16,0,IF(HA21&lt;=Condition!$F$16,Condition!$D$16,IF(HA21&lt;=Condition!$F$17,Condition!$D$17,IF(HA21&lt;=Condition!$F$18,Condition!$D$18,IF(HA21&gt;Condition!$E$19,Condition!$D$19,"")))))</f>
        <v>0</v>
      </c>
      <c r="HB64" s="85">
        <f>IF(HB21&lt;=Condition!$E$16,0,IF(HB21&lt;=Condition!$F$16,Condition!$D$16,IF(HB21&lt;=Condition!$F$17,Condition!$D$17,IF(HB21&lt;=Condition!$F$18,Condition!$D$18,IF(HB21&gt;Condition!$E$19,Condition!$D$19,"")))))</f>
        <v>0</v>
      </c>
      <c r="HC64" s="85">
        <f>IF(HC21&lt;=Condition!$E$16,0,IF(HC21&lt;=Condition!$F$16,Condition!$D$16,IF(HC21&lt;=Condition!$F$17,Condition!$D$17,IF(HC21&lt;=Condition!$F$18,Condition!$D$18,IF(HC21&gt;Condition!$E$19,Condition!$D$19,"")))))</f>
        <v>0</v>
      </c>
      <c r="HD64" s="85">
        <f>IF(HD21&lt;=Condition!$E$16,0,IF(HD21&lt;=Condition!$F$16,Condition!$D$16,IF(HD21&lt;=Condition!$F$17,Condition!$D$17,IF(HD21&lt;=Condition!$F$18,Condition!$D$18,IF(HD21&gt;Condition!$E$19,Condition!$D$19,"")))))</f>
        <v>0</v>
      </c>
      <c r="HE64" s="85">
        <f>IF(HE21&lt;=Condition!$E$16,0,IF(HE21&lt;=Condition!$F$16,Condition!$D$16,IF(HE21&lt;=Condition!$F$17,Condition!$D$17,IF(HE21&lt;=Condition!$F$18,Condition!$D$18,IF(HE21&gt;Condition!$E$19,Condition!$D$19,"")))))</f>
        <v>0</v>
      </c>
      <c r="HF64" s="85">
        <f>IF(HF21&lt;=Condition!$E$16,0,IF(HF21&lt;=Condition!$F$16,Condition!$D$16,IF(HF21&lt;=Condition!$F$17,Condition!$D$17,IF(HF21&lt;=Condition!$F$18,Condition!$D$18,IF(HF21&gt;Condition!$E$19,Condition!$D$19,"")))))</f>
        <v>0</v>
      </c>
      <c r="HG64" s="85">
        <f>IF(HG21&lt;=Condition!$E$16,0,IF(HG21&lt;=Condition!$F$16,Condition!$D$16,IF(HG21&lt;=Condition!$F$17,Condition!$D$17,IF(HG21&lt;=Condition!$F$18,Condition!$D$18,IF(HG21&gt;Condition!$E$19,Condition!$D$19,"")))))</f>
        <v>0</v>
      </c>
      <c r="HH64" s="85">
        <f>IF(HH21&lt;=Condition!$E$16,0,IF(HH21&lt;=Condition!$F$16,Condition!$D$16,IF(HH21&lt;=Condition!$F$17,Condition!$D$17,IF(HH21&lt;=Condition!$F$18,Condition!$D$18,IF(HH21&gt;Condition!$E$19,Condition!$D$19,"")))))</f>
        <v>0</v>
      </c>
      <c r="HI64" s="85">
        <f>IF(HI21&lt;=Condition!$E$16,0,IF(HI21&lt;=Condition!$F$16,Condition!$D$16,IF(HI21&lt;=Condition!$F$17,Condition!$D$17,IF(HI21&lt;=Condition!$F$18,Condition!$D$18,IF(HI21&gt;Condition!$E$19,Condition!$D$19,"")))))</f>
        <v>0</v>
      </c>
      <c r="HJ64" s="85">
        <f>IF(HJ21&lt;=Condition!$E$16,0,IF(HJ21&lt;=Condition!$F$16,Condition!$D$16,IF(HJ21&lt;=Condition!$F$17,Condition!$D$17,IF(HJ21&lt;=Condition!$F$18,Condition!$D$18,IF(HJ21&gt;Condition!$E$19,Condition!$D$19,"")))))</f>
        <v>0</v>
      </c>
      <c r="HK64" s="85">
        <f>IF(HK21&lt;=Condition!$E$16,0,IF(HK21&lt;=Condition!$F$16,Condition!$D$16,IF(HK21&lt;=Condition!$F$17,Condition!$D$17,IF(HK21&lt;=Condition!$F$18,Condition!$D$18,IF(HK21&gt;Condition!$E$19,Condition!$D$19,"")))))</f>
        <v>0</v>
      </c>
      <c r="HL64" s="85">
        <f>IF(HL21&lt;=Condition!$E$16,0,IF(HL21&lt;=Condition!$F$16,Condition!$D$16,IF(HL21&lt;=Condition!$F$17,Condition!$D$17,IF(HL21&lt;=Condition!$F$18,Condition!$D$18,IF(HL21&gt;Condition!$E$19,Condition!$D$19,"")))))</f>
        <v>0</v>
      </c>
      <c r="HM64" s="85">
        <f>IF(HM21&lt;=Condition!$E$16,0,IF(HM21&lt;=Condition!$F$16,Condition!$D$16,IF(HM21&lt;=Condition!$F$17,Condition!$D$17,IF(HM21&lt;=Condition!$F$18,Condition!$D$18,IF(HM21&gt;Condition!$E$19,Condition!$D$19,"")))))</f>
        <v>0</v>
      </c>
      <c r="HN64" s="85">
        <f>IF(HN21&lt;=Condition!$E$16,0,IF(HN21&lt;=Condition!$F$16,Condition!$D$16,IF(HN21&lt;=Condition!$F$17,Condition!$D$17,IF(HN21&lt;=Condition!$F$18,Condition!$D$18,IF(HN21&gt;Condition!$E$19,Condition!$D$19,"")))))</f>
        <v>0</v>
      </c>
      <c r="HO64" s="85">
        <f>IF(HO21&lt;=Condition!$E$16,0,IF(HO21&lt;=Condition!$F$16,Condition!$D$16,IF(HO21&lt;=Condition!$F$17,Condition!$D$17,IF(HO21&lt;=Condition!$F$18,Condition!$D$18,IF(HO21&gt;Condition!$E$19,Condition!$D$19,"")))))</f>
        <v>0</v>
      </c>
      <c r="HP64" s="85">
        <f>IF(HP21&lt;=Condition!$E$16,0,IF(HP21&lt;=Condition!$F$16,Condition!$D$16,IF(HP21&lt;=Condition!$F$17,Condition!$D$17,IF(HP21&lt;=Condition!$F$18,Condition!$D$18,IF(HP21&gt;Condition!$E$19,Condition!$D$19,"")))))</f>
        <v>0</v>
      </c>
      <c r="HQ64" s="85">
        <f>IF(HQ21&lt;=Condition!$E$16,0,IF(HQ21&lt;=Condition!$F$16,Condition!$D$16,IF(HQ21&lt;=Condition!$F$17,Condition!$D$17,IF(HQ21&lt;=Condition!$F$18,Condition!$D$18,IF(HQ21&gt;Condition!$E$19,Condition!$D$19,"")))))</f>
        <v>0</v>
      </c>
      <c r="HR64" s="85">
        <f>IF(HR21&lt;=Condition!$E$16,0,IF(HR21&lt;=Condition!$F$16,Condition!$D$16,IF(HR21&lt;=Condition!$F$17,Condition!$D$17,IF(HR21&lt;=Condition!$F$18,Condition!$D$18,IF(HR21&gt;Condition!$E$19,Condition!$D$19,"")))))</f>
        <v>0</v>
      </c>
      <c r="HS64" s="85">
        <f>IF(HS21&lt;=Condition!$E$16,0,IF(HS21&lt;=Condition!$F$16,Condition!$D$16,IF(HS21&lt;=Condition!$F$17,Condition!$D$17,IF(HS21&lt;=Condition!$F$18,Condition!$D$18,IF(HS21&gt;Condition!$E$19,Condition!$D$19,"")))))</f>
        <v>0</v>
      </c>
      <c r="HT64" s="85">
        <f>IF(HT21&lt;=Condition!$E$16,0,IF(HT21&lt;=Condition!$F$16,Condition!$D$16,IF(HT21&lt;=Condition!$F$17,Condition!$D$17,IF(HT21&lt;=Condition!$F$18,Condition!$D$18,IF(HT21&gt;Condition!$E$19,Condition!$D$19,"")))))</f>
        <v>0</v>
      </c>
      <c r="HU64" s="85">
        <f>IF(HU21&lt;=Condition!$E$16,0,IF(HU21&lt;=Condition!$F$16,Condition!$D$16,IF(HU21&lt;=Condition!$F$17,Condition!$D$17,IF(HU21&lt;=Condition!$F$18,Condition!$D$18,IF(HU21&gt;Condition!$E$19,Condition!$D$19,"")))))</f>
        <v>0</v>
      </c>
      <c r="HV64" s="85">
        <f>IF(HV21&lt;=Condition!$E$16,0,IF(HV21&lt;=Condition!$F$16,Condition!$D$16,IF(HV21&lt;=Condition!$F$17,Condition!$D$17,IF(HV21&lt;=Condition!$F$18,Condition!$D$18,IF(HV21&gt;Condition!$E$19,Condition!$D$19,"")))))</f>
        <v>0</v>
      </c>
      <c r="HW64" s="85">
        <f>IF(HW21&lt;=Condition!$E$16,0,IF(HW21&lt;=Condition!$F$16,Condition!$D$16,IF(HW21&lt;=Condition!$F$17,Condition!$D$17,IF(HW21&lt;=Condition!$F$18,Condition!$D$18,IF(HW21&gt;Condition!$E$19,Condition!$D$19,"")))))</f>
        <v>0</v>
      </c>
      <c r="HX64" s="85">
        <f>IF(HX21&lt;=Condition!$E$16,0,IF(HX21&lt;=Condition!$F$16,Condition!$D$16,IF(HX21&lt;=Condition!$F$17,Condition!$D$17,IF(HX21&lt;=Condition!$F$18,Condition!$D$18,IF(HX21&gt;Condition!$E$19,Condition!$D$19,"")))))</f>
        <v>0</v>
      </c>
      <c r="HY64" s="85">
        <f>IF(HY21&lt;=Condition!$E$16,0,IF(HY21&lt;=Condition!$F$16,Condition!$D$16,IF(HY21&lt;=Condition!$F$17,Condition!$D$17,IF(HY21&lt;=Condition!$F$18,Condition!$D$18,IF(HY21&gt;Condition!$E$19,Condition!$D$19,"")))))</f>
        <v>0</v>
      </c>
      <c r="HZ64" s="85">
        <f>IF(HZ21&lt;=Condition!$E$16,0,IF(HZ21&lt;=Condition!$F$16,Condition!$D$16,IF(HZ21&lt;=Condition!$F$17,Condition!$D$17,IF(HZ21&lt;=Condition!$F$18,Condition!$D$18,IF(HZ21&gt;Condition!$E$19,Condition!$D$19,"")))))</f>
        <v>0</v>
      </c>
      <c r="IA64" s="85">
        <f>IF(IA21&lt;=Condition!$E$16,0,IF(IA21&lt;=Condition!$F$16,Condition!$D$16,IF(IA21&lt;=Condition!$F$17,Condition!$D$17,IF(IA21&lt;=Condition!$F$18,Condition!$D$18,IF(IA21&gt;Condition!$E$19,Condition!$D$19,"")))))</f>
        <v>0</v>
      </c>
      <c r="IB64" s="85">
        <f>IF(IB21&lt;=Condition!$E$16,0,IF(IB21&lt;=Condition!$F$16,Condition!$D$16,IF(IB21&lt;=Condition!$F$17,Condition!$D$17,IF(IB21&lt;=Condition!$F$18,Condition!$D$18,IF(IB21&gt;Condition!$E$19,Condition!$D$19,"")))))</f>
        <v>0</v>
      </c>
      <c r="IC64" s="85">
        <f>IF(IC21&lt;=Condition!$E$16,0,IF(IC21&lt;=Condition!$F$16,Condition!$D$16,IF(IC21&lt;=Condition!$F$17,Condition!$D$17,IF(IC21&lt;=Condition!$F$18,Condition!$D$18,IF(IC21&gt;Condition!$E$19,Condition!$D$19,"")))))</f>
        <v>0</v>
      </c>
      <c r="ID64" s="85">
        <f>IF(ID21&lt;=Condition!$E$16,0,IF(ID21&lt;=Condition!$F$16,Condition!$D$16,IF(ID21&lt;=Condition!$F$17,Condition!$D$17,IF(ID21&lt;=Condition!$F$18,Condition!$D$18,IF(ID21&gt;Condition!$E$19,Condition!$D$19,"")))))</f>
        <v>0</v>
      </c>
      <c r="IE64" s="85">
        <f>IF(IE21&lt;=Condition!$E$16,0,IF(IE21&lt;=Condition!$F$16,Condition!$D$16,IF(IE21&lt;=Condition!$F$17,Condition!$D$17,IF(IE21&lt;=Condition!$F$18,Condition!$D$18,IF(IE21&gt;Condition!$E$19,Condition!$D$19,"")))))</f>
        <v>0</v>
      </c>
      <c r="IF64" s="85">
        <f>IF(IF21&lt;=Condition!$E$16,0,IF(IF21&lt;=Condition!$F$16,Condition!$D$16,IF(IF21&lt;=Condition!$F$17,Condition!$D$17,IF(IF21&lt;=Condition!$F$18,Condition!$D$18,IF(IF21&gt;Condition!$E$19,Condition!$D$19,"")))))</f>
        <v>0</v>
      </c>
      <c r="IG64" s="85">
        <f>IF(IG21&lt;=Condition!$E$16,0,IF(IG21&lt;=Condition!$F$16,Condition!$D$16,IF(IG21&lt;=Condition!$F$17,Condition!$D$17,IF(IG21&lt;=Condition!$F$18,Condition!$D$18,IF(IG21&gt;Condition!$E$19,Condition!$D$19,"")))))</f>
        <v>0</v>
      </c>
      <c r="IH64" s="85">
        <f>IF(IH21&lt;=Condition!$E$16,0,IF(IH21&lt;=Condition!$F$16,Condition!$D$16,IF(IH21&lt;=Condition!$F$17,Condition!$D$17,IF(IH21&lt;=Condition!$F$18,Condition!$D$18,IF(IH21&gt;Condition!$E$19,Condition!$D$19,"")))))</f>
        <v>0</v>
      </c>
      <c r="II64" s="85">
        <f>IF(II21&lt;=Condition!$E$16,0,IF(II21&lt;=Condition!$F$16,Condition!$D$16,IF(II21&lt;=Condition!$F$17,Condition!$D$17,IF(II21&lt;=Condition!$F$18,Condition!$D$18,IF(II21&gt;Condition!$E$19,Condition!$D$19,"")))))</f>
        <v>0</v>
      </c>
      <c r="IJ64" s="85">
        <f>IF(IJ21&lt;=Condition!$E$16,0,IF(IJ21&lt;=Condition!$F$16,Condition!$D$16,IF(IJ21&lt;=Condition!$F$17,Condition!$D$17,IF(IJ21&lt;=Condition!$F$18,Condition!$D$18,IF(IJ21&gt;Condition!$E$19,Condition!$D$19,"")))))</f>
        <v>0</v>
      </c>
      <c r="IK64" s="85">
        <f>IF(IK21&lt;=Condition!$E$16,0,IF(IK21&lt;=Condition!$F$16,Condition!$D$16,IF(IK21&lt;=Condition!$F$17,Condition!$D$17,IF(IK21&lt;=Condition!$F$18,Condition!$D$18,IF(IK21&gt;Condition!$E$19,Condition!$D$19,"")))))</f>
        <v>0</v>
      </c>
      <c r="IL64" s="85">
        <f>IF(IL21&lt;=Condition!$E$16,0,IF(IL21&lt;=Condition!$F$16,Condition!$D$16,IF(IL21&lt;=Condition!$F$17,Condition!$D$17,IF(IL21&lt;=Condition!$F$18,Condition!$D$18,IF(IL21&gt;Condition!$E$19,Condition!$D$19,"")))))</f>
        <v>0</v>
      </c>
      <c r="IM64" s="85">
        <f>IF(IM21&lt;=Condition!$E$16,0,IF(IM21&lt;=Condition!$F$16,Condition!$D$16,IF(IM21&lt;=Condition!$F$17,Condition!$D$17,IF(IM21&lt;=Condition!$F$18,Condition!$D$18,IF(IM21&gt;Condition!$E$19,Condition!$D$19,"")))))</f>
        <v>0</v>
      </c>
      <c r="IN64" s="85">
        <f>IF(IN21&lt;=Condition!$E$16,0,IF(IN21&lt;=Condition!$F$16,Condition!$D$16,IF(IN21&lt;=Condition!$F$17,Condition!$D$17,IF(IN21&lt;=Condition!$F$18,Condition!$D$18,IF(IN21&gt;Condition!$E$19,Condition!$D$19,"")))))</f>
        <v>0</v>
      </c>
      <c r="IO64" s="85">
        <f>IF(IO21&lt;=Condition!$E$16,0,IF(IO21&lt;=Condition!$F$16,Condition!$D$16,IF(IO21&lt;=Condition!$F$17,Condition!$D$17,IF(IO21&lt;=Condition!$F$18,Condition!$D$18,IF(IO21&gt;Condition!$E$19,Condition!$D$19,"")))))</f>
        <v>0</v>
      </c>
      <c r="IP64" s="85">
        <f>IF(IP21&lt;=Condition!$E$16,0,IF(IP21&lt;=Condition!$F$16,Condition!$D$16,IF(IP21&lt;=Condition!$F$17,Condition!$D$17,IF(IP21&lt;=Condition!$F$18,Condition!$D$18,IF(IP21&gt;Condition!$E$19,Condition!$D$19,"")))))</f>
        <v>0</v>
      </c>
      <c r="IQ64" s="85">
        <f>IF(IQ21&lt;=Condition!$E$16,0,IF(IQ21&lt;=Condition!$F$16,Condition!$D$16,IF(IQ21&lt;=Condition!$F$17,Condition!$D$17,IF(IQ21&lt;=Condition!$F$18,Condition!$D$18,IF(IQ21&gt;Condition!$E$19,Condition!$D$19,"")))))</f>
        <v>0</v>
      </c>
      <c r="IR64" s="85">
        <f>IF(IR21&lt;=Condition!$E$16,0,IF(IR21&lt;=Condition!$F$16,Condition!$D$16,IF(IR21&lt;=Condition!$F$17,Condition!$D$17,IF(IR21&lt;=Condition!$F$18,Condition!$D$18,IF(IR21&gt;Condition!$E$19,Condition!$D$19,"")))))</f>
        <v>0</v>
      </c>
      <c r="IS64" s="85">
        <f>IF(IS21&lt;=Condition!$E$16,0,IF(IS21&lt;=Condition!$F$16,Condition!$D$16,IF(IS21&lt;=Condition!$F$17,Condition!$D$17,IF(IS21&lt;=Condition!$F$18,Condition!$D$18,IF(IS21&gt;Condition!$E$19,Condition!$D$19,"")))))</f>
        <v>0</v>
      </c>
      <c r="IT64" s="85">
        <f>IF(IT21&lt;=Condition!$E$16,0,IF(IT21&lt;=Condition!$F$16,Condition!$D$16,IF(IT21&lt;=Condition!$F$17,Condition!$D$17,IF(IT21&lt;=Condition!$F$18,Condition!$D$18,IF(IT21&gt;Condition!$E$19,Condition!$D$19,"")))))</f>
        <v>0</v>
      </c>
      <c r="IU64" s="85">
        <f>IF(IU21&lt;=Condition!$E$16,0,IF(IU21&lt;=Condition!$F$16,Condition!$D$16,IF(IU21&lt;=Condition!$F$17,Condition!$D$17,IF(IU21&lt;=Condition!$F$18,Condition!$D$18,IF(IU21&gt;Condition!$E$19,Condition!$D$19,"")))))</f>
        <v>0</v>
      </c>
      <c r="IV64" s="85">
        <f>IF(IV21&lt;=Condition!$E$16,0,IF(IV21&lt;=Condition!$F$16,Condition!$D$16,IF(IV21&lt;=Condition!$F$17,Condition!$D$17,IF(IV21&lt;=Condition!$F$18,Condition!$D$18,IF(IV21&gt;Condition!$E$19,Condition!$D$19,"")))))</f>
        <v>0</v>
      </c>
      <c r="IW64" s="85">
        <f>IF(IW21&lt;=Condition!$E$16,0,IF(IW21&lt;=Condition!$F$16,Condition!$D$16,IF(IW21&lt;=Condition!$F$17,Condition!$D$17,IF(IW21&lt;=Condition!$F$18,Condition!$D$18,IF(IW21&gt;Condition!$E$19,Condition!$D$19,"")))))</f>
        <v>0</v>
      </c>
      <c r="IX64" s="85">
        <f>IF(IX21&lt;=Condition!$E$16,0,IF(IX21&lt;=Condition!$F$16,Condition!$D$16,IF(IX21&lt;=Condition!$F$17,Condition!$D$17,IF(IX21&lt;=Condition!$F$18,Condition!$D$18,IF(IX21&gt;Condition!$E$19,Condition!$D$19,"")))))</f>
        <v>0</v>
      </c>
      <c r="IY64" s="85">
        <f>IF(IY21&lt;=Condition!$E$16,0,IF(IY21&lt;=Condition!$F$16,Condition!$D$16,IF(IY21&lt;=Condition!$F$17,Condition!$D$17,IF(IY21&lt;=Condition!$F$18,Condition!$D$18,IF(IY21&gt;Condition!$E$19,Condition!$D$19,"")))))</f>
        <v>0</v>
      </c>
      <c r="IZ64" s="85">
        <f>IF(IZ21&lt;=Condition!$E$16,0,IF(IZ21&lt;=Condition!$F$16,Condition!$D$16,IF(IZ21&lt;=Condition!$F$17,Condition!$D$17,IF(IZ21&lt;=Condition!$F$18,Condition!$D$18,IF(IZ21&gt;Condition!$E$19,Condition!$D$19,"")))))</f>
        <v>0</v>
      </c>
      <c r="JA64" s="85">
        <f>IF(JA21&lt;=Condition!$E$16,0,IF(JA21&lt;=Condition!$F$16,Condition!$D$16,IF(JA21&lt;=Condition!$F$17,Condition!$D$17,IF(JA21&lt;=Condition!$F$18,Condition!$D$18,IF(JA21&gt;Condition!$E$19,Condition!$D$19,"")))))</f>
        <v>0</v>
      </c>
      <c r="JB64" s="85">
        <f>IF(JB21&lt;=Condition!$E$16,0,IF(JB21&lt;=Condition!$F$16,Condition!$D$16,IF(JB21&lt;=Condition!$F$17,Condition!$D$17,IF(JB21&lt;=Condition!$F$18,Condition!$D$18,IF(JB21&gt;Condition!$E$19,Condition!$D$19,"")))))</f>
        <v>0</v>
      </c>
      <c r="JC64" s="85">
        <f>IF(JC21&lt;=Condition!$E$16,0,IF(JC21&lt;=Condition!$F$16,Condition!$D$16,IF(JC21&lt;=Condition!$F$17,Condition!$D$17,IF(JC21&lt;=Condition!$F$18,Condition!$D$18,IF(JC21&gt;Condition!$E$19,Condition!$D$19,"")))))</f>
        <v>0</v>
      </c>
      <c r="JD64" s="85">
        <f>IF(JD21&lt;=Condition!$E$16,0,IF(JD21&lt;=Condition!$F$16,Condition!$D$16,IF(JD21&lt;=Condition!$F$17,Condition!$D$17,IF(JD21&lt;=Condition!$F$18,Condition!$D$18,IF(JD21&gt;Condition!$E$19,Condition!$D$19,"")))))</f>
        <v>0</v>
      </c>
      <c r="JE64" s="85">
        <f>IF(JE21&lt;=Condition!$E$16,0,IF(JE21&lt;=Condition!$F$16,Condition!$D$16,IF(JE21&lt;=Condition!$F$17,Condition!$D$17,IF(JE21&lt;=Condition!$F$18,Condition!$D$18,IF(JE21&gt;Condition!$E$19,Condition!$D$19,"")))))</f>
        <v>0</v>
      </c>
      <c r="JF64" s="85">
        <f>IF(JF21&lt;=Condition!$E$16,0,IF(JF21&lt;=Condition!$F$16,Condition!$D$16,IF(JF21&lt;=Condition!$F$17,Condition!$D$17,IF(JF21&lt;=Condition!$F$18,Condition!$D$18,IF(JF21&gt;Condition!$E$19,Condition!$D$19,"")))))</f>
        <v>0</v>
      </c>
      <c r="JG64" s="85">
        <f>IF(JG21&lt;=Condition!$E$16,0,IF(JG21&lt;=Condition!$F$16,Condition!$D$16,IF(JG21&lt;=Condition!$F$17,Condition!$D$17,IF(JG21&lt;=Condition!$F$18,Condition!$D$18,IF(JG21&gt;Condition!$E$19,Condition!$D$19,"")))))</f>
        <v>0</v>
      </c>
      <c r="JH64" s="85">
        <f>IF(JH21&lt;=Condition!$E$16,0,IF(JH21&lt;=Condition!$F$16,Condition!$D$16,IF(JH21&lt;=Condition!$F$17,Condition!$D$17,IF(JH21&lt;=Condition!$F$18,Condition!$D$18,IF(JH21&gt;Condition!$E$19,Condition!$D$19,"")))))</f>
        <v>0</v>
      </c>
      <c r="JI64" s="85">
        <f>IF(JI21&lt;=Condition!$E$16,0,IF(JI21&lt;=Condition!$F$16,Condition!$D$16,IF(JI21&lt;=Condition!$F$17,Condition!$D$17,IF(JI21&lt;=Condition!$F$18,Condition!$D$18,IF(JI21&gt;Condition!$E$19,Condition!$D$19,"")))))</f>
        <v>0</v>
      </c>
      <c r="JJ64" s="85">
        <f>IF(JJ21&lt;=Condition!$E$16,0,IF(JJ21&lt;=Condition!$F$16,Condition!$D$16,IF(JJ21&lt;=Condition!$F$17,Condition!$D$17,IF(JJ21&lt;=Condition!$F$18,Condition!$D$18,IF(JJ21&gt;Condition!$E$19,Condition!$D$19,"")))))</f>
        <v>0</v>
      </c>
      <c r="JK64" s="85">
        <f>IF(JK21&lt;=Condition!$E$16,0,IF(JK21&lt;=Condition!$F$16,Condition!$D$16,IF(JK21&lt;=Condition!$F$17,Condition!$D$17,IF(JK21&lt;=Condition!$F$18,Condition!$D$18,IF(JK21&gt;Condition!$E$19,Condition!$D$19,"")))))</f>
        <v>0</v>
      </c>
      <c r="JL64" s="85">
        <f>IF(JL21&lt;=Condition!$E$16,0,IF(JL21&lt;=Condition!$F$16,Condition!$D$16,IF(JL21&lt;=Condition!$F$17,Condition!$D$17,IF(JL21&lt;=Condition!$F$18,Condition!$D$18,IF(JL21&gt;Condition!$E$19,Condition!$D$19,"")))))</f>
        <v>0</v>
      </c>
      <c r="JM64" s="85">
        <f>IF(JM21&lt;=Condition!$E$16,0,IF(JM21&lt;=Condition!$F$16,Condition!$D$16,IF(JM21&lt;=Condition!$F$17,Condition!$D$17,IF(JM21&lt;=Condition!$F$18,Condition!$D$18,IF(JM21&gt;Condition!$E$19,Condition!$D$19,"")))))</f>
        <v>0</v>
      </c>
      <c r="JN64" s="85">
        <f>IF(JN21&lt;=Condition!$E$16,0,IF(JN21&lt;=Condition!$F$16,Condition!$D$16,IF(JN21&lt;=Condition!$F$17,Condition!$D$17,IF(JN21&lt;=Condition!$F$18,Condition!$D$18,IF(JN21&gt;Condition!$E$19,Condition!$D$19,"")))))</f>
        <v>0</v>
      </c>
      <c r="JO64" s="85">
        <f>IF(JO21&lt;=Condition!$E$16,0,IF(JO21&lt;=Condition!$F$16,Condition!$D$16,IF(JO21&lt;=Condition!$F$17,Condition!$D$17,IF(JO21&lt;=Condition!$F$18,Condition!$D$18,IF(JO21&gt;Condition!$E$19,Condition!$D$19,"")))))</f>
        <v>0</v>
      </c>
      <c r="JP64" s="85">
        <f>IF(JP21&lt;=Condition!$E$16,0,IF(JP21&lt;=Condition!$F$16,Condition!$D$16,IF(JP21&lt;=Condition!$F$17,Condition!$D$17,IF(JP21&lt;=Condition!$F$18,Condition!$D$18,IF(JP21&gt;Condition!$E$19,Condition!$D$19,"")))))</f>
        <v>0</v>
      </c>
      <c r="JQ64" s="85">
        <f>IF(JQ21&lt;=Condition!$E$16,0,IF(JQ21&lt;=Condition!$F$16,Condition!$D$16,IF(JQ21&lt;=Condition!$F$17,Condition!$D$17,IF(JQ21&lt;=Condition!$F$18,Condition!$D$18,IF(JQ21&gt;Condition!$E$19,Condition!$D$19,"")))))</f>
        <v>0</v>
      </c>
      <c r="JR64" s="85">
        <f>IF(JR21&lt;=Condition!$E$16,0,IF(JR21&lt;=Condition!$F$16,Condition!$D$16,IF(JR21&lt;=Condition!$F$17,Condition!$D$17,IF(JR21&lt;=Condition!$F$18,Condition!$D$18,IF(JR21&gt;Condition!$E$19,Condition!$D$19,"")))))</f>
        <v>0</v>
      </c>
      <c r="JS64" s="85">
        <f>IF(JS21&lt;=Condition!$E$16,0,IF(JS21&lt;=Condition!$F$16,Condition!$D$16,IF(JS21&lt;=Condition!$F$17,Condition!$D$17,IF(JS21&lt;=Condition!$F$18,Condition!$D$18,IF(JS21&gt;Condition!$E$19,Condition!$D$19,"")))))</f>
        <v>0</v>
      </c>
      <c r="JT64" s="85">
        <f>IF(JT21&lt;=Condition!$E$16,0,IF(JT21&lt;=Condition!$F$16,Condition!$D$16,IF(JT21&lt;=Condition!$F$17,Condition!$D$17,IF(JT21&lt;=Condition!$F$18,Condition!$D$18,IF(JT21&gt;Condition!$E$19,Condition!$D$19,"")))))</f>
        <v>0</v>
      </c>
      <c r="JU64" s="85">
        <f>IF(JU21&lt;=Condition!$E$16,0,IF(JU21&lt;=Condition!$F$16,Condition!$D$16,IF(JU21&lt;=Condition!$F$17,Condition!$D$17,IF(JU21&lt;=Condition!$F$18,Condition!$D$18,IF(JU21&gt;Condition!$E$19,Condition!$D$19,"")))))</f>
        <v>0</v>
      </c>
      <c r="JV64" s="85">
        <f>IF(JV21&lt;=Condition!$E$16,0,IF(JV21&lt;=Condition!$F$16,Condition!$D$16,IF(JV21&lt;=Condition!$F$17,Condition!$D$17,IF(JV21&lt;=Condition!$F$18,Condition!$D$18,IF(JV21&gt;Condition!$E$19,Condition!$D$19,"")))))</f>
        <v>0</v>
      </c>
      <c r="JW64" s="85">
        <f>IF(JW21&lt;=Condition!$E$16,0,IF(JW21&lt;=Condition!$F$16,Condition!$D$16,IF(JW21&lt;=Condition!$F$17,Condition!$D$17,IF(JW21&lt;=Condition!$F$18,Condition!$D$18,IF(JW21&gt;Condition!$E$19,Condition!$D$19,"")))))</f>
        <v>0</v>
      </c>
      <c r="JX64" s="85">
        <f>IF(JX21&lt;=Condition!$E$16,0,IF(JX21&lt;=Condition!$F$16,Condition!$D$16,IF(JX21&lt;=Condition!$F$17,Condition!$D$17,IF(JX21&lt;=Condition!$F$18,Condition!$D$18,IF(JX21&gt;Condition!$E$19,Condition!$D$19,"")))))</f>
        <v>0</v>
      </c>
      <c r="JY64" s="85">
        <f>IF(JY21&lt;=Condition!$E$16,0,IF(JY21&lt;=Condition!$F$16,Condition!$D$16,IF(JY21&lt;=Condition!$F$17,Condition!$D$17,IF(JY21&lt;=Condition!$F$18,Condition!$D$18,IF(JY21&gt;Condition!$E$19,Condition!$D$19,"")))))</f>
        <v>0</v>
      </c>
      <c r="JZ64" s="85">
        <f>IF(JZ21&lt;=Condition!$E$16,0,IF(JZ21&lt;=Condition!$F$16,Condition!$D$16,IF(JZ21&lt;=Condition!$F$17,Condition!$D$17,IF(JZ21&lt;=Condition!$F$18,Condition!$D$18,IF(JZ21&gt;Condition!$E$19,Condition!$D$19,"")))))</f>
        <v>0</v>
      </c>
      <c r="KA64" s="85">
        <f>IF(KA21&lt;=Condition!$E$16,0,IF(KA21&lt;=Condition!$F$16,Condition!$D$16,IF(KA21&lt;=Condition!$F$17,Condition!$D$17,IF(KA21&lt;=Condition!$F$18,Condition!$D$18,IF(KA21&gt;Condition!$E$19,Condition!$D$19,"")))))</f>
        <v>0</v>
      </c>
      <c r="KB64" s="85">
        <f>IF(KB21&lt;=Condition!$E$16,0,IF(KB21&lt;=Condition!$F$16,Condition!$D$16,IF(KB21&lt;=Condition!$F$17,Condition!$D$17,IF(KB21&lt;=Condition!$F$18,Condition!$D$18,IF(KB21&gt;Condition!$E$19,Condition!$D$19,"")))))</f>
        <v>0</v>
      </c>
      <c r="KC64" s="85">
        <f>IF(KC21&lt;=Condition!$E$16,0,IF(KC21&lt;=Condition!$F$16,Condition!$D$16,IF(KC21&lt;=Condition!$F$17,Condition!$D$17,IF(KC21&lt;=Condition!$F$18,Condition!$D$18,IF(KC21&gt;Condition!$E$19,Condition!$D$19,"")))))</f>
        <v>0</v>
      </c>
      <c r="KD64" s="85">
        <f>IF(KD21&lt;=Condition!$E$16,0,IF(KD21&lt;=Condition!$F$16,Condition!$D$16,IF(KD21&lt;=Condition!$F$17,Condition!$D$17,IF(KD21&lt;=Condition!$F$18,Condition!$D$18,IF(KD21&gt;Condition!$E$19,Condition!$D$19,"")))))</f>
        <v>0</v>
      </c>
      <c r="KE64" s="85">
        <f>IF(KE21&lt;=Condition!$E$16,0,IF(KE21&lt;=Condition!$F$16,Condition!$D$16,IF(KE21&lt;=Condition!$F$17,Condition!$D$17,IF(KE21&lt;=Condition!$F$18,Condition!$D$18,IF(KE21&gt;Condition!$E$19,Condition!$D$19,"")))))</f>
        <v>0</v>
      </c>
      <c r="KF64" s="85">
        <f>IF(KF21&lt;=Condition!$E$16,0,IF(KF21&lt;=Condition!$F$16,Condition!$D$16,IF(KF21&lt;=Condition!$F$17,Condition!$D$17,IF(KF21&lt;=Condition!$F$18,Condition!$D$18,IF(KF21&gt;Condition!$E$19,Condition!$D$19,"")))))</f>
        <v>0</v>
      </c>
      <c r="KG64" s="85">
        <f>IF(KG21&lt;=Condition!$E$16,0,IF(KG21&lt;=Condition!$F$16,Condition!$D$16,IF(KG21&lt;=Condition!$F$17,Condition!$D$17,IF(KG21&lt;=Condition!$F$18,Condition!$D$18,IF(KG21&gt;Condition!$E$19,Condition!$D$19,"")))))</f>
        <v>0</v>
      </c>
      <c r="KH64" s="85">
        <f>IF(KH21&lt;=Condition!$E$16,0,IF(KH21&lt;=Condition!$F$16,Condition!$D$16,IF(KH21&lt;=Condition!$F$17,Condition!$D$17,IF(KH21&lt;=Condition!$F$18,Condition!$D$18,IF(KH21&gt;Condition!$E$19,Condition!$D$19,"")))))</f>
        <v>0</v>
      </c>
      <c r="KI64" s="85">
        <f>IF(KI21&lt;=Condition!$E$16,0,IF(KI21&lt;=Condition!$F$16,Condition!$D$16,IF(KI21&lt;=Condition!$F$17,Condition!$D$17,IF(KI21&lt;=Condition!$F$18,Condition!$D$18,IF(KI21&gt;Condition!$E$19,Condition!$D$19,"")))))</f>
        <v>0</v>
      </c>
    </row>
    <row r="65" spans="2:295" x14ac:dyDescent="0.25">
      <c r="B65" s="15">
        <f t="shared" ref="B65:E65" si="20">B22</f>
        <v>16</v>
      </c>
      <c r="C65" s="25" t="str">
        <f t="shared" si="20"/>
        <v>DSL-DHK</v>
      </c>
      <c r="D65" s="25" t="str">
        <f t="shared" si="20"/>
        <v>Md. Jafor Ikbal</v>
      </c>
      <c r="E65" s="26">
        <f t="shared" si="20"/>
        <v>5929</v>
      </c>
      <c r="F65" s="112">
        <f t="shared" si="4"/>
        <v>6000</v>
      </c>
      <c r="G65" s="112">
        <f t="shared" si="5"/>
        <v>4250</v>
      </c>
      <c r="H65" s="85">
        <f>IF(H22&lt;=Condition!$E$16,0,IF(H22&lt;=Condition!$F$16,Condition!$D$16,IF(H22&lt;=Condition!$F$17,Condition!$D$17,IF(H22&lt;=Condition!$F$18,Condition!$D$18,IF(H22&gt;Condition!$E$19,Condition!$D$19,"")))))</f>
        <v>300</v>
      </c>
      <c r="I65" s="85">
        <f>IF(I22&lt;=Condition!$E$16,0,IF(I22&lt;=Condition!$F$16,Condition!$D$16,IF(I22&lt;=Condition!$F$17,Condition!$D$17,IF(I22&lt;=Condition!$F$18,Condition!$D$18,IF(I22&gt;Condition!$E$19,Condition!$D$19,"")))))</f>
        <v>0</v>
      </c>
      <c r="J65" s="85">
        <f>IF(J22&lt;=Condition!$E$16,0,IF(J22&lt;=Condition!$F$16,Condition!$D$16,IF(J22&lt;=Condition!$F$17,Condition!$D$17,IF(J22&lt;=Condition!$F$18,Condition!$D$18,IF(J22&gt;Condition!$E$19,Condition!$D$19,"")))))</f>
        <v>400</v>
      </c>
      <c r="K65" s="85">
        <f>IF(K22&lt;=Condition!$E$16,0,IF(K22&lt;=Condition!$F$16,Condition!$D$16,IF(K22&lt;=Condition!$F$17,Condition!$D$17,IF(K22&lt;=Condition!$F$18,Condition!$D$18,IF(K22&gt;Condition!$E$19,Condition!$D$19,"")))))</f>
        <v>300</v>
      </c>
      <c r="L65" s="85">
        <f>IF(L22&lt;=Condition!$E$16,0,IF(L22&lt;=Condition!$F$16,Condition!$D$16,IF(L22&lt;=Condition!$F$17,Condition!$D$17,IF(L22&lt;=Condition!$F$18,Condition!$D$18,IF(L22&gt;Condition!$E$19,Condition!$D$19,"")))))</f>
        <v>500</v>
      </c>
      <c r="M65" s="85">
        <f>IF(M22&lt;=Condition!$E$16,0,IF(M22&lt;=Condition!$F$16,Condition!$D$16,IF(M22&lt;=Condition!$F$17,Condition!$D$17,IF(M22&lt;=Condition!$F$18,Condition!$D$18,IF(M22&gt;Condition!$E$19,Condition!$D$19,"")))))</f>
        <v>500</v>
      </c>
      <c r="N65" s="85">
        <f>IF(N22&lt;=Condition!$E$16,0,IF(N22&lt;=Condition!$F$16,Condition!$D$16,IF(N22&lt;=Condition!$F$17,Condition!$D$17,IF(N22&lt;=Condition!$F$18,Condition!$D$18,IF(N22&gt;Condition!$E$19,Condition!$D$19,"")))))</f>
        <v>500</v>
      </c>
      <c r="O65" s="85">
        <f>IF(O22&lt;=Condition!$E$16,0,IF(O22&lt;=Condition!$F$16,Condition!$D$16,IF(O22&lt;=Condition!$F$17,Condition!$D$17,IF(O22&lt;=Condition!$F$18,Condition!$D$18,IF(O22&gt;Condition!$E$19,Condition!$D$19,"")))))</f>
        <v>0</v>
      </c>
      <c r="P65" s="85">
        <f>IF(P22&lt;=Condition!$E$16,0,IF(P22&lt;=Condition!$F$16,Condition!$D$16,IF(P22&lt;=Condition!$F$17,Condition!$D$17,IF(P22&lt;=Condition!$F$18,Condition!$D$18,IF(P22&gt;Condition!$E$19,Condition!$D$19,"")))))</f>
        <v>400</v>
      </c>
      <c r="Q65" s="85">
        <f>IF(Q22&lt;=Condition!$E$16,0,IF(Q22&lt;=Condition!$F$16,Condition!$D$16,IF(Q22&lt;=Condition!$F$17,Condition!$D$17,IF(Q22&lt;=Condition!$F$18,Condition!$D$18,IF(Q22&gt;Condition!$E$19,Condition!$D$19,"")))))</f>
        <v>500</v>
      </c>
      <c r="R65" s="85">
        <f>IF(R22&lt;=Condition!$E$16,0,IF(R22&lt;=Condition!$F$16,Condition!$D$16,IF(R22&lt;=Condition!$F$17,Condition!$D$17,IF(R22&lt;=Condition!$F$18,Condition!$D$18,IF(R22&gt;Condition!$E$19,Condition!$D$19,"")))))</f>
        <v>0</v>
      </c>
      <c r="S65" s="85">
        <f>IF(S22&lt;=Condition!$E$16,0,IF(S22&lt;=Condition!$F$16,Condition!$D$16,IF(S22&lt;=Condition!$F$17,Condition!$D$17,IF(S22&lt;=Condition!$F$18,Condition!$D$18,IF(S22&gt;Condition!$E$19,Condition!$D$19,"")))))</f>
        <v>500</v>
      </c>
      <c r="T65" s="85">
        <f>IF(T22&lt;=Condition!$E$16,0,IF(T22&lt;=Condition!$F$16,Condition!$D$16,IF(T22&lt;=Condition!$F$17,Condition!$D$17,IF(T22&lt;=Condition!$F$18,Condition!$D$18,IF(T22&gt;Condition!$E$19,Condition!$D$19,"")))))</f>
        <v>500</v>
      </c>
      <c r="U65" s="85">
        <f>IF(U22&lt;=Condition!$E$16,0,IF(U22&lt;=Condition!$F$16,Condition!$D$16,IF(U22&lt;=Condition!$F$17,Condition!$D$17,IF(U22&lt;=Condition!$F$18,Condition!$D$18,IF(U22&gt;Condition!$E$19,Condition!$D$19,"")))))</f>
        <v>0</v>
      </c>
      <c r="V65" s="85">
        <f>IF(V22&lt;=Condition!$E$16,0,IF(V22&lt;=Condition!$F$16,Condition!$D$16,IF(V22&lt;=Condition!$F$17,Condition!$D$17,IF(V22&lt;=Condition!$F$18,Condition!$D$18,IF(V22&gt;Condition!$E$19,Condition!$D$19,"")))))</f>
        <v>400</v>
      </c>
      <c r="W65" s="85">
        <f>IF(W22&lt;=Condition!$E$16,0,IF(W22&lt;=Condition!$F$16,Condition!$D$16,IF(W22&lt;=Condition!$F$17,Condition!$D$17,IF(W22&lt;=Condition!$F$18,Condition!$D$18,IF(W22&gt;Condition!$E$19,Condition!$D$19,"")))))</f>
        <v>500</v>
      </c>
      <c r="X65" s="85">
        <f>IF(X22&lt;=Condition!$E$16,0,IF(X22&lt;=Condition!$F$16,Condition!$D$16,IF(X22&lt;=Condition!$F$17,Condition!$D$17,IF(X22&lt;=Condition!$F$18,Condition!$D$18,IF(X22&gt;Condition!$E$19,Condition!$D$19,"")))))</f>
        <v>0</v>
      </c>
      <c r="Y65" s="85">
        <f>IF(Y22&lt;=Condition!$E$16,0,IF(Y22&lt;=Condition!$F$16,Condition!$D$16,IF(Y22&lt;=Condition!$F$17,Condition!$D$17,IF(Y22&lt;=Condition!$F$18,Condition!$D$18,IF(Y22&gt;Condition!$E$19,Condition!$D$19,"")))))</f>
        <v>500</v>
      </c>
      <c r="Z65" s="85">
        <f>IF(Z22&lt;=Condition!$E$16,0,IF(Z22&lt;=Condition!$F$16,Condition!$D$16,IF(Z22&lt;=Condition!$F$17,Condition!$D$17,IF(Z22&lt;=Condition!$F$18,Condition!$D$18,IF(Z22&gt;Condition!$E$19,Condition!$D$19,"")))))</f>
        <v>500</v>
      </c>
      <c r="AA65" s="85">
        <f>IF(AA22&lt;=Condition!$E$16,0,IF(AA22&lt;=Condition!$F$16,Condition!$D$16,IF(AA22&lt;=Condition!$F$17,Condition!$D$17,IF(AA22&lt;=Condition!$F$18,Condition!$D$18,IF(AA22&gt;Condition!$E$19,Condition!$D$19,"")))))</f>
        <v>0</v>
      </c>
      <c r="AB65" s="85">
        <f>IF(AB22&lt;=Condition!$E$16,0,IF(AB22&lt;=Condition!$F$16,Condition!$D$16,IF(AB22&lt;=Condition!$F$17,Condition!$D$17,IF(AB22&lt;=Condition!$F$18,Condition!$D$18,IF(AB22&gt;Condition!$E$19,Condition!$D$19,"")))))</f>
        <v>300</v>
      </c>
      <c r="AC65" s="85">
        <f>IF(AC22&lt;=Condition!$E$16,0,IF(AC22&lt;=Condition!$F$16,Condition!$D$16,IF(AC22&lt;=Condition!$F$17,Condition!$D$17,IF(AC22&lt;=Condition!$F$18,Condition!$D$18,IF(AC22&gt;Condition!$E$19,Condition!$D$19,"")))))</f>
        <v>0</v>
      </c>
      <c r="AD65" s="85">
        <f>IF(AD22&lt;=Condition!$E$16,0,IF(AD22&lt;=Condition!$F$16,Condition!$D$16,IF(AD22&lt;=Condition!$F$17,Condition!$D$17,IF(AD22&lt;=Condition!$F$18,Condition!$D$18,IF(AD22&gt;Condition!$E$19,Condition!$D$19,"")))))</f>
        <v>300</v>
      </c>
      <c r="AE65" s="85">
        <f>IF(AE22&lt;=Condition!$E$16,0,IF(AE22&lt;=Condition!$F$16,Condition!$D$16,IF(AE22&lt;=Condition!$F$17,Condition!$D$17,IF(AE22&lt;=Condition!$F$18,Condition!$D$18,IF(AE22&gt;Condition!$E$19,Condition!$D$19,"")))))</f>
        <v>0</v>
      </c>
      <c r="AF65" s="85">
        <f>IF(AF22&lt;=Condition!$E$16,0,IF(AF22&lt;=Condition!$F$16,Condition!$D$16,IF(AF22&lt;=Condition!$F$17,Condition!$D$17,IF(AF22&lt;=Condition!$F$18,Condition!$D$18,IF(AF22&gt;Condition!$E$19,Condition!$D$19,"")))))</f>
        <v>300</v>
      </c>
      <c r="AG65" s="85">
        <f>IF(AG22&lt;=Condition!$E$16,0,IF(AG22&lt;=Condition!$F$16,Condition!$D$16,IF(AG22&lt;=Condition!$F$17,Condition!$D$17,IF(AG22&lt;=Condition!$F$18,Condition!$D$18,IF(AG22&gt;Condition!$E$19,Condition!$D$19,"")))))</f>
        <v>300</v>
      </c>
      <c r="AH65" s="85">
        <f>IF(AH22&lt;=Condition!$E$16,0,IF(AH22&lt;=Condition!$F$16,Condition!$D$16,IF(AH22&lt;=Condition!$F$17,Condition!$D$17,IF(AH22&lt;=Condition!$F$18,Condition!$D$18,IF(AH22&gt;Condition!$E$19,Condition!$D$19,"")))))</f>
        <v>500</v>
      </c>
      <c r="AI65" s="85">
        <f>IF(AI22&lt;=Condition!$E$16,0,IF(AI22&lt;=Condition!$F$16,Condition!$D$16,IF(AI22&lt;=Condition!$F$17,Condition!$D$17,IF(AI22&lt;=Condition!$F$18,Condition!$D$18,IF(AI22&gt;Condition!$E$19,Condition!$D$19,"")))))</f>
        <v>150</v>
      </c>
      <c r="AJ65" s="85">
        <f>IF(AJ22&lt;=Condition!$E$16,0,IF(AJ22&lt;=Condition!$F$16,Condition!$D$16,IF(AJ22&lt;=Condition!$F$17,Condition!$D$17,IF(AJ22&lt;=Condition!$F$18,Condition!$D$18,IF(AJ22&gt;Condition!$E$19,Condition!$D$19,"")))))</f>
        <v>0</v>
      </c>
      <c r="AK65" s="85">
        <f>IF(AK22&lt;=Condition!$E$16,0,IF(AK22&lt;=Condition!$F$16,Condition!$D$16,IF(AK22&lt;=Condition!$F$17,Condition!$D$17,IF(AK22&lt;=Condition!$F$18,Condition!$D$18,IF(AK22&gt;Condition!$E$19,Condition!$D$19,"")))))</f>
        <v>500</v>
      </c>
      <c r="AL65" s="85">
        <f>IF(AL22&lt;=Condition!$E$16,0,IF(AL22&lt;=Condition!$F$16,Condition!$D$16,IF(AL22&lt;=Condition!$F$17,Condition!$D$17,IF(AL22&lt;=Condition!$F$18,Condition!$D$18,IF(AL22&gt;Condition!$E$19,Condition!$D$19,"")))))</f>
        <v>0</v>
      </c>
      <c r="AM65" s="85">
        <f>IF(AM22&lt;=Condition!$E$16,0,IF(AM22&lt;=Condition!$F$16,Condition!$D$16,IF(AM22&lt;=Condition!$F$17,Condition!$D$17,IF(AM22&lt;=Condition!$F$18,Condition!$D$18,IF(AM22&gt;Condition!$E$19,Condition!$D$19,"")))))</f>
        <v>0</v>
      </c>
      <c r="AN65" s="85">
        <f>IF(AN22&lt;=Condition!$E$16,0,IF(AN22&lt;=Condition!$F$16,Condition!$D$16,IF(AN22&lt;=Condition!$F$17,Condition!$D$17,IF(AN22&lt;=Condition!$F$18,Condition!$D$18,IF(AN22&gt;Condition!$E$19,Condition!$D$19,"")))))</f>
        <v>400</v>
      </c>
      <c r="AO65" s="85">
        <f>IF(AO22&lt;=Condition!$E$16,0,IF(AO22&lt;=Condition!$F$16,Condition!$D$16,IF(AO22&lt;=Condition!$F$17,Condition!$D$17,IF(AO22&lt;=Condition!$F$18,Condition!$D$18,IF(AO22&gt;Condition!$E$19,Condition!$D$19,"")))))</f>
        <v>0</v>
      </c>
      <c r="AP65" s="85">
        <f>IF(AP22&lt;=Condition!$E$16,0,IF(AP22&lt;=Condition!$F$16,Condition!$D$16,IF(AP22&lt;=Condition!$F$17,Condition!$D$17,IF(AP22&lt;=Condition!$F$18,Condition!$D$18,IF(AP22&gt;Condition!$E$19,Condition!$D$19,"")))))</f>
        <v>400</v>
      </c>
      <c r="AQ65" s="85">
        <f>IF(AQ22&lt;=Condition!$E$16,0,IF(AQ22&lt;=Condition!$F$16,Condition!$D$16,IF(AQ22&lt;=Condition!$F$17,Condition!$D$17,IF(AQ22&lt;=Condition!$F$18,Condition!$D$18,IF(AQ22&gt;Condition!$E$19,Condition!$D$19,"")))))</f>
        <v>0</v>
      </c>
      <c r="AR65" s="85">
        <f>IF(AR22&lt;=Condition!$E$16,0,IF(AR22&lt;=Condition!$F$16,Condition!$D$16,IF(AR22&lt;=Condition!$F$17,Condition!$D$17,IF(AR22&lt;=Condition!$F$18,Condition!$D$18,IF(AR22&gt;Condition!$E$19,Condition!$D$19,"")))))</f>
        <v>300</v>
      </c>
      <c r="AS65" s="85">
        <f>IF(AS22&lt;=Condition!$E$16,0,IF(AS22&lt;=Condition!$F$16,Condition!$D$16,IF(AS22&lt;=Condition!$F$17,Condition!$D$17,IF(AS22&lt;=Condition!$F$18,Condition!$D$18,IF(AS22&gt;Condition!$E$19,Condition!$D$19,"")))))</f>
        <v>500</v>
      </c>
      <c r="AT65" s="85">
        <f>IF(AT22&lt;=Condition!$E$16,0,IF(AT22&lt;=Condition!$F$16,Condition!$D$16,IF(AT22&lt;=Condition!$F$17,Condition!$D$17,IF(AT22&lt;=Condition!$F$18,Condition!$D$18,IF(AT22&gt;Condition!$E$19,Condition!$D$19,"")))))</f>
        <v>0</v>
      </c>
      <c r="AU65" s="85">
        <f>IF(AU22&lt;=Condition!$E$16,0,IF(AU22&lt;=Condition!$F$16,Condition!$D$16,IF(AU22&lt;=Condition!$F$17,Condition!$D$17,IF(AU22&lt;=Condition!$F$18,Condition!$D$18,IF(AU22&gt;Condition!$E$19,Condition!$D$19,"")))))</f>
        <v>0</v>
      </c>
      <c r="AV65" s="85">
        <f>IF(AV22&lt;=Condition!$E$16,0,IF(AV22&lt;=Condition!$F$16,Condition!$D$16,IF(AV22&lt;=Condition!$F$17,Condition!$D$17,IF(AV22&lt;=Condition!$F$18,Condition!$D$18,IF(AV22&gt;Condition!$E$19,Condition!$D$19,"")))))</f>
        <v>0</v>
      </c>
      <c r="AW65" s="85">
        <f>IF(AW22&lt;=Condition!$E$16,0,IF(AW22&lt;=Condition!$F$16,Condition!$D$16,IF(AW22&lt;=Condition!$F$17,Condition!$D$17,IF(AW22&lt;=Condition!$F$18,Condition!$D$18,IF(AW22&gt;Condition!$E$19,Condition!$D$19,"")))))</f>
        <v>0</v>
      </c>
      <c r="AX65" s="85">
        <f>IF(AX22&lt;=Condition!$E$16,0,IF(AX22&lt;=Condition!$F$16,Condition!$D$16,IF(AX22&lt;=Condition!$F$17,Condition!$D$17,IF(AX22&lt;=Condition!$F$18,Condition!$D$18,IF(AX22&gt;Condition!$E$19,Condition!$D$19,"")))))</f>
        <v>0</v>
      </c>
      <c r="AY65" s="85">
        <f>IF(AY22&lt;=Condition!$E$16,0,IF(AY22&lt;=Condition!$F$16,Condition!$D$16,IF(AY22&lt;=Condition!$F$17,Condition!$D$17,IF(AY22&lt;=Condition!$F$18,Condition!$D$18,IF(AY22&gt;Condition!$E$19,Condition!$D$19,"")))))</f>
        <v>0</v>
      </c>
      <c r="AZ65" s="85">
        <f>IF(AZ22&lt;=Condition!$E$16,0,IF(AZ22&lt;=Condition!$F$16,Condition!$D$16,IF(AZ22&lt;=Condition!$F$17,Condition!$D$17,IF(AZ22&lt;=Condition!$F$18,Condition!$D$18,IF(AZ22&gt;Condition!$E$19,Condition!$D$19,"")))))</f>
        <v>0</v>
      </c>
      <c r="BA65" s="85">
        <f>IF(BA22&lt;=Condition!$E$16,0,IF(BA22&lt;=Condition!$F$16,Condition!$D$16,IF(BA22&lt;=Condition!$F$17,Condition!$D$17,IF(BA22&lt;=Condition!$F$18,Condition!$D$18,IF(BA22&gt;Condition!$E$19,Condition!$D$19,"")))))</f>
        <v>0</v>
      </c>
      <c r="BB65" s="85">
        <f>IF(BB22&lt;=Condition!$E$16,0,IF(BB22&lt;=Condition!$F$16,Condition!$D$16,IF(BB22&lt;=Condition!$F$17,Condition!$D$17,IF(BB22&lt;=Condition!$F$18,Condition!$D$18,IF(BB22&gt;Condition!$E$19,Condition!$D$19,"")))))</f>
        <v>0</v>
      </c>
      <c r="BC65" s="85">
        <f>IF(BC22&lt;=Condition!$E$16,0,IF(BC22&lt;=Condition!$F$16,Condition!$D$16,IF(BC22&lt;=Condition!$F$17,Condition!$D$17,IF(BC22&lt;=Condition!$F$18,Condition!$D$18,IF(BC22&gt;Condition!$E$19,Condition!$D$19,"")))))</f>
        <v>0</v>
      </c>
      <c r="BD65" s="85">
        <f>IF(BD22&lt;=Condition!$E$16,0,IF(BD22&lt;=Condition!$F$16,Condition!$D$16,IF(BD22&lt;=Condition!$F$17,Condition!$D$17,IF(BD22&lt;=Condition!$F$18,Condition!$D$18,IF(BD22&gt;Condition!$E$19,Condition!$D$19,"")))))</f>
        <v>0</v>
      </c>
      <c r="BE65" s="85">
        <f>IF(BE22&lt;=Condition!$E$16,0,IF(BE22&lt;=Condition!$F$16,Condition!$D$16,IF(BE22&lt;=Condition!$F$17,Condition!$D$17,IF(BE22&lt;=Condition!$F$18,Condition!$D$18,IF(BE22&gt;Condition!$E$19,Condition!$D$19,"")))))</f>
        <v>0</v>
      </c>
      <c r="BF65" s="85">
        <f>IF(BF22&lt;=Condition!$E$16,0,IF(BF22&lt;=Condition!$F$16,Condition!$D$16,IF(BF22&lt;=Condition!$F$17,Condition!$D$17,IF(BF22&lt;=Condition!$F$18,Condition!$D$18,IF(BF22&gt;Condition!$E$19,Condition!$D$19,"")))))</f>
        <v>0</v>
      </c>
      <c r="BG65" s="85">
        <f>IF(BG22&lt;=Condition!$E$16,0,IF(BG22&lt;=Condition!$F$16,Condition!$D$16,IF(BG22&lt;=Condition!$F$17,Condition!$D$17,IF(BG22&lt;=Condition!$F$18,Condition!$D$18,IF(BG22&gt;Condition!$E$19,Condition!$D$19,"")))))</f>
        <v>0</v>
      </c>
      <c r="BH65" s="85">
        <f>IF(BH22&lt;=Condition!$E$16,0,IF(BH22&lt;=Condition!$F$16,Condition!$D$16,IF(BH22&lt;=Condition!$F$17,Condition!$D$17,IF(BH22&lt;=Condition!$F$18,Condition!$D$18,IF(BH22&gt;Condition!$E$19,Condition!$D$19,"")))))</f>
        <v>0</v>
      </c>
      <c r="BI65" s="85">
        <f>IF(BI22&lt;=Condition!$E$16,0,IF(BI22&lt;=Condition!$F$16,Condition!$D$16,IF(BI22&lt;=Condition!$F$17,Condition!$D$17,IF(BI22&lt;=Condition!$F$18,Condition!$D$18,IF(BI22&gt;Condition!$E$19,Condition!$D$19,"")))))</f>
        <v>0</v>
      </c>
      <c r="BJ65" s="85">
        <f>IF(BJ22&lt;=Condition!$E$16,0,IF(BJ22&lt;=Condition!$F$16,Condition!$D$16,IF(BJ22&lt;=Condition!$F$17,Condition!$D$17,IF(BJ22&lt;=Condition!$F$18,Condition!$D$18,IF(BJ22&gt;Condition!$E$19,Condition!$D$19,"")))))</f>
        <v>0</v>
      </c>
      <c r="BK65" s="85">
        <f>IF(BK22&lt;=Condition!$E$16,0,IF(BK22&lt;=Condition!$F$16,Condition!$D$16,IF(BK22&lt;=Condition!$F$17,Condition!$D$17,IF(BK22&lt;=Condition!$F$18,Condition!$D$18,IF(BK22&gt;Condition!$E$19,Condition!$D$19,"")))))</f>
        <v>0</v>
      </c>
      <c r="BL65" s="85">
        <f>IF(BL22&lt;=Condition!$E$16,0,IF(BL22&lt;=Condition!$F$16,Condition!$D$16,IF(BL22&lt;=Condition!$F$17,Condition!$D$17,IF(BL22&lt;=Condition!$F$18,Condition!$D$18,IF(BL22&gt;Condition!$E$19,Condition!$D$19,"")))))</f>
        <v>0</v>
      </c>
      <c r="BM65" s="85">
        <f>IF(BM22&lt;=Condition!$E$16,0,IF(BM22&lt;=Condition!$F$16,Condition!$D$16,IF(BM22&lt;=Condition!$F$17,Condition!$D$17,IF(BM22&lt;=Condition!$F$18,Condition!$D$18,IF(BM22&gt;Condition!$E$19,Condition!$D$19,"")))))</f>
        <v>0</v>
      </c>
      <c r="BN65" s="85">
        <f>IF(BN22&lt;=Condition!$E$16,0,IF(BN22&lt;=Condition!$F$16,Condition!$D$16,IF(BN22&lt;=Condition!$F$17,Condition!$D$17,IF(BN22&lt;=Condition!$F$18,Condition!$D$18,IF(BN22&gt;Condition!$E$19,Condition!$D$19,"")))))</f>
        <v>0</v>
      </c>
      <c r="BO65" s="85">
        <f>IF(BO22&lt;=Condition!$E$16,0,IF(BO22&lt;=Condition!$F$16,Condition!$D$16,IF(BO22&lt;=Condition!$F$17,Condition!$D$17,IF(BO22&lt;=Condition!$F$18,Condition!$D$18,IF(BO22&gt;Condition!$E$19,Condition!$D$19,"")))))</f>
        <v>0</v>
      </c>
      <c r="BP65" s="85">
        <f>IF(BP22&lt;=Condition!$E$16,0,IF(BP22&lt;=Condition!$F$16,Condition!$D$16,IF(BP22&lt;=Condition!$F$17,Condition!$D$17,IF(BP22&lt;=Condition!$F$18,Condition!$D$18,IF(BP22&gt;Condition!$E$19,Condition!$D$19,"")))))</f>
        <v>0</v>
      </c>
      <c r="BQ65" s="85">
        <f>IF(BQ22&lt;=Condition!$E$16,0,IF(BQ22&lt;=Condition!$F$16,Condition!$D$16,IF(BQ22&lt;=Condition!$F$17,Condition!$D$17,IF(BQ22&lt;=Condition!$F$18,Condition!$D$18,IF(BQ22&gt;Condition!$E$19,Condition!$D$19,"")))))</f>
        <v>0</v>
      </c>
      <c r="BR65" s="85">
        <f>IF(BR22&lt;=Condition!$E$16,0,IF(BR22&lt;=Condition!$F$16,Condition!$D$16,IF(BR22&lt;=Condition!$F$17,Condition!$D$17,IF(BR22&lt;=Condition!$F$18,Condition!$D$18,IF(BR22&gt;Condition!$E$19,Condition!$D$19,"")))))</f>
        <v>0</v>
      </c>
      <c r="BS65" s="85">
        <f>IF(BS22&lt;=Condition!$E$16,0,IF(BS22&lt;=Condition!$F$16,Condition!$D$16,IF(BS22&lt;=Condition!$F$17,Condition!$D$17,IF(BS22&lt;=Condition!$F$18,Condition!$D$18,IF(BS22&gt;Condition!$E$19,Condition!$D$19,"")))))</f>
        <v>0</v>
      </c>
      <c r="BT65" s="85">
        <f>IF(BT22&lt;=Condition!$E$16,0,IF(BT22&lt;=Condition!$F$16,Condition!$D$16,IF(BT22&lt;=Condition!$F$17,Condition!$D$17,IF(BT22&lt;=Condition!$F$18,Condition!$D$18,IF(BT22&gt;Condition!$E$19,Condition!$D$19,"")))))</f>
        <v>0</v>
      </c>
      <c r="BU65" s="85">
        <f>IF(BU22&lt;=Condition!$E$16,0,IF(BU22&lt;=Condition!$F$16,Condition!$D$16,IF(BU22&lt;=Condition!$F$17,Condition!$D$17,IF(BU22&lt;=Condition!$F$18,Condition!$D$18,IF(BU22&gt;Condition!$E$19,Condition!$D$19,"")))))</f>
        <v>0</v>
      </c>
      <c r="BV65" s="85">
        <f>IF(BV22&lt;=Condition!$E$16,0,IF(BV22&lt;=Condition!$F$16,Condition!$D$16,IF(BV22&lt;=Condition!$F$17,Condition!$D$17,IF(BV22&lt;=Condition!$F$18,Condition!$D$18,IF(BV22&gt;Condition!$E$19,Condition!$D$19,"")))))</f>
        <v>0</v>
      </c>
      <c r="BW65" s="85">
        <f>IF(BW22&lt;=Condition!$E$16,0,IF(BW22&lt;=Condition!$F$16,Condition!$D$16,IF(BW22&lt;=Condition!$F$17,Condition!$D$17,IF(BW22&lt;=Condition!$F$18,Condition!$D$18,IF(BW22&gt;Condition!$E$19,Condition!$D$19,"")))))</f>
        <v>0</v>
      </c>
      <c r="BX65" s="85">
        <f>IF(BX22&lt;=Condition!$E$16,0,IF(BX22&lt;=Condition!$F$16,Condition!$D$16,IF(BX22&lt;=Condition!$F$17,Condition!$D$17,IF(BX22&lt;=Condition!$F$18,Condition!$D$18,IF(BX22&gt;Condition!$E$19,Condition!$D$19,"")))))</f>
        <v>0</v>
      </c>
      <c r="BY65" s="85">
        <f>IF(BY22&lt;=Condition!$E$16,0,IF(BY22&lt;=Condition!$F$16,Condition!$D$16,IF(BY22&lt;=Condition!$F$17,Condition!$D$17,IF(BY22&lt;=Condition!$F$18,Condition!$D$18,IF(BY22&gt;Condition!$E$19,Condition!$D$19,"")))))</f>
        <v>0</v>
      </c>
      <c r="BZ65" s="85">
        <f>IF(BZ22&lt;=Condition!$E$16,0,IF(BZ22&lt;=Condition!$F$16,Condition!$D$16,IF(BZ22&lt;=Condition!$F$17,Condition!$D$17,IF(BZ22&lt;=Condition!$F$18,Condition!$D$18,IF(BZ22&gt;Condition!$E$19,Condition!$D$19,"")))))</f>
        <v>0</v>
      </c>
      <c r="CA65" s="85">
        <f>IF(CA22&lt;=Condition!$E$16,0,IF(CA22&lt;=Condition!$F$16,Condition!$D$16,IF(CA22&lt;=Condition!$F$17,Condition!$D$17,IF(CA22&lt;=Condition!$F$18,Condition!$D$18,IF(CA22&gt;Condition!$E$19,Condition!$D$19,"")))))</f>
        <v>0</v>
      </c>
      <c r="CB65" s="85">
        <f>IF(CB22&lt;=Condition!$E$16,0,IF(CB22&lt;=Condition!$F$16,Condition!$D$16,IF(CB22&lt;=Condition!$F$17,Condition!$D$17,IF(CB22&lt;=Condition!$F$18,Condition!$D$18,IF(CB22&gt;Condition!$E$19,Condition!$D$19,"")))))</f>
        <v>0</v>
      </c>
      <c r="CC65" s="85">
        <f>IF(CC22&lt;=Condition!$E$16,0,IF(CC22&lt;=Condition!$F$16,Condition!$D$16,IF(CC22&lt;=Condition!$F$17,Condition!$D$17,IF(CC22&lt;=Condition!$F$18,Condition!$D$18,IF(CC22&gt;Condition!$E$19,Condition!$D$19,"")))))</f>
        <v>0</v>
      </c>
      <c r="CD65" s="85">
        <f>IF(CD22&lt;=Condition!$E$16,0,IF(CD22&lt;=Condition!$F$16,Condition!$D$16,IF(CD22&lt;=Condition!$F$17,Condition!$D$17,IF(CD22&lt;=Condition!$F$18,Condition!$D$18,IF(CD22&gt;Condition!$E$19,Condition!$D$19,"")))))</f>
        <v>0</v>
      </c>
      <c r="CE65" s="85">
        <f>IF(CE22&lt;=Condition!$E$16,0,IF(CE22&lt;=Condition!$F$16,Condition!$D$16,IF(CE22&lt;=Condition!$F$17,Condition!$D$17,IF(CE22&lt;=Condition!$F$18,Condition!$D$18,IF(CE22&gt;Condition!$E$19,Condition!$D$19,"")))))</f>
        <v>0</v>
      </c>
      <c r="CF65" s="85">
        <f>IF(CF22&lt;=Condition!$E$16,0,IF(CF22&lt;=Condition!$F$16,Condition!$D$16,IF(CF22&lt;=Condition!$F$17,Condition!$D$17,IF(CF22&lt;=Condition!$F$18,Condition!$D$18,IF(CF22&gt;Condition!$E$19,Condition!$D$19,"")))))</f>
        <v>0</v>
      </c>
      <c r="CG65" s="85">
        <f>IF(CG22&lt;=Condition!$E$16,0,IF(CG22&lt;=Condition!$F$16,Condition!$D$16,IF(CG22&lt;=Condition!$F$17,Condition!$D$17,IF(CG22&lt;=Condition!$F$18,Condition!$D$18,IF(CG22&gt;Condition!$E$19,Condition!$D$19,"")))))</f>
        <v>0</v>
      </c>
      <c r="CH65" s="85">
        <f>IF(CH22&lt;=Condition!$E$16,0,IF(CH22&lt;=Condition!$F$16,Condition!$D$16,IF(CH22&lt;=Condition!$F$17,Condition!$D$17,IF(CH22&lt;=Condition!$F$18,Condition!$D$18,IF(CH22&gt;Condition!$E$19,Condition!$D$19,"")))))</f>
        <v>0</v>
      </c>
      <c r="CI65" s="85">
        <f>IF(CI22&lt;=Condition!$E$16,0,IF(CI22&lt;=Condition!$F$16,Condition!$D$16,IF(CI22&lt;=Condition!$F$17,Condition!$D$17,IF(CI22&lt;=Condition!$F$18,Condition!$D$18,IF(CI22&gt;Condition!$E$19,Condition!$D$19,"")))))</f>
        <v>0</v>
      </c>
      <c r="CJ65" s="85">
        <f>IF(CJ22&lt;=Condition!$E$16,0,IF(CJ22&lt;=Condition!$F$16,Condition!$D$16,IF(CJ22&lt;=Condition!$F$17,Condition!$D$17,IF(CJ22&lt;=Condition!$F$18,Condition!$D$18,IF(CJ22&gt;Condition!$E$19,Condition!$D$19,"")))))</f>
        <v>0</v>
      </c>
      <c r="CK65" s="85">
        <f>IF(CK22&lt;=Condition!$E$16,0,IF(CK22&lt;=Condition!$F$16,Condition!$D$16,IF(CK22&lt;=Condition!$F$17,Condition!$D$17,IF(CK22&lt;=Condition!$F$18,Condition!$D$18,IF(CK22&gt;Condition!$E$19,Condition!$D$19,"")))))</f>
        <v>0</v>
      </c>
      <c r="CL65" s="85">
        <f>IF(CL22&lt;=Condition!$E$16,0,IF(CL22&lt;=Condition!$F$16,Condition!$D$16,IF(CL22&lt;=Condition!$F$17,Condition!$D$17,IF(CL22&lt;=Condition!$F$18,Condition!$D$18,IF(CL22&gt;Condition!$E$19,Condition!$D$19,"")))))</f>
        <v>0</v>
      </c>
      <c r="CM65" s="85">
        <f>IF(CM22&lt;=Condition!$E$16,0,IF(CM22&lt;=Condition!$F$16,Condition!$D$16,IF(CM22&lt;=Condition!$F$17,Condition!$D$17,IF(CM22&lt;=Condition!$F$18,Condition!$D$18,IF(CM22&gt;Condition!$E$19,Condition!$D$19,"")))))</f>
        <v>0</v>
      </c>
      <c r="CN65" s="85">
        <f>IF(CN22&lt;=Condition!$E$16,0,IF(CN22&lt;=Condition!$F$16,Condition!$D$16,IF(CN22&lt;=Condition!$F$17,Condition!$D$17,IF(CN22&lt;=Condition!$F$18,Condition!$D$18,IF(CN22&gt;Condition!$E$19,Condition!$D$19,"")))))</f>
        <v>0</v>
      </c>
      <c r="CO65" s="85">
        <f>IF(CO22&lt;=Condition!$E$16,0,IF(CO22&lt;=Condition!$F$16,Condition!$D$16,IF(CO22&lt;=Condition!$F$17,Condition!$D$17,IF(CO22&lt;=Condition!$F$18,Condition!$D$18,IF(CO22&gt;Condition!$E$19,Condition!$D$19,"")))))</f>
        <v>0</v>
      </c>
      <c r="CP65" s="85">
        <f>IF(CP22&lt;=Condition!$E$16,0,IF(CP22&lt;=Condition!$F$16,Condition!$D$16,IF(CP22&lt;=Condition!$F$17,Condition!$D$17,IF(CP22&lt;=Condition!$F$18,Condition!$D$18,IF(CP22&gt;Condition!$E$19,Condition!$D$19,"")))))</f>
        <v>0</v>
      </c>
      <c r="CQ65" s="85">
        <f>IF(CQ22&lt;=Condition!$E$16,0,IF(CQ22&lt;=Condition!$F$16,Condition!$D$16,IF(CQ22&lt;=Condition!$F$17,Condition!$D$17,IF(CQ22&lt;=Condition!$F$18,Condition!$D$18,IF(CQ22&gt;Condition!$E$19,Condition!$D$19,"")))))</f>
        <v>0</v>
      </c>
      <c r="CR65" s="85">
        <f>IF(CR22&lt;=Condition!$E$16,0,IF(CR22&lt;=Condition!$F$16,Condition!$D$16,IF(CR22&lt;=Condition!$F$17,Condition!$D$17,IF(CR22&lt;=Condition!$F$18,Condition!$D$18,IF(CR22&gt;Condition!$E$19,Condition!$D$19,"")))))</f>
        <v>0</v>
      </c>
      <c r="CS65" s="85">
        <f>IF(CS22&lt;=Condition!$E$16,0,IF(CS22&lt;=Condition!$F$16,Condition!$D$16,IF(CS22&lt;=Condition!$F$17,Condition!$D$17,IF(CS22&lt;=Condition!$F$18,Condition!$D$18,IF(CS22&gt;Condition!$E$19,Condition!$D$19,"")))))</f>
        <v>0</v>
      </c>
      <c r="CT65" s="85">
        <f>IF(CT22&lt;=Condition!$E$16,0,IF(CT22&lt;=Condition!$F$16,Condition!$D$16,IF(CT22&lt;=Condition!$F$17,Condition!$D$17,IF(CT22&lt;=Condition!$F$18,Condition!$D$18,IF(CT22&gt;Condition!$E$19,Condition!$D$19,"")))))</f>
        <v>0</v>
      </c>
      <c r="CU65" s="85">
        <f>IF(CU22&lt;=Condition!$E$16,0,IF(CU22&lt;=Condition!$F$16,Condition!$D$16,IF(CU22&lt;=Condition!$F$17,Condition!$D$17,IF(CU22&lt;=Condition!$F$18,Condition!$D$18,IF(CU22&gt;Condition!$E$19,Condition!$D$19,"")))))</f>
        <v>0</v>
      </c>
      <c r="CV65" s="85">
        <f>IF(CV22&lt;=Condition!$E$16,0,IF(CV22&lt;=Condition!$F$16,Condition!$D$16,IF(CV22&lt;=Condition!$F$17,Condition!$D$17,IF(CV22&lt;=Condition!$F$18,Condition!$D$18,IF(CV22&gt;Condition!$E$19,Condition!$D$19,"")))))</f>
        <v>0</v>
      </c>
      <c r="CW65" s="85">
        <f>IF(CW22&lt;=Condition!$E$16,0,IF(CW22&lt;=Condition!$F$16,Condition!$D$16,IF(CW22&lt;=Condition!$F$17,Condition!$D$17,IF(CW22&lt;=Condition!$F$18,Condition!$D$18,IF(CW22&gt;Condition!$E$19,Condition!$D$19,"")))))</f>
        <v>0</v>
      </c>
      <c r="CX65" s="85">
        <f>IF(CX22&lt;=Condition!$E$16,0,IF(CX22&lt;=Condition!$F$16,Condition!$D$16,IF(CX22&lt;=Condition!$F$17,Condition!$D$17,IF(CX22&lt;=Condition!$F$18,Condition!$D$18,IF(CX22&gt;Condition!$E$19,Condition!$D$19,"")))))</f>
        <v>0</v>
      </c>
      <c r="CY65" s="85">
        <f>IF(CY22&lt;=Condition!$E$16,0,IF(CY22&lt;=Condition!$F$16,Condition!$D$16,IF(CY22&lt;=Condition!$F$17,Condition!$D$17,IF(CY22&lt;=Condition!$F$18,Condition!$D$18,IF(CY22&gt;Condition!$E$19,Condition!$D$19,"")))))</f>
        <v>0</v>
      </c>
      <c r="CZ65" s="85">
        <f>IF(CZ22&lt;=Condition!$E$16,0,IF(CZ22&lt;=Condition!$F$16,Condition!$D$16,IF(CZ22&lt;=Condition!$F$17,Condition!$D$17,IF(CZ22&lt;=Condition!$F$18,Condition!$D$18,IF(CZ22&gt;Condition!$E$19,Condition!$D$19,"")))))</f>
        <v>0</v>
      </c>
      <c r="DA65" s="85">
        <f>IF(DA22&lt;=Condition!$E$16,0,IF(DA22&lt;=Condition!$F$16,Condition!$D$16,IF(DA22&lt;=Condition!$F$17,Condition!$D$17,IF(DA22&lt;=Condition!$F$18,Condition!$D$18,IF(DA22&gt;Condition!$E$19,Condition!$D$19,"")))))</f>
        <v>0</v>
      </c>
      <c r="DB65" s="85">
        <f>IF(DB22&lt;=Condition!$E$16,0,IF(DB22&lt;=Condition!$F$16,Condition!$D$16,IF(DB22&lt;=Condition!$F$17,Condition!$D$17,IF(DB22&lt;=Condition!$F$18,Condition!$D$18,IF(DB22&gt;Condition!$E$19,Condition!$D$19,"")))))</f>
        <v>0</v>
      </c>
      <c r="DC65" s="85">
        <f>IF(DC22&lt;=Condition!$E$16,0,IF(DC22&lt;=Condition!$F$16,Condition!$D$16,IF(DC22&lt;=Condition!$F$17,Condition!$D$17,IF(DC22&lt;=Condition!$F$18,Condition!$D$18,IF(DC22&gt;Condition!$E$19,Condition!$D$19,"")))))</f>
        <v>0</v>
      </c>
      <c r="DD65" s="85">
        <f>IF(DD22&lt;=Condition!$E$16,0,IF(DD22&lt;=Condition!$F$16,Condition!$D$16,IF(DD22&lt;=Condition!$F$17,Condition!$D$17,IF(DD22&lt;=Condition!$F$18,Condition!$D$18,IF(DD22&gt;Condition!$E$19,Condition!$D$19,"")))))</f>
        <v>0</v>
      </c>
      <c r="DE65" s="85">
        <f>IF(DE22&lt;=Condition!$E$16,0,IF(DE22&lt;=Condition!$F$16,Condition!$D$16,IF(DE22&lt;=Condition!$F$17,Condition!$D$17,IF(DE22&lt;=Condition!$F$18,Condition!$D$18,IF(DE22&gt;Condition!$E$19,Condition!$D$19,"")))))</f>
        <v>0</v>
      </c>
      <c r="DF65" s="85">
        <f>IF(DF22&lt;=Condition!$E$16,0,IF(DF22&lt;=Condition!$F$16,Condition!$D$16,IF(DF22&lt;=Condition!$F$17,Condition!$D$17,IF(DF22&lt;=Condition!$F$18,Condition!$D$18,IF(DF22&gt;Condition!$E$19,Condition!$D$19,"")))))</f>
        <v>0</v>
      </c>
      <c r="DG65" s="85">
        <f>IF(DG22&lt;=Condition!$E$16,0,IF(DG22&lt;=Condition!$F$16,Condition!$D$16,IF(DG22&lt;=Condition!$F$17,Condition!$D$17,IF(DG22&lt;=Condition!$F$18,Condition!$D$18,IF(DG22&gt;Condition!$E$19,Condition!$D$19,"")))))</f>
        <v>0</v>
      </c>
      <c r="DH65" s="85">
        <f>IF(DH22&lt;=Condition!$E$16,0,IF(DH22&lt;=Condition!$F$16,Condition!$D$16,IF(DH22&lt;=Condition!$F$17,Condition!$D$17,IF(DH22&lt;=Condition!$F$18,Condition!$D$18,IF(DH22&gt;Condition!$E$19,Condition!$D$19,"")))))</f>
        <v>0</v>
      </c>
      <c r="DI65" s="85">
        <f>IF(DI22&lt;=Condition!$E$16,0,IF(DI22&lt;=Condition!$F$16,Condition!$D$16,IF(DI22&lt;=Condition!$F$17,Condition!$D$17,IF(DI22&lt;=Condition!$F$18,Condition!$D$18,IF(DI22&gt;Condition!$E$19,Condition!$D$19,"")))))</f>
        <v>0</v>
      </c>
      <c r="DJ65" s="85">
        <f>IF(DJ22&lt;=Condition!$E$16,0,IF(DJ22&lt;=Condition!$F$16,Condition!$D$16,IF(DJ22&lt;=Condition!$F$17,Condition!$D$17,IF(DJ22&lt;=Condition!$F$18,Condition!$D$18,IF(DJ22&gt;Condition!$E$19,Condition!$D$19,"")))))</f>
        <v>0</v>
      </c>
      <c r="DK65" s="85">
        <f>IF(DK22&lt;=Condition!$E$16,0,IF(DK22&lt;=Condition!$F$16,Condition!$D$16,IF(DK22&lt;=Condition!$F$17,Condition!$D$17,IF(DK22&lt;=Condition!$F$18,Condition!$D$18,IF(DK22&gt;Condition!$E$19,Condition!$D$19,"")))))</f>
        <v>0</v>
      </c>
      <c r="DL65" s="85">
        <f>IF(DL22&lt;=Condition!$E$16,0,IF(DL22&lt;=Condition!$F$16,Condition!$D$16,IF(DL22&lt;=Condition!$F$17,Condition!$D$17,IF(DL22&lt;=Condition!$F$18,Condition!$D$18,IF(DL22&gt;Condition!$E$19,Condition!$D$19,"")))))</f>
        <v>0</v>
      </c>
      <c r="DM65" s="85">
        <f>IF(DM22&lt;=Condition!$E$16,0,IF(DM22&lt;=Condition!$F$16,Condition!$D$16,IF(DM22&lt;=Condition!$F$17,Condition!$D$17,IF(DM22&lt;=Condition!$F$18,Condition!$D$18,IF(DM22&gt;Condition!$E$19,Condition!$D$19,"")))))</f>
        <v>0</v>
      </c>
      <c r="DN65" s="85">
        <f>IF(DN22&lt;=Condition!$E$16,0,IF(DN22&lt;=Condition!$F$16,Condition!$D$16,IF(DN22&lt;=Condition!$F$17,Condition!$D$17,IF(DN22&lt;=Condition!$F$18,Condition!$D$18,IF(DN22&gt;Condition!$E$19,Condition!$D$19,"")))))</f>
        <v>0</v>
      </c>
      <c r="DO65" s="85">
        <f>IF(DO22&lt;=Condition!$E$16,0,IF(DO22&lt;=Condition!$F$16,Condition!$D$16,IF(DO22&lt;=Condition!$F$17,Condition!$D$17,IF(DO22&lt;=Condition!$F$18,Condition!$D$18,IF(DO22&gt;Condition!$E$19,Condition!$D$19,"")))))</f>
        <v>0</v>
      </c>
      <c r="DP65" s="85">
        <f>IF(DP22&lt;=Condition!$E$16,0,IF(DP22&lt;=Condition!$F$16,Condition!$D$16,IF(DP22&lt;=Condition!$F$17,Condition!$D$17,IF(DP22&lt;=Condition!$F$18,Condition!$D$18,IF(DP22&gt;Condition!$E$19,Condition!$D$19,"")))))</f>
        <v>0</v>
      </c>
      <c r="DQ65" s="85">
        <f>IF(DQ22&lt;=Condition!$E$16,0,IF(DQ22&lt;=Condition!$F$16,Condition!$D$16,IF(DQ22&lt;=Condition!$F$17,Condition!$D$17,IF(DQ22&lt;=Condition!$F$18,Condition!$D$18,IF(DQ22&gt;Condition!$E$19,Condition!$D$19,"")))))</f>
        <v>0</v>
      </c>
      <c r="DR65" s="85">
        <f>IF(DR22&lt;=Condition!$E$16,0,IF(DR22&lt;=Condition!$F$16,Condition!$D$16,IF(DR22&lt;=Condition!$F$17,Condition!$D$17,IF(DR22&lt;=Condition!$F$18,Condition!$D$18,IF(DR22&gt;Condition!$E$19,Condition!$D$19,"")))))</f>
        <v>0</v>
      </c>
      <c r="DS65" s="85">
        <f>IF(DS22&lt;=Condition!$E$16,0,IF(DS22&lt;=Condition!$F$16,Condition!$D$16,IF(DS22&lt;=Condition!$F$17,Condition!$D$17,IF(DS22&lt;=Condition!$F$18,Condition!$D$18,IF(DS22&gt;Condition!$E$19,Condition!$D$19,"")))))</f>
        <v>0</v>
      </c>
      <c r="DT65" s="85">
        <f>IF(DT22&lt;=Condition!$E$16,0,IF(DT22&lt;=Condition!$F$16,Condition!$D$16,IF(DT22&lt;=Condition!$F$17,Condition!$D$17,IF(DT22&lt;=Condition!$F$18,Condition!$D$18,IF(DT22&gt;Condition!$E$19,Condition!$D$19,"")))))</f>
        <v>0</v>
      </c>
      <c r="DU65" s="85">
        <f>IF(DU22&lt;=Condition!$E$16,0,IF(DU22&lt;=Condition!$F$16,Condition!$D$16,IF(DU22&lt;=Condition!$F$17,Condition!$D$17,IF(DU22&lt;=Condition!$F$18,Condition!$D$18,IF(DU22&gt;Condition!$E$19,Condition!$D$19,"")))))</f>
        <v>0</v>
      </c>
      <c r="DV65" s="85">
        <f>IF(DV22&lt;=Condition!$E$16,0,IF(DV22&lt;=Condition!$F$16,Condition!$D$16,IF(DV22&lt;=Condition!$F$17,Condition!$D$17,IF(DV22&lt;=Condition!$F$18,Condition!$D$18,IF(DV22&gt;Condition!$E$19,Condition!$D$19,"")))))</f>
        <v>0</v>
      </c>
      <c r="DW65" s="85">
        <f>IF(DW22&lt;=Condition!$E$16,0,IF(DW22&lt;=Condition!$F$16,Condition!$D$16,IF(DW22&lt;=Condition!$F$17,Condition!$D$17,IF(DW22&lt;=Condition!$F$18,Condition!$D$18,IF(DW22&gt;Condition!$E$19,Condition!$D$19,"")))))</f>
        <v>0</v>
      </c>
      <c r="DX65" s="85">
        <f>IF(DX22&lt;=Condition!$E$16,0,IF(DX22&lt;=Condition!$F$16,Condition!$D$16,IF(DX22&lt;=Condition!$F$17,Condition!$D$17,IF(DX22&lt;=Condition!$F$18,Condition!$D$18,IF(DX22&gt;Condition!$E$19,Condition!$D$19,"")))))</f>
        <v>0</v>
      </c>
      <c r="DY65" s="85">
        <f>IF(DY22&lt;=Condition!$E$16,0,IF(DY22&lt;=Condition!$F$16,Condition!$D$16,IF(DY22&lt;=Condition!$F$17,Condition!$D$17,IF(DY22&lt;=Condition!$F$18,Condition!$D$18,IF(DY22&gt;Condition!$E$19,Condition!$D$19,"")))))</f>
        <v>0</v>
      </c>
      <c r="DZ65" s="85">
        <f>IF(DZ22&lt;=Condition!$E$16,0,IF(DZ22&lt;=Condition!$F$16,Condition!$D$16,IF(DZ22&lt;=Condition!$F$17,Condition!$D$17,IF(DZ22&lt;=Condition!$F$18,Condition!$D$18,IF(DZ22&gt;Condition!$E$19,Condition!$D$19,"")))))</f>
        <v>0</v>
      </c>
      <c r="EA65" s="85">
        <f>IF(EA22&lt;=Condition!$E$16,0,IF(EA22&lt;=Condition!$F$16,Condition!$D$16,IF(EA22&lt;=Condition!$F$17,Condition!$D$17,IF(EA22&lt;=Condition!$F$18,Condition!$D$18,IF(EA22&gt;Condition!$E$19,Condition!$D$19,"")))))</f>
        <v>0</v>
      </c>
      <c r="EB65" s="85">
        <f>IF(EB22&lt;=Condition!$E$16,0,IF(EB22&lt;=Condition!$F$16,Condition!$D$16,IF(EB22&lt;=Condition!$F$17,Condition!$D$17,IF(EB22&lt;=Condition!$F$18,Condition!$D$18,IF(EB22&gt;Condition!$E$19,Condition!$D$19,"")))))</f>
        <v>0</v>
      </c>
      <c r="EC65" s="85">
        <f>IF(EC22&lt;=Condition!$E$16,0,IF(EC22&lt;=Condition!$F$16,Condition!$D$16,IF(EC22&lt;=Condition!$F$17,Condition!$D$17,IF(EC22&lt;=Condition!$F$18,Condition!$D$18,IF(EC22&gt;Condition!$E$19,Condition!$D$19,"")))))</f>
        <v>0</v>
      </c>
      <c r="ED65" s="85">
        <f>IF(ED22&lt;=Condition!$E$16,0,IF(ED22&lt;=Condition!$F$16,Condition!$D$16,IF(ED22&lt;=Condition!$F$17,Condition!$D$17,IF(ED22&lt;=Condition!$F$18,Condition!$D$18,IF(ED22&gt;Condition!$E$19,Condition!$D$19,"")))))</f>
        <v>0</v>
      </c>
      <c r="EE65" s="85">
        <f>IF(EE22&lt;=Condition!$E$16,0,IF(EE22&lt;=Condition!$F$16,Condition!$D$16,IF(EE22&lt;=Condition!$F$17,Condition!$D$17,IF(EE22&lt;=Condition!$F$18,Condition!$D$18,IF(EE22&gt;Condition!$E$19,Condition!$D$19,"")))))</f>
        <v>0</v>
      </c>
      <c r="EF65" s="85">
        <f>IF(EF22&lt;=Condition!$E$16,0,IF(EF22&lt;=Condition!$F$16,Condition!$D$16,IF(EF22&lt;=Condition!$F$17,Condition!$D$17,IF(EF22&lt;=Condition!$F$18,Condition!$D$18,IF(EF22&gt;Condition!$E$19,Condition!$D$19,"")))))</f>
        <v>0</v>
      </c>
      <c r="EG65" s="85">
        <f>IF(EG22&lt;=Condition!$E$16,0,IF(EG22&lt;=Condition!$F$16,Condition!$D$16,IF(EG22&lt;=Condition!$F$17,Condition!$D$17,IF(EG22&lt;=Condition!$F$18,Condition!$D$18,IF(EG22&gt;Condition!$E$19,Condition!$D$19,"")))))</f>
        <v>0</v>
      </c>
      <c r="EH65" s="85">
        <f>IF(EH22&lt;=Condition!$E$16,0,IF(EH22&lt;=Condition!$F$16,Condition!$D$16,IF(EH22&lt;=Condition!$F$17,Condition!$D$17,IF(EH22&lt;=Condition!$F$18,Condition!$D$18,IF(EH22&gt;Condition!$E$19,Condition!$D$19,"")))))</f>
        <v>0</v>
      </c>
      <c r="EI65" s="85">
        <f>IF(EI22&lt;=Condition!$E$16,0,IF(EI22&lt;=Condition!$F$16,Condition!$D$16,IF(EI22&lt;=Condition!$F$17,Condition!$D$17,IF(EI22&lt;=Condition!$F$18,Condition!$D$18,IF(EI22&gt;Condition!$E$19,Condition!$D$19,"")))))</f>
        <v>0</v>
      </c>
      <c r="EJ65" s="85">
        <f>IF(EJ22&lt;=Condition!$E$16,0,IF(EJ22&lt;=Condition!$F$16,Condition!$D$16,IF(EJ22&lt;=Condition!$F$17,Condition!$D$17,IF(EJ22&lt;=Condition!$F$18,Condition!$D$18,IF(EJ22&gt;Condition!$E$19,Condition!$D$19,"")))))</f>
        <v>0</v>
      </c>
      <c r="EK65" s="85">
        <f>IF(EK22&lt;=Condition!$E$16,0,IF(EK22&lt;=Condition!$F$16,Condition!$D$16,IF(EK22&lt;=Condition!$F$17,Condition!$D$17,IF(EK22&lt;=Condition!$F$18,Condition!$D$18,IF(EK22&gt;Condition!$E$19,Condition!$D$19,"")))))</f>
        <v>0</v>
      </c>
      <c r="EL65" s="85">
        <f>IF(EL22&lt;=Condition!$E$16,0,IF(EL22&lt;=Condition!$F$16,Condition!$D$16,IF(EL22&lt;=Condition!$F$17,Condition!$D$17,IF(EL22&lt;=Condition!$F$18,Condition!$D$18,IF(EL22&gt;Condition!$E$19,Condition!$D$19,"")))))</f>
        <v>0</v>
      </c>
      <c r="EM65" s="85">
        <f>IF(EM22&lt;=Condition!$E$16,0,IF(EM22&lt;=Condition!$F$16,Condition!$D$16,IF(EM22&lt;=Condition!$F$17,Condition!$D$17,IF(EM22&lt;=Condition!$F$18,Condition!$D$18,IF(EM22&gt;Condition!$E$19,Condition!$D$19,"")))))</f>
        <v>0</v>
      </c>
      <c r="EN65" s="85">
        <f>IF(EN22&lt;=Condition!$E$16,0,IF(EN22&lt;=Condition!$F$16,Condition!$D$16,IF(EN22&lt;=Condition!$F$17,Condition!$D$17,IF(EN22&lt;=Condition!$F$18,Condition!$D$18,IF(EN22&gt;Condition!$E$19,Condition!$D$19,"")))))</f>
        <v>0</v>
      </c>
      <c r="EO65" s="85">
        <f>IF(EO22&lt;=Condition!$E$16,0,IF(EO22&lt;=Condition!$F$16,Condition!$D$16,IF(EO22&lt;=Condition!$F$17,Condition!$D$17,IF(EO22&lt;=Condition!$F$18,Condition!$D$18,IF(EO22&gt;Condition!$E$19,Condition!$D$19,"")))))</f>
        <v>0</v>
      </c>
      <c r="EP65" s="85">
        <f>IF(EP22&lt;=Condition!$E$16,0,IF(EP22&lt;=Condition!$F$16,Condition!$D$16,IF(EP22&lt;=Condition!$F$17,Condition!$D$17,IF(EP22&lt;=Condition!$F$18,Condition!$D$18,IF(EP22&gt;Condition!$E$19,Condition!$D$19,"")))))</f>
        <v>0</v>
      </c>
      <c r="EQ65" s="85">
        <f>IF(EQ22&lt;=Condition!$E$16,0,IF(EQ22&lt;=Condition!$F$16,Condition!$D$16,IF(EQ22&lt;=Condition!$F$17,Condition!$D$17,IF(EQ22&lt;=Condition!$F$18,Condition!$D$18,IF(EQ22&gt;Condition!$E$19,Condition!$D$19,"")))))</f>
        <v>0</v>
      </c>
      <c r="ER65" s="85">
        <f>IF(ER22&lt;=Condition!$E$16,0,IF(ER22&lt;=Condition!$F$16,Condition!$D$16,IF(ER22&lt;=Condition!$F$17,Condition!$D$17,IF(ER22&lt;=Condition!$F$18,Condition!$D$18,IF(ER22&gt;Condition!$E$19,Condition!$D$19,"")))))</f>
        <v>0</v>
      </c>
      <c r="ES65" s="85">
        <f>IF(ES22&lt;=Condition!$E$16,0,IF(ES22&lt;=Condition!$F$16,Condition!$D$16,IF(ES22&lt;=Condition!$F$17,Condition!$D$17,IF(ES22&lt;=Condition!$F$18,Condition!$D$18,IF(ES22&gt;Condition!$E$19,Condition!$D$19,"")))))</f>
        <v>0</v>
      </c>
      <c r="ET65" s="85">
        <f>IF(ET22&lt;=Condition!$E$16,0,IF(ET22&lt;=Condition!$F$16,Condition!$D$16,IF(ET22&lt;=Condition!$F$17,Condition!$D$17,IF(ET22&lt;=Condition!$F$18,Condition!$D$18,IF(ET22&gt;Condition!$E$19,Condition!$D$19,"")))))</f>
        <v>0</v>
      </c>
      <c r="EU65" s="85">
        <f>IF(EU22&lt;=Condition!$E$16,0,IF(EU22&lt;=Condition!$F$16,Condition!$D$16,IF(EU22&lt;=Condition!$F$17,Condition!$D$17,IF(EU22&lt;=Condition!$F$18,Condition!$D$18,IF(EU22&gt;Condition!$E$19,Condition!$D$19,"")))))</f>
        <v>0</v>
      </c>
      <c r="EV65" s="85">
        <f>IF(EV22&lt;=Condition!$E$16,0,IF(EV22&lt;=Condition!$F$16,Condition!$D$16,IF(EV22&lt;=Condition!$F$17,Condition!$D$17,IF(EV22&lt;=Condition!$F$18,Condition!$D$18,IF(EV22&gt;Condition!$E$19,Condition!$D$19,"")))))</f>
        <v>0</v>
      </c>
      <c r="EW65" s="85">
        <f>IF(EW22&lt;=Condition!$E$16,0,IF(EW22&lt;=Condition!$F$16,Condition!$D$16,IF(EW22&lt;=Condition!$F$17,Condition!$D$17,IF(EW22&lt;=Condition!$F$18,Condition!$D$18,IF(EW22&gt;Condition!$E$19,Condition!$D$19,"")))))</f>
        <v>0</v>
      </c>
      <c r="EX65" s="85">
        <f>IF(EX22&lt;=Condition!$E$16,0,IF(EX22&lt;=Condition!$F$16,Condition!$D$16,IF(EX22&lt;=Condition!$F$17,Condition!$D$17,IF(EX22&lt;=Condition!$F$18,Condition!$D$18,IF(EX22&gt;Condition!$E$19,Condition!$D$19,"")))))</f>
        <v>0</v>
      </c>
      <c r="EY65" s="85">
        <f>IF(EY22&lt;=Condition!$E$16,0,IF(EY22&lt;=Condition!$F$16,Condition!$D$16,IF(EY22&lt;=Condition!$F$17,Condition!$D$17,IF(EY22&lt;=Condition!$F$18,Condition!$D$18,IF(EY22&gt;Condition!$E$19,Condition!$D$19,"")))))</f>
        <v>0</v>
      </c>
      <c r="EZ65" s="85">
        <f>IF(EZ22&lt;=Condition!$E$16,0,IF(EZ22&lt;=Condition!$F$16,Condition!$D$16,IF(EZ22&lt;=Condition!$F$17,Condition!$D$17,IF(EZ22&lt;=Condition!$F$18,Condition!$D$18,IF(EZ22&gt;Condition!$E$19,Condition!$D$19,"")))))</f>
        <v>0</v>
      </c>
      <c r="FA65" s="85">
        <f>IF(FA22&lt;=Condition!$E$16,0,IF(FA22&lt;=Condition!$F$16,Condition!$D$16,IF(FA22&lt;=Condition!$F$17,Condition!$D$17,IF(FA22&lt;=Condition!$F$18,Condition!$D$18,IF(FA22&gt;Condition!$E$19,Condition!$D$19,"")))))</f>
        <v>0</v>
      </c>
      <c r="FB65" s="85">
        <f>IF(FB22&lt;=Condition!$E$16,0,IF(FB22&lt;=Condition!$F$16,Condition!$D$16,IF(FB22&lt;=Condition!$F$17,Condition!$D$17,IF(FB22&lt;=Condition!$F$18,Condition!$D$18,IF(FB22&gt;Condition!$E$19,Condition!$D$19,"")))))</f>
        <v>0</v>
      </c>
      <c r="FC65" s="85">
        <f>IF(FC22&lt;=Condition!$E$16,0,IF(FC22&lt;=Condition!$F$16,Condition!$D$16,IF(FC22&lt;=Condition!$F$17,Condition!$D$17,IF(FC22&lt;=Condition!$F$18,Condition!$D$18,IF(FC22&gt;Condition!$E$19,Condition!$D$19,"")))))</f>
        <v>0</v>
      </c>
      <c r="FD65" s="85">
        <f>IF(FD22&lt;=Condition!$E$16,0,IF(FD22&lt;=Condition!$F$16,Condition!$D$16,IF(FD22&lt;=Condition!$F$17,Condition!$D$17,IF(FD22&lt;=Condition!$F$18,Condition!$D$18,IF(FD22&gt;Condition!$E$19,Condition!$D$19,"")))))</f>
        <v>0</v>
      </c>
      <c r="FE65" s="85">
        <f>IF(FE22&lt;=Condition!$E$16,0,IF(FE22&lt;=Condition!$F$16,Condition!$D$16,IF(FE22&lt;=Condition!$F$17,Condition!$D$17,IF(FE22&lt;=Condition!$F$18,Condition!$D$18,IF(FE22&gt;Condition!$E$19,Condition!$D$19,"")))))</f>
        <v>0</v>
      </c>
      <c r="FF65" s="85">
        <f>IF(FF22&lt;=Condition!$E$16,0,IF(FF22&lt;=Condition!$F$16,Condition!$D$16,IF(FF22&lt;=Condition!$F$17,Condition!$D$17,IF(FF22&lt;=Condition!$F$18,Condition!$D$18,IF(FF22&gt;Condition!$E$19,Condition!$D$19,"")))))</f>
        <v>0</v>
      </c>
      <c r="FG65" s="85">
        <f>IF(FG22&lt;=Condition!$E$16,0,IF(FG22&lt;=Condition!$F$16,Condition!$D$16,IF(FG22&lt;=Condition!$F$17,Condition!$D$17,IF(FG22&lt;=Condition!$F$18,Condition!$D$18,IF(FG22&gt;Condition!$E$19,Condition!$D$19,"")))))</f>
        <v>0</v>
      </c>
      <c r="FH65" s="85">
        <f>IF(FH22&lt;=Condition!$E$16,0,IF(FH22&lt;=Condition!$F$16,Condition!$D$16,IF(FH22&lt;=Condition!$F$17,Condition!$D$17,IF(FH22&lt;=Condition!$F$18,Condition!$D$18,IF(FH22&gt;Condition!$E$19,Condition!$D$19,"")))))</f>
        <v>0</v>
      </c>
      <c r="FI65" s="85">
        <f>IF(FI22&lt;=Condition!$E$16,0,IF(FI22&lt;=Condition!$F$16,Condition!$D$16,IF(FI22&lt;=Condition!$F$17,Condition!$D$17,IF(FI22&lt;=Condition!$F$18,Condition!$D$18,IF(FI22&gt;Condition!$E$19,Condition!$D$19,"")))))</f>
        <v>0</v>
      </c>
      <c r="FJ65" s="85">
        <f>IF(FJ22&lt;=Condition!$E$16,0,IF(FJ22&lt;=Condition!$F$16,Condition!$D$16,IF(FJ22&lt;=Condition!$F$17,Condition!$D$17,IF(FJ22&lt;=Condition!$F$18,Condition!$D$18,IF(FJ22&gt;Condition!$E$19,Condition!$D$19,"")))))</f>
        <v>0</v>
      </c>
      <c r="FK65" s="85">
        <f>IF(FK22&lt;=Condition!$E$16,0,IF(FK22&lt;=Condition!$F$16,Condition!$D$16,IF(FK22&lt;=Condition!$F$17,Condition!$D$17,IF(FK22&lt;=Condition!$F$18,Condition!$D$18,IF(FK22&gt;Condition!$E$19,Condition!$D$19,"")))))</f>
        <v>0</v>
      </c>
      <c r="FL65" s="85">
        <f>IF(FL22&lt;=Condition!$E$16,0,IF(FL22&lt;=Condition!$F$16,Condition!$D$16,IF(FL22&lt;=Condition!$F$17,Condition!$D$17,IF(FL22&lt;=Condition!$F$18,Condition!$D$18,IF(FL22&gt;Condition!$E$19,Condition!$D$19,"")))))</f>
        <v>0</v>
      </c>
      <c r="FM65" s="85">
        <f>IF(FM22&lt;=Condition!$E$16,0,IF(FM22&lt;=Condition!$F$16,Condition!$D$16,IF(FM22&lt;=Condition!$F$17,Condition!$D$17,IF(FM22&lt;=Condition!$F$18,Condition!$D$18,IF(FM22&gt;Condition!$E$19,Condition!$D$19,"")))))</f>
        <v>0</v>
      </c>
      <c r="FN65" s="85">
        <f>IF(FN22&lt;=Condition!$E$16,0,IF(FN22&lt;=Condition!$F$16,Condition!$D$16,IF(FN22&lt;=Condition!$F$17,Condition!$D$17,IF(FN22&lt;=Condition!$F$18,Condition!$D$18,IF(FN22&gt;Condition!$E$19,Condition!$D$19,"")))))</f>
        <v>0</v>
      </c>
      <c r="FO65" s="85">
        <f>IF(FO22&lt;=Condition!$E$16,0,IF(FO22&lt;=Condition!$F$16,Condition!$D$16,IF(FO22&lt;=Condition!$F$17,Condition!$D$17,IF(FO22&lt;=Condition!$F$18,Condition!$D$18,IF(FO22&gt;Condition!$E$19,Condition!$D$19,"")))))</f>
        <v>0</v>
      </c>
      <c r="FP65" s="85">
        <f>IF(FP22&lt;=Condition!$E$16,0,IF(FP22&lt;=Condition!$F$16,Condition!$D$16,IF(FP22&lt;=Condition!$F$17,Condition!$D$17,IF(FP22&lt;=Condition!$F$18,Condition!$D$18,IF(FP22&gt;Condition!$E$19,Condition!$D$19,"")))))</f>
        <v>0</v>
      </c>
      <c r="FQ65" s="85">
        <f>IF(FQ22&lt;=Condition!$E$16,0,IF(FQ22&lt;=Condition!$F$16,Condition!$D$16,IF(FQ22&lt;=Condition!$F$17,Condition!$D$17,IF(FQ22&lt;=Condition!$F$18,Condition!$D$18,IF(FQ22&gt;Condition!$E$19,Condition!$D$19,"")))))</f>
        <v>0</v>
      </c>
      <c r="FR65" s="85">
        <f>IF(FR22&lt;=Condition!$E$16,0,IF(FR22&lt;=Condition!$F$16,Condition!$D$16,IF(FR22&lt;=Condition!$F$17,Condition!$D$17,IF(FR22&lt;=Condition!$F$18,Condition!$D$18,IF(FR22&gt;Condition!$E$19,Condition!$D$19,"")))))</f>
        <v>0</v>
      </c>
      <c r="FS65" s="85">
        <f>IF(FS22&lt;=Condition!$E$16,0,IF(FS22&lt;=Condition!$F$16,Condition!$D$16,IF(FS22&lt;=Condition!$F$17,Condition!$D$17,IF(FS22&lt;=Condition!$F$18,Condition!$D$18,IF(FS22&gt;Condition!$E$19,Condition!$D$19,"")))))</f>
        <v>0</v>
      </c>
      <c r="FT65" s="85">
        <f>IF(FT22&lt;=Condition!$E$16,0,IF(FT22&lt;=Condition!$F$16,Condition!$D$16,IF(FT22&lt;=Condition!$F$17,Condition!$D$17,IF(FT22&lt;=Condition!$F$18,Condition!$D$18,IF(FT22&gt;Condition!$E$19,Condition!$D$19,"")))))</f>
        <v>0</v>
      </c>
      <c r="FU65" s="85">
        <f>IF(FU22&lt;=Condition!$E$16,0,IF(FU22&lt;=Condition!$F$16,Condition!$D$16,IF(FU22&lt;=Condition!$F$17,Condition!$D$17,IF(FU22&lt;=Condition!$F$18,Condition!$D$18,IF(FU22&gt;Condition!$E$19,Condition!$D$19,"")))))</f>
        <v>0</v>
      </c>
      <c r="FV65" s="85">
        <f>IF(FV22&lt;=Condition!$E$16,0,IF(FV22&lt;=Condition!$F$16,Condition!$D$16,IF(FV22&lt;=Condition!$F$17,Condition!$D$17,IF(FV22&lt;=Condition!$F$18,Condition!$D$18,IF(FV22&gt;Condition!$E$19,Condition!$D$19,"")))))</f>
        <v>0</v>
      </c>
      <c r="FW65" s="85">
        <f>IF(FW22&lt;=Condition!$E$16,0,IF(FW22&lt;=Condition!$F$16,Condition!$D$16,IF(FW22&lt;=Condition!$F$17,Condition!$D$17,IF(FW22&lt;=Condition!$F$18,Condition!$D$18,IF(FW22&gt;Condition!$E$19,Condition!$D$19,"")))))</f>
        <v>0</v>
      </c>
      <c r="FX65" s="85">
        <f>IF(FX22&lt;=Condition!$E$16,0,IF(FX22&lt;=Condition!$F$16,Condition!$D$16,IF(FX22&lt;=Condition!$F$17,Condition!$D$17,IF(FX22&lt;=Condition!$F$18,Condition!$D$18,IF(FX22&gt;Condition!$E$19,Condition!$D$19,"")))))</f>
        <v>0</v>
      </c>
      <c r="FY65" s="85">
        <f>IF(FY22&lt;=Condition!$E$16,0,IF(FY22&lt;=Condition!$F$16,Condition!$D$16,IF(FY22&lt;=Condition!$F$17,Condition!$D$17,IF(FY22&lt;=Condition!$F$18,Condition!$D$18,IF(FY22&gt;Condition!$E$19,Condition!$D$19,"")))))</f>
        <v>0</v>
      </c>
      <c r="FZ65" s="85">
        <f>IF(FZ22&lt;=Condition!$E$16,0,IF(FZ22&lt;=Condition!$F$16,Condition!$D$16,IF(FZ22&lt;=Condition!$F$17,Condition!$D$17,IF(FZ22&lt;=Condition!$F$18,Condition!$D$18,IF(FZ22&gt;Condition!$E$19,Condition!$D$19,"")))))</f>
        <v>0</v>
      </c>
      <c r="GA65" s="85">
        <f>IF(GA22&lt;=Condition!$E$16,0,IF(GA22&lt;=Condition!$F$16,Condition!$D$16,IF(GA22&lt;=Condition!$F$17,Condition!$D$17,IF(GA22&lt;=Condition!$F$18,Condition!$D$18,IF(GA22&gt;Condition!$E$19,Condition!$D$19,"")))))</f>
        <v>0</v>
      </c>
      <c r="GB65" s="85">
        <f>IF(GB22&lt;=Condition!$E$16,0,IF(GB22&lt;=Condition!$F$16,Condition!$D$16,IF(GB22&lt;=Condition!$F$17,Condition!$D$17,IF(GB22&lt;=Condition!$F$18,Condition!$D$18,IF(GB22&gt;Condition!$E$19,Condition!$D$19,"")))))</f>
        <v>0</v>
      </c>
      <c r="GC65" s="85">
        <f>IF(GC22&lt;=Condition!$E$16,0,IF(GC22&lt;=Condition!$F$16,Condition!$D$16,IF(GC22&lt;=Condition!$F$17,Condition!$D$17,IF(GC22&lt;=Condition!$F$18,Condition!$D$18,IF(GC22&gt;Condition!$E$19,Condition!$D$19,"")))))</f>
        <v>0</v>
      </c>
      <c r="GD65" s="85">
        <f>IF(GD22&lt;=Condition!$E$16,0,IF(GD22&lt;=Condition!$F$16,Condition!$D$16,IF(GD22&lt;=Condition!$F$17,Condition!$D$17,IF(GD22&lt;=Condition!$F$18,Condition!$D$18,IF(GD22&gt;Condition!$E$19,Condition!$D$19,"")))))</f>
        <v>0</v>
      </c>
      <c r="GE65" s="85">
        <f>IF(GE22&lt;=Condition!$E$16,0,IF(GE22&lt;=Condition!$F$16,Condition!$D$16,IF(GE22&lt;=Condition!$F$17,Condition!$D$17,IF(GE22&lt;=Condition!$F$18,Condition!$D$18,IF(GE22&gt;Condition!$E$19,Condition!$D$19,"")))))</f>
        <v>0</v>
      </c>
      <c r="GF65" s="85">
        <f>IF(GF22&lt;=Condition!$E$16,0,IF(GF22&lt;=Condition!$F$16,Condition!$D$16,IF(GF22&lt;=Condition!$F$17,Condition!$D$17,IF(GF22&lt;=Condition!$F$18,Condition!$D$18,IF(GF22&gt;Condition!$E$19,Condition!$D$19,"")))))</f>
        <v>0</v>
      </c>
      <c r="GG65" s="85">
        <f>IF(GG22&lt;=Condition!$E$16,0,IF(GG22&lt;=Condition!$F$16,Condition!$D$16,IF(GG22&lt;=Condition!$F$17,Condition!$D$17,IF(GG22&lt;=Condition!$F$18,Condition!$D$18,IF(GG22&gt;Condition!$E$19,Condition!$D$19,"")))))</f>
        <v>0</v>
      </c>
      <c r="GH65" s="85">
        <f>IF(GH22&lt;=Condition!$E$16,0,IF(GH22&lt;=Condition!$F$16,Condition!$D$16,IF(GH22&lt;=Condition!$F$17,Condition!$D$17,IF(GH22&lt;=Condition!$F$18,Condition!$D$18,IF(GH22&gt;Condition!$E$19,Condition!$D$19,"")))))</f>
        <v>0</v>
      </c>
      <c r="GI65" s="85">
        <f>IF(GI22&lt;=Condition!$E$16,0,IF(GI22&lt;=Condition!$F$16,Condition!$D$16,IF(GI22&lt;=Condition!$F$17,Condition!$D$17,IF(GI22&lt;=Condition!$F$18,Condition!$D$18,IF(GI22&gt;Condition!$E$19,Condition!$D$19,"")))))</f>
        <v>0</v>
      </c>
      <c r="GJ65" s="85">
        <f>IF(GJ22&lt;=Condition!$E$16,0,IF(GJ22&lt;=Condition!$F$16,Condition!$D$16,IF(GJ22&lt;=Condition!$F$17,Condition!$D$17,IF(GJ22&lt;=Condition!$F$18,Condition!$D$18,IF(GJ22&gt;Condition!$E$19,Condition!$D$19,"")))))</f>
        <v>0</v>
      </c>
      <c r="GK65" s="85">
        <f>IF(GK22&lt;=Condition!$E$16,0,IF(GK22&lt;=Condition!$F$16,Condition!$D$16,IF(GK22&lt;=Condition!$F$17,Condition!$D$17,IF(GK22&lt;=Condition!$F$18,Condition!$D$18,IF(GK22&gt;Condition!$E$19,Condition!$D$19,"")))))</f>
        <v>0</v>
      </c>
      <c r="GL65" s="85">
        <f>IF(GL22&lt;=Condition!$E$16,0,IF(GL22&lt;=Condition!$F$16,Condition!$D$16,IF(GL22&lt;=Condition!$F$17,Condition!$D$17,IF(GL22&lt;=Condition!$F$18,Condition!$D$18,IF(GL22&gt;Condition!$E$19,Condition!$D$19,"")))))</f>
        <v>0</v>
      </c>
      <c r="GM65" s="85">
        <f>IF(GM22&lt;=Condition!$E$16,0,IF(GM22&lt;=Condition!$F$16,Condition!$D$16,IF(GM22&lt;=Condition!$F$17,Condition!$D$17,IF(GM22&lt;=Condition!$F$18,Condition!$D$18,IF(GM22&gt;Condition!$E$19,Condition!$D$19,"")))))</f>
        <v>0</v>
      </c>
      <c r="GN65" s="85">
        <f>IF(GN22&lt;=Condition!$E$16,0,IF(GN22&lt;=Condition!$F$16,Condition!$D$16,IF(GN22&lt;=Condition!$F$17,Condition!$D$17,IF(GN22&lt;=Condition!$F$18,Condition!$D$18,IF(GN22&gt;Condition!$E$19,Condition!$D$19,"")))))</f>
        <v>0</v>
      </c>
      <c r="GO65" s="85">
        <f>IF(GO22&lt;=Condition!$E$16,0,IF(GO22&lt;=Condition!$F$16,Condition!$D$16,IF(GO22&lt;=Condition!$F$17,Condition!$D$17,IF(GO22&lt;=Condition!$F$18,Condition!$D$18,IF(GO22&gt;Condition!$E$19,Condition!$D$19,"")))))</f>
        <v>0</v>
      </c>
      <c r="GP65" s="85">
        <f>IF(GP22&lt;=Condition!$E$16,0,IF(GP22&lt;=Condition!$F$16,Condition!$D$16,IF(GP22&lt;=Condition!$F$17,Condition!$D$17,IF(GP22&lt;=Condition!$F$18,Condition!$D$18,IF(GP22&gt;Condition!$E$19,Condition!$D$19,"")))))</f>
        <v>0</v>
      </c>
      <c r="GQ65" s="85">
        <f>IF(GQ22&lt;=Condition!$E$16,0,IF(GQ22&lt;=Condition!$F$16,Condition!$D$16,IF(GQ22&lt;=Condition!$F$17,Condition!$D$17,IF(GQ22&lt;=Condition!$F$18,Condition!$D$18,IF(GQ22&gt;Condition!$E$19,Condition!$D$19,"")))))</f>
        <v>0</v>
      </c>
      <c r="GR65" s="85">
        <f>IF(GR22&lt;=Condition!$E$16,0,IF(GR22&lt;=Condition!$F$16,Condition!$D$16,IF(GR22&lt;=Condition!$F$17,Condition!$D$17,IF(GR22&lt;=Condition!$F$18,Condition!$D$18,IF(GR22&gt;Condition!$E$19,Condition!$D$19,"")))))</f>
        <v>0</v>
      </c>
      <c r="GS65" s="85">
        <f>IF(GS22&lt;=Condition!$E$16,0,IF(GS22&lt;=Condition!$F$16,Condition!$D$16,IF(GS22&lt;=Condition!$F$17,Condition!$D$17,IF(GS22&lt;=Condition!$F$18,Condition!$D$18,IF(GS22&gt;Condition!$E$19,Condition!$D$19,"")))))</f>
        <v>0</v>
      </c>
      <c r="GT65" s="85">
        <f>IF(GT22&lt;=Condition!$E$16,0,IF(GT22&lt;=Condition!$F$16,Condition!$D$16,IF(GT22&lt;=Condition!$F$17,Condition!$D$17,IF(GT22&lt;=Condition!$F$18,Condition!$D$18,IF(GT22&gt;Condition!$E$19,Condition!$D$19,"")))))</f>
        <v>0</v>
      </c>
      <c r="GU65" s="85">
        <f>IF(GU22&lt;=Condition!$E$16,0,IF(GU22&lt;=Condition!$F$16,Condition!$D$16,IF(GU22&lt;=Condition!$F$17,Condition!$D$17,IF(GU22&lt;=Condition!$F$18,Condition!$D$18,IF(GU22&gt;Condition!$E$19,Condition!$D$19,"")))))</f>
        <v>0</v>
      </c>
      <c r="GV65" s="85">
        <f>IF(GV22&lt;=Condition!$E$16,0,IF(GV22&lt;=Condition!$F$16,Condition!$D$16,IF(GV22&lt;=Condition!$F$17,Condition!$D$17,IF(GV22&lt;=Condition!$F$18,Condition!$D$18,IF(GV22&gt;Condition!$E$19,Condition!$D$19,"")))))</f>
        <v>0</v>
      </c>
      <c r="GW65" s="85">
        <f>IF(GW22&lt;=Condition!$E$16,0,IF(GW22&lt;=Condition!$F$16,Condition!$D$16,IF(GW22&lt;=Condition!$F$17,Condition!$D$17,IF(GW22&lt;=Condition!$F$18,Condition!$D$18,IF(GW22&gt;Condition!$E$19,Condition!$D$19,"")))))</f>
        <v>0</v>
      </c>
      <c r="GX65" s="85">
        <f>IF(GX22&lt;=Condition!$E$16,0,IF(GX22&lt;=Condition!$F$16,Condition!$D$16,IF(GX22&lt;=Condition!$F$17,Condition!$D$17,IF(GX22&lt;=Condition!$F$18,Condition!$D$18,IF(GX22&gt;Condition!$E$19,Condition!$D$19,"")))))</f>
        <v>0</v>
      </c>
      <c r="GY65" s="85">
        <f>IF(GY22&lt;=Condition!$E$16,0,IF(GY22&lt;=Condition!$F$16,Condition!$D$16,IF(GY22&lt;=Condition!$F$17,Condition!$D$17,IF(GY22&lt;=Condition!$F$18,Condition!$D$18,IF(GY22&gt;Condition!$E$19,Condition!$D$19,"")))))</f>
        <v>0</v>
      </c>
      <c r="GZ65" s="85">
        <f>IF(GZ22&lt;=Condition!$E$16,0,IF(GZ22&lt;=Condition!$F$16,Condition!$D$16,IF(GZ22&lt;=Condition!$F$17,Condition!$D$17,IF(GZ22&lt;=Condition!$F$18,Condition!$D$18,IF(GZ22&gt;Condition!$E$19,Condition!$D$19,"")))))</f>
        <v>0</v>
      </c>
      <c r="HA65" s="85">
        <f>IF(HA22&lt;=Condition!$E$16,0,IF(HA22&lt;=Condition!$F$16,Condition!$D$16,IF(HA22&lt;=Condition!$F$17,Condition!$D$17,IF(HA22&lt;=Condition!$F$18,Condition!$D$18,IF(HA22&gt;Condition!$E$19,Condition!$D$19,"")))))</f>
        <v>0</v>
      </c>
      <c r="HB65" s="85">
        <f>IF(HB22&lt;=Condition!$E$16,0,IF(HB22&lt;=Condition!$F$16,Condition!$D$16,IF(HB22&lt;=Condition!$F$17,Condition!$D$17,IF(HB22&lt;=Condition!$F$18,Condition!$D$18,IF(HB22&gt;Condition!$E$19,Condition!$D$19,"")))))</f>
        <v>0</v>
      </c>
      <c r="HC65" s="85">
        <f>IF(HC22&lt;=Condition!$E$16,0,IF(HC22&lt;=Condition!$F$16,Condition!$D$16,IF(HC22&lt;=Condition!$F$17,Condition!$D$17,IF(HC22&lt;=Condition!$F$18,Condition!$D$18,IF(HC22&gt;Condition!$E$19,Condition!$D$19,"")))))</f>
        <v>0</v>
      </c>
      <c r="HD65" s="85">
        <f>IF(HD22&lt;=Condition!$E$16,0,IF(HD22&lt;=Condition!$F$16,Condition!$D$16,IF(HD22&lt;=Condition!$F$17,Condition!$D$17,IF(HD22&lt;=Condition!$F$18,Condition!$D$18,IF(HD22&gt;Condition!$E$19,Condition!$D$19,"")))))</f>
        <v>0</v>
      </c>
      <c r="HE65" s="85">
        <f>IF(HE22&lt;=Condition!$E$16,0,IF(HE22&lt;=Condition!$F$16,Condition!$D$16,IF(HE22&lt;=Condition!$F$17,Condition!$D$17,IF(HE22&lt;=Condition!$F$18,Condition!$D$18,IF(HE22&gt;Condition!$E$19,Condition!$D$19,"")))))</f>
        <v>0</v>
      </c>
      <c r="HF65" s="85">
        <f>IF(HF22&lt;=Condition!$E$16,0,IF(HF22&lt;=Condition!$F$16,Condition!$D$16,IF(HF22&lt;=Condition!$F$17,Condition!$D$17,IF(HF22&lt;=Condition!$F$18,Condition!$D$18,IF(HF22&gt;Condition!$E$19,Condition!$D$19,"")))))</f>
        <v>0</v>
      </c>
      <c r="HG65" s="85">
        <f>IF(HG22&lt;=Condition!$E$16,0,IF(HG22&lt;=Condition!$F$16,Condition!$D$16,IF(HG22&lt;=Condition!$F$17,Condition!$D$17,IF(HG22&lt;=Condition!$F$18,Condition!$D$18,IF(HG22&gt;Condition!$E$19,Condition!$D$19,"")))))</f>
        <v>0</v>
      </c>
      <c r="HH65" s="85">
        <f>IF(HH22&lt;=Condition!$E$16,0,IF(HH22&lt;=Condition!$F$16,Condition!$D$16,IF(HH22&lt;=Condition!$F$17,Condition!$D$17,IF(HH22&lt;=Condition!$F$18,Condition!$D$18,IF(HH22&gt;Condition!$E$19,Condition!$D$19,"")))))</f>
        <v>0</v>
      </c>
      <c r="HI65" s="85">
        <f>IF(HI22&lt;=Condition!$E$16,0,IF(HI22&lt;=Condition!$F$16,Condition!$D$16,IF(HI22&lt;=Condition!$F$17,Condition!$D$17,IF(HI22&lt;=Condition!$F$18,Condition!$D$18,IF(HI22&gt;Condition!$E$19,Condition!$D$19,"")))))</f>
        <v>0</v>
      </c>
      <c r="HJ65" s="85">
        <f>IF(HJ22&lt;=Condition!$E$16,0,IF(HJ22&lt;=Condition!$F$16,Condition!$D$16,IF(HJ22&lt;=Condition!$F$17,Condition!$D$17,IF(HJ22&lt;=Condition!$F$18,Condition!$D$18,IF(HJ22&gt;Condition!$E$19,Condition!$D$19,"")))))</f>
        <v>0</v>
      </c>
      <c r="HK65" s="85">
        <f>IF(HK22&lt;=Condition!$E$16,0,IF(HK22&lt;=Condition!$F$16,Condition!$D$16,IF(HK22&lt;=Condition!$F$17,Condition!$D$17,IF(HK22&lt;=Condition!$F$18,Condition!$D$18,IF(HK22&gt;Condition!$E$19,Condition!$D$19,"")))))</f>
        <v>0</v>
      </c>
      <c r="HL65" s="85">
        <f>IF(HL22&lt;=Condition!$E$16,0,IF(HL22&lt;=Condition!$F$16,Condition!$D$16,IF(HL22&lt;=Condition!$F$17,Condition!$D$17,IF(HL22&lt;=Condition!$F$18,Condition!$D$18,IF(HL22&gt;Condition!$E$19,Condition!$D$19,"")))))</f>
        <v>0</v>
      </c>
      <c r="HM65" s="85">
        <f>IF(HM22&lt;=Condition!$E$16,0,IF(HM22&lt;=Condition!$F$16,Condition!$D$16,IF(HM22&lt;=Condition!$F$17,Condition!$D$17,IF(HM22&lt;=Condition!$F$18,Condition!$D$18,IF(HM22&gt;Condition!$E$19,Condition!$D$19,"")))))</f>
        <v>0</v>
      </c>
      <c r="HN65" s="85">
        <f>IF(HN22&lt;=Condition!$E$16,0,IF(HN22&lt;=Condition!$F$16,Condition!$D$16,IF(HN22&lt;=Condition!$F$17,Condition!$D$17,IF(HN22&lt;=Condition!$F$18,Condition!$D$18,IF(HN22&gt;Condition!$E$19,Condition!$D$19,"")))))</f>
        <v>0</v>
      </c>
      <c r="HO65" s="85">
        <f>IF(HO22&lt;=Condition!$E$16,0,IF(HO22&lt;=Condition!$F$16,Condition!$D$16,IF(HO22&lt;=Condition!$F$17,Condition!$D$17,IF(HO22&lt;=Condition!$F$18,Condition!$D$18,IF(HO22&gt;Condition!$E$19,Condition!$D$19,"")))))</f>
        <v>0</v>
      </c>
      <c r="HP65" s="85">
        <f>IF(HP22&lt;=Condition!$E$16,0,IF(HP22&lt;=Condition!$F$16,Condition!$D$16,IF(HP22&lt;=Condition!$F$17,Condition!$D$17,IF(HP22&lt;=Condition!$F$18,Condition!$D$18,IF(HP22&gt;Condition!$E$19,Condition!$D$19,"")))))</f>
        <v>0</v>
      </c>
      <c r="HQ65" s="85">
        <f>IF(HQ22&lt;=Condition!$E$16,0,IF(HQ22&lt;=Condition!$F$16,Condition!$D$16,IF(HQ22&lt;=Condition!$F$17,Condition!$D$17,IF(HQ22&lt;=Condition!$F$18,Condition!$D$18,IF(HQ22&gt;Condition!$E$19,Condition!$D$19,"")))))</f>
        <v>0</v>
      </c>
      <c r="HR65" s="85">
        <f>IF(HR22&lt;=Condition!$E$16,0,IF(HR22&lt;=Condition!$F$16,Condition!$D$16,IF(HR22&lt;=Condition!$F$17,Condition!$D$17,IF(HR22&lt;=Condition!$F$18,Condition!$D$18,IF(HR22&gt;Condition!$E$19,Condition!$D$19,"")))))</f>
        <v>0</v>
      </c>
      <c r="HS65" s="85">
        <f>IF(HS22&lt;=Condition!$E$16,0,IF(HS22&lt;=Condition!$F$16,Condition!$D$16,IF(HS22&lt;=Condition!$F$17,Condition!$D$17,IF(HS22&lt;=Condition!$F$18,Condition!$D$18,IF(HS22&gt;Condition!$E$19,Condition!$D$19,"")))))</f>
        <v>0</v>
      </c>
      <c r="HT65" s="85">
        <f>IF(HT22&lt;=Condition!$E$16,0,IF(HT22&lt;=Condition!$F$16,Condition!$D$16,IF(HT22&lt;=Condition!$F$17,Condition!$D$17,IF(HT22&lt;=Condition!$F$18,Condition!$D$18,IF(HT22&gt;Condition!$E$19,Condition!$D$19,"")))))</f>
        <v>0</v>
      </c>
      <c r="HU65" s="85">
        <f>IF(HU22&lt;=Condition!$E$16,0,IF(HU22&lt;=Condition!$F$16,Condition!$D$16,IF(HU22&lt;=Condition!$F$17,Condition!$D$17,IF(HU22&lt;=Condition!$F$18,Condition!$D$18,IF(HU22&gt;Condition!$E$19,Condition!$D$19,"")))))</f>
        <v>0</v>
      </c>
      <c r="HV65" s="85">
        <f>IF(HV22&lt;=Condition!$E$16,0,IF(HV22&lt;=Condition!$F$16,Condition!$D$16,IF(HV22&lt;=Condition!$F$17,Condition!$D$17,IF(HV22&lt;=Condition!$F$18,Condition!$D$18,IF(HV22&gt;Condition!$E$19,Condition!$D$19,"")))))</f>
        <v>0</v>
      </c>
      <c r="HW65" s="85">
        <f>IF(HW22&lt;=Condition!$E$16,0,IF(HW22&lt;=Condition!$F$16,Condition!$D$16,IF(HW22&lt;=Condition!$F$17,Condition!$D$17,IF(HW22&lt;=Condition!$F$18,Condition!$D$18,IF(HW22&gt;Condition!$E$19,Condition!$D$19,"")))))</f>
        <v>0</v>
      </c>
      <c r="HX65" s="85">
        <f>IF(HX22&lt;=Condition!$E$16,0,IF(HX22&lt;=Condition!$F$16,Condition!$D$16,IF(HX22&lt;=Condition!$F$17,Condition!$D$17,IF(HX22&lt;=Condition!$F$18,Condition!$D$18,IF(HX22&gt;Condition!$E$19,Condition!$D$19,"")))))</f>
        <v>0</v>
      </c>
      <c r="HY65" s="85">
        <f>IF(HY22&lt;=Condition!$E$16,0,IF(HY22&lt;=Condition!$F$16,Condition!$D$16,IF(HY22&lt;=Condition!$F$17,Condition!$D$17,IF(HY22&lt;=Condition!$F$18,Condition!$D$18,IF(HY22&gt;Condition!$E$19,Condition!$D$19,"")))))</f>
        <v>0</v>
      </c>
      <c r="HZ65" s="85">
        <f>IF(HZ22&lt;=Condition!$E$16,0,IF(HZ22&lt;=Condition!$F$16,Condition!$D$16,IF(HZ22&lt;=Condition!$F$17,Condition!$D$17,IF(HZ22&lt;=Condition!$F$18,Condition!$D$18,IF(HZ22&gt;Condition!$E$19,Condition!$D$19,"")))))</f>
        <v>0</v>
      </c>
      <c r="IA65" s="85">
        <f>IF(IA22&lt;=Condition!$E$16,0,IF(IA22&lt;=Condition!$F$16,Condition!$D$16,IF(IA22&lt;=Condition!$F$17,Condition!$D$17,IF(IA22&lt;=Condition!$F$18,Condition!$D$18,IF(IA22&gt;Condition!$E$19,Condition!$D$19,"")))))</f>
        <v>0</v>
      </c>
      <c r="IB65" s="85">
        <f>IF(IB22&lt;=Condition!$E$16,0,IF(IB22&lt;=Condition!$F$16,Condition!$D$16,IF(IB22&lt;=Condition!$F$17,Condition!$D$17,IF(IB22&lt;=Condition!$F$18,Condition!$D$18,IF(IB22&gt;Condition!$E$19,Condition!$D$19,"")))))</f>
        <v>0</v>
      </c>
      <c r="IC65" s="85">
        <f>IF(IC22&lt;=Condition!$E$16,0,IF(IC22&lt;=Condition!$F$16,Condition!$D$16,IF(IC22&lt;=Condition!$F$17,Condition!$D$17,IF(IC22&lt;=Condition!$F$18,Condition!$D$18,IF(IC22&gt;Condition!$E$19,Condition!$D$19,"")))))</f>
        <v>0</v>
      </c>
      <c r="ID65" s="85">
        <f>IF(ID22&lt;=Condition!$E$16,0,IF(ID22&lt;=Condition!$F$16,Condition!$D$16,IF(ID22&lt;=Condition!$F$17,Condition!$D$17,IF(ID22&lt;=Condition!$F$18,Condition!$D$18,IF(ID22&gt;Condition!$E$19,Condition!$D$19,"")))))</f>
        <v>0</v>
      </c>
      <c r="IE65" s="85">
        <f>IF(IE22&lt;=Condition!$E$16,0,IF(IE22&lt;=Condition!$F$16,Condition!$D$16,IF(IE22&lt;=Condition!$F$17,Condition!$D$17,IF(IE22&lt;=Condition!$F$18,Condition!$D$18,IF(IE22&gt;Condition!$E$19,Condition!$D$19,"")))))</f>
        <v>0</v>
      </c>
      <c r="IF65" s="85">
        <f>IF(IF22&lt;=Condition!$E$16,0,IF(IF22&lt;=Condition!$F$16,Condition!$D$16,IF(IF22&lt;=Condition!$F$17,Condition!$D$17,IF(IF22&lt;=Condition!$F$18,Condition!$D$18,IF(IF22&gt;Condition!$E$19,Condition!$D$19,"")))))</f>
        <v>0</v>
      </c>
      <c r="IG65" s="85">
        <f>IF(IG22&lt;=Condition!$E$16,0,IF(IG22&lt;=Condition!$F$16,Condition!$D$16,IF(IG22&lt;=Condition!$F$17,Condition!$D$17,IF(IG22&lt;=Condition!$F$18,Condition!$D$18,IF(IG22&gt;Condition!$E$19,Condition!$D$19,"")))))</f>
        <v>0</v>
      </c>
      <c r="IH65" s="85">
        <f>IF(IH22&lt;=Condition!$E$16,0,IF(IH22&lt;=Condition!$F$16,Condition!$D$16,IF(IH22&lt;=Condition!$F$17,Condition!$D$17,IF(IH22&lt;=Condition!$F$18,Condition!$D$18,IF(IH22&gt;Condition!$E$19,Condition!$D$19,"")))))</f>
        <v>0</v>
      </c>
      <c r="II65" s="85">
        <f>IF(II22&lt;=Condition!$E$16,0,IF(II22&lt;=Condition!$F$16,Condition!$D$16,IF(II22&lt;=Condition!$F$17,Condition!$D$17,IF(II22&lt;=Condition!$F$18,Condition!$D$18,IF(II22&gt;Condition!$E$19,Condition!$D$19,"")))))</f>
        <v>0</v>
      </c>
      <c r="IJ65" s="85">
        <f>IF(IJ22&lt;=Condition!$E$16,0,IF(IJ22&lt;=Condition!$F$16,Condition!$D$16,IF(IJ22&lt;=Condition!$F$17,Condition!$D$17,IF(IJ22&lt;=Condition!$F$18,Condition!$D$18,IF(IJ22&gt;Condition!$E$19,Condition!$D$19,"")))))</f>
        <v>0</v>
      </c>
      <c r="IK65" s="85">
        <f>IF(IK22&lt;=Condition!$E$16,0,IF(IK22&lt;=Condition!$F$16,Condition!$D$16,IF(IK22&lt;=Condition!$F$17,Condition!$D$17,IF(IK22&lt;=Condition!$F$18,Condition!$D$18,IF(IK22&gt;Condition!$E$19,Condition!$D$19,"")))))</f>
        <v>0</v>
      </c>
      <c r="IL65" s="85">
        <f>IF(IL22&lt;=Condition!$E$16,0,IF(IL22&lt;=Condition!$F$16,Condition!$D$16,IF(IL22&lt;=Condition!$F$17,Condition!$D$17,IF(IL22&lt;=Condition!$F$18,Condition!$D$18,IF(IL22&gt;Condition!$E$19,Condition!$D$19,"")))))</f>
        <v>0</v>
      </c>
      <c r="IM65" s="85">
        <f>IF(IM22&lt;=Condition!$E$16,0,IF(IM22&lt;=Condition!$F$16,Condition!$D$16,IF(IM22&lt;=Condition!$F$17,Condition!$D$17,IF(IM22&lt;=Condition!$F$18,Condition!$D$18,IF(IM22&gt;Condition!$E$19,Condition!$D$19,"")))))</f>
        <v>0</v>
      </c>
      <c r="IN65" s="85">
        <f>IF(IN22&lt;=Condition!$E$16,0,IF(IN22&lt;=Condition!$F$16,Condition!$D$16,IF(IN22&lt;=Condition!$F$17,Condition!$D$17,IF(IN22&lt;=Condition!$F$18,Condition!$D$18,IF(IN22&gt;Condition!$E$19,Condition!$D$19,"")))))</f>
        <v>0</v>
      </c>
      <c r="IO65" s="85">
        <f>IF(IO22&lt;=Condition!$E$16,0,IF(IO22&lt;=Condition!$F$16,Condition!$D$16,IF(IO22&lt;=Condition!$F$17,Condition!$D$17,IF(IO22&lt;=Condition!$F$18,Condition!$D$18,IF(IO22&gt;Condition!$E$19,Condition!$D$19,"")))))</f>
        <v>0</v>
      </c>
      <c r="IP65" s="85">
        <f>IF(IP22&lt;=Condition!$E$16,0,IF(IP22&lt;=Condition!$F$16,Condition!$D$16,IF(IP22&lt;=Condition!$F$17,Condition!$D$17,IF(IP22&lt;=Condition!$F$18,Condition!$D$18,IF(IP22&gt;Condition!$E$19,Condition!$D$19,"")))))</f>
        <v>0</v>
      </c>
      <c r="IQ65" s="85">
        <f>IF(IQ22&lt;=Condition!$E$16,0,IF(IQ22&lt;=Condition!$F$16,Condition!$D$16,IF(IQ22&lt;=Condition!$F$17,Condition!$D$17,IF(IQ22&lt;=Condition!$F$18,Condition!$D$18,IF(IQ22&gt;Condition!$E$19,Condition!$D$19,"")))))</f>
        <v>0</v>
      </c>
      <c r="IR65" s="85">
        <f>IF(IR22&lt;=Condition!$E$16,0,IF(IR22&lt;=Condition!$F$16,Condition!$D$16,IF(IR22&lt;=Condition!$F$17,Condition!$D$17,IF(IR22&lt;=Condition!$F$18,Condition!$D$18,IF(IR22&gt;Condition!$E$19,Condition!$D$19,"")))))</f>
        <v>0</v>
      </c>
      <c r="IS65" s="85">
        <f>IF(IS22&lt;=Condition!$E$16,0,IF(IS22&lt;=Condition!$F$16,Condition!$D$16,IF(IS22&lt;=Condition!$F$17,Condition!$D$17,IF(IS22&lt;=Condition!$F$18,Condition!$D$18,IF(IS22&gt;Condition!$E$19,Condition!$D$19,"")))))</f>
        <v>0</v>
      </c>
      <c r="IT65" s="85">
        <f>IF(IT22&lt;=Condition!$E$16,0,IF(IT22&lt;=Condition!$F$16,Condition!$D$16,IF(IT22&lt;=Condition!$F$17,Condition!$D$17,IF(IT22&lt;=Condition!$F$18,Condition!$D$18,IF(IT22&gt;Condition!$E$19,Condition!$D$19,"")))))</f>
        <v>0</v>
      </c>
      <c r="IU65" s="85">
        <f>IF(IU22&lt;=Condition!$E$16,0,IF(IU22&lt;=Condition!$F$16,Condition!$D$16,IF(IU22&lt;=Condition!$F$17,Condition!$D$17,IF(IU22&lt;=Condition!$F$18,Condition!$D$18,IF(IU22&gt;Condition!$E$19,Condition!$D$19,"")))))</f>
        <v>0</v>
      </c>
      <c r="IV65" s="85">
        <f>IF(IV22&lt;=Condition!$E$16,0,IF(IV22&lt;=Condition!$F$16,Condition!$D$16,IF(IV22&lt;=Condition!$F$17,Condition!$D$17,IF(IV22&lt;=Condition!$F$18,Condition!$D$18,IF(IV22&gt;Condition!$E$19,Condition!$D$19,"")))))</f>
        <v>0</v>
      </c>
      <c r="IW65" s="85">
        <f>IF(IW22&lt;=Condition!$E$16,0,IF(IW22&lt;=Condition!$F$16,Condition!$D$16,IF(IW22&lt;=Condition!$F$17,Condition!$D$17,IF(IW22&lt;=Condition!$F$18,Condition!$D$18,IF(IW22&gt;Condition!$E$19,Condition!$D$19,"")))))</f>
        <v>0</v>
      </c>
      <c r="IX65" s="85">
        <f>IF(IX22&lt;=Condition!$E$16,0,IF(IX22&lt;=Condition!$F$16,Condition!$D$16,IF(IX22&lt;=Condition!$F$17,Condition!$D$17,IF(IX22&lt;=Condition!$F$18,Condition!$D$18,IF(IX22&gt;Condition!$E$19,Condition!$D$19,"")))))</f>
        <v>0</v>
      </c>
      <c r="IY65" s="85">
        <f>IF(IY22&lt;=Condition!$E$16,0,IF(IY22&lt;=Condition!$F$16,Condition!$D$16,IF(IY22&lt;=Condition!$F$17,Condition!$D$17,IF(IY22&lt;=Condition!$F$18,Condition!$D$18,IF(IY22&gt;Condition!$E$19,Condition!$D$19,"")))))</f>
        <v>0</v>
      </c>
      <c r="IZ65" s="85">
        <f>IF(IZ22&lt;=Condition!$E$16,0,IF(IZ22&lt;=Condition!$F$16,Condition!$D$16,IF(IZ22&lt;=Condition!$F$17,Condition!$D$17,IF(IZ22&lt;=Condition!$F$18,Condition!$D$18,IF(IZ22&gt;Condition!$E$19,Condition!$D$19,"")))))</f>
        <v>0</v>
      </c>
      <c r="JA65" s="85">
        <f>IF(JA22&lt;=Condition!$E$16,0,IF(JA22&lt;=Condition!$F$16,Condition!$D$16,IF(JA22&lt;=Condition!$F$17,Condition!$D$17,IF(JA22&lt;=Condition!$F$18,Condition!$D$18,IF(JA22&gt;Condition!$E$19,Condition!$D$19,"")))))</f>
        <v>0</v>
      </c>
      <c r="JB65" s="85">
        <f>IF(JB22&lt;=Condition!$E$16,0,IF(JB22&lt;=Condition!$F$16,Condition!$D$16,IF(JB22&lt;=Condition!$F$17,Condition!$D$17,IF(JB22&lt;=Condition!$F$18,Condition!$D$18,IF(JB22&gt;Condition!$E$19,Condition!$D$19,"")))))</f>
        <v>0</v>
      </c>
      <c r="JC65" s="85">
        <f>IF(JC22&lt;=Condition!$E$16,0,IF(JC22&lt;=Condition!$F$16,Condition!$D$16,IF(JC22&lt;=Condition!$F$17,Condition!$D$17,IF(JC22&lt;=Condition!$F$18,Condition!$D$18,IF(JC22&gt;Condition!$E$19,Condition!$D$19,"")))))</f>
        <v>0</v>
      </c>
      <c r="JD65" s="85">
        <f>IF(JD22&lt;=Condition!$E$16,0,IF(JD22&lt;=Condition!$F$16,Condition!$D$16,IF(JD22&lt;=Condition!$F$17,Condition!$D$17,IF(JD22&lt;=Condition!$F$18,Condition!$D$18,IF(JD22&gt;Condition!$E$19,Condition!$D$19,"")))))</f>
        <v>0</v>
      </c>
      <c r="JE65" s="85">
        <f>IF(JE22&lt;=Condition!$E$16,0,IF(JE22&lt;=Condition!$F$16,Condition!$D$16,IF(JE22&lt;=Condition!$F$17,Condition!$D$17,IF(JE22&lt;=Condition!$F$18,Condition!$D$18,IF(JE22&gt;Condition!$E$19,Condition!$D$19,"")))))</f>
        <v>0</v>
      </c>
      <c r="JF65" s="85">
        <f>IF(JF22&lt;=Condition!$E$16,0,IF(JF22&lt;=Condition!$F$16,Condition!$D$16,IF(JF22&lt;=Condition!$F$17,Condition!$D$17,IF(JF22&lt;=Condition!$F$18,Condition!$D$18,IF(JF22&gt;Condition!$E$19,Condition!$D$19,"")))))</f>
        <v>0</v>
      </c>
      <c r="JG65" s="85">
        <f>IF(JG22&lt;=Condition!$E$16,0,IF(JG22&lt;=Condition!$F$16,Condition!$D$16,IF(JG22&lt;=Condition!$F$17,Condition!$D$17,IF(JG22&lt;=Condition!$F$18,Condition!$D$18,IF(JG22&gt;Condition!$E$19,Condition!$D$19,"")))))</f>
        <v>0</v>
      </c>
      <c r="JH65" s="85">
        <f>IF(JH22&lt;=Condition!$E$16,0,IF(JH22&lt;=Condition!$F$16,Condition!$D$16,IF(JH22&lt;=Condition!$F$17,Condition!$D$17,IF(JH22&lt;=Condition!$F$18,Condition!$D$18,IF(JH22&gt;Condition!$E$19,Condition!$D$19,"")))))</f>
        <v>0</v>
      </c>
      <c r="JI65" s="85">
        <f>IF(JI22&lt;=Condition!$E$16,0,IF(JI22&lt;=Condition!$F$16,Condition!$D$16,IF(JI22&lt;=Condition!$F$17,Condition!$D$17,IF(JI22&lt;=Condition!$F$18,Condition!$D$18,IF(JI22&gt;Condition!$E$19,Condition!$D$19,"")))))</f>
        <v>0</v>
      </c>
      <c r="JJ65" s="85">
        <f>IF(JJ22&lt;=Condition!$E$16,0,IF(JJ22&lt;=Condition!$F$16,Condition!$D$16,IF(JJ22&lt;=Condition!$F$17,Condition!$D$17,IF(JJ22&lt;=Condition!$F$18,Condition!$D$18,IF(JJ22&gt;Condition!$E$19,Condition!$D$19,"")))))</f>
        <v>0</v>
      </c>
      <c r="JK65" s="85">
        <f>IF(JK22&lt;=Condition!$E$16,0,IF(JK22&lt;=Condition!$F$16,Condition!$D$16,IF(JK22&lt;=Condition!$F$17,Condition!$D$17,IF(JK22&lt;=Condition!$F$18,Condition!$D$18,IF(JK22&gt;Condition!$E$19,Condition!$D$19,"")))))</f>
        <v>0</v>
      </c>
      <c r="JL65" s="85">
        <f>IF(JL22&lt;=Condition!$E$16,0,IF(JL22&lt;=Condition!$F$16,Condition!$D$16,IF(JL22&lt;=Condition!$F$17,Condition!$D$17,IF(JL22&lt;=Condition!$F$18,Condition!$D$18,IF(JL22&gt;Condition!$E$19,Condition!$D$19,"")))))</f>
        <v>0</v>
      </c>
      <c r="JM65" s="85">
        <f>IF(JM22&lt;=Condition!$E$16,0,IF(JM22&lt;=Condition!$F$16,Condition!$D$16,IF(JM22&lt;=Condition!$F$17,Condition!$D$17,IF(JM22&lt;=Condition!$F$18,Condition!$D$18,IF(JM22&gt;Condition!$E$19,Condition!$D$19,"")))))</f>
        <v>0</v>
      </c>
      <c r="JN65" s="85">
        <f>IF(JN22&lt;=Condition!$E$16,0,IF(JN22&lt;=Condition!$F$16,Condition!$D$16,IF(JN22&lt;=Condition!$F$17,Condition!$D$17,IF(JN22&lt;=Condition!$F$18,Condition!$D$18,IF(JN22&gt;Condition!$E$19,Condition!$D$19,"")))))</f>
        <v>0</v>
      </c>
      <c r="JO65" s="85">
        <f>IF(JO22&lt;=Condition!$E$16,0,IF(JO22&lt;=Condition!$F$16,Condition!$D$16,IF(JO22&lt;=Condition!$F$17,Condition!$D$17,IF(JO22&lt;=Condition!$F$18,Condition!$D$18,IF(JO22&gt;Condition!$E$19,Condition!$D$19,"")))))</f>
        <v>0</v>
      </c>
      <c r="JP65" s="85">
        <f>IF(JP22&lt;=Condition!$E$16,0,IF(JP22&lt;=Condition!$F$16,Condition!$D$16,IF(JP22&lt;=Condition!$F$17,Condition!$D$17,IF(JP22&lt;=Condition!$F$18,Condition!$D$18,IF(JP22&gt;Condition!$E$19,Condition!$D$19,"")))))</f>
        <v>0</v>
      </c>
      <c r="JQ65" s="85">
        <f>IF(JQ22&lt;=Condition!$E$16,0,IF(JQ22&lt;=Condition!$F$16,Condition!$D$16,IF(JQ22&lt;=Condition!$F$17,Condition!$D$17,IF(JQ22&lt;=Condition!$F$18,Condition!$D$18,IF(JQ22&gt;Condition!$E$19,Condition!$D$19,"")))))</f>
        <v>0</v>
      </c>
      <c r="JR65" s="85">
        <f>IF(JR22&lt;=Condition!$E$16,0,IF(JR22&lt;=Condition!$F$16,Condition!$D$16,IF(JR22&lt;=Condition!$F$17,Condition!$D$17,IF(JR22&lt;=Condition!$F$18,Condition!$D$18,IF(JR22&gt;Condition!$E$19,Condition!$D$19,"")))))</f>
        <v>0</v>
      </c>
      <c r="JS65" s="85">
        <f>IF(JS22&lt;=Condition!$E$16,0,IF(JS22&lt;=Condition!$F$16,Condition!$D$16,IF(JS22&lt;=Condition!$F$17,Condition!$D$17,IF(JS22&lt;=Condition!$F$18,Condition!$D$18,IF(JS22&gt;Condition!$E$19,Condition!$D$19,"")))))</f>
        <v>0</v>
      </c>
      <c r="JT65" s="85">
        <f>IF(JT22&lt;=Condition!$E$16,0,IF(JT22&lt;=Condition!$F$16,Condition!$D$16,IF(JT22&lt;=Condition!$F$17,Condition!$D$17,IF(JT22&lt;=Condition!$F$18,Condition!$D$18,IF(JT22&gt;Condition!$E$19,Condition!$D$19,"")))))</f>
        <v>0</v>
      </c>
      <c r="JU65" s="85">
        <f>IF(JU22&lt;=Condition!$E$16,0,IF(JU22&lt;=Condition!$F$16,Condition!$D$16,IF(JU22&lt;=Condition!$F$17,Condition!$D$17,IF(JU22&lt;=Condition!$F$18,Condition!$D$18,IF(JU22&gt;Condition!$E$19,Condition!$D$19,"")))))</f>
        <v>0</v>
      </c>
      <c r="JV65" s="85">
        <f>IF(JV22&lt;=Condition!$E$16,0,IF(JV22&lt;=Condition!$F$16,Condition!$D$16,IF(JV22&lt;=Condition!$F$17,Condition!$D$17,IF(JV22&lt;=Condition!$F$18,Condition!$D$18,IF(JV22&gt;Condition!$E$19,Condition!$D$19,"")))))</f>
        <v>0</v>
      </c>
      <c r="JW65" s="85">
        <f>IF(JW22&lt;=Condition!$E$16,0,IF(JW22&lt;=Condition!$F$16,Condition!$D$16,IF(JW22&lt;=Condition!$F$17,Condition!$D$17,IF(JW22&lt;=Condition!$F$18,Condition!$D$18,IF(JW22&gt;Condition!$E$19,Condition!$D$19,"")))))</f>
        <v>0</v>
      </c>
      <c r="JX65" s="85">
        <f>IF(JX22&lt;=Condition!$E$16,0,IF(JX22&lt;=Condition!$F$16,Condition!$D$16,IF(JX22&lt;=Condition!$F$17,Condition!$D$17,IF(JX22&lt;=Condition!$F$18,Condition!$D$18,IF(JX22&gt;Condition!$E$19,Condition!$D$19,"")))))</f>
        <v>0</v>
      </c>
      <c r="JY65" s="85">
        <f>IF(JY22&lt;=Condition!$E$16,0,IF(JY22&lt;=Condition!$F$16,Condition!$D$16,IF(JY22&lt;=Condition!$F$17,Condition!$D$17,IF(JY22&lt;=Condition!$F$18,Condition!$D$18,IF(JY22&gt;Condition!$E$19,Condition!$D$19,"")))))</f>
        <v>0</v>
      </c>
      <c r="JZ65" s="85">
        <f>IF(JZ22&lt;=Condition!$E$16,0,IF(JZ22&lt;=Condition!$F$16,Condition!$D$16,IF(JZ22&lt;=Condition!$F$17,Condition!$D$17,IF(JZ22&lt;=Condition!$F$18,Condition!$D$18,IF(JZ22&gt;Condition!$E$19,Condition!$D$19,"")))))</f>
        <v>0</v>
      </c>
      <c r="KA65" s="85">
        <f>IF(KA22&lt;=Condition!$E$16,0,IF(KA22&lt;=Condition!$F$16,Condition!$D$16,IF(KA22&lt;=Condition!$F$17,Condition!$D$17,IF(KA22&lt;=Condition!$F$18,Condition!$D$18,IF(KA22&gt;Condition!$E$19,Condition!$D$19,"")))))</f>
        <v>0</v>
      </c>
      <c r="KB65" s="85">
        <f>IF(KB22&lt;=Condition!$E$16,0,IF(KB22&lt;=Condition!$F$16,Condition!$D$16,IF(KB22&lt;=Condition!$F$17,Condition!$D$17,IF(KB22&lt;=Condition!$F$18,Condition!$D$18,IF(KB22&gt;Condition!$E$19,Condition!$D$19,"")))))</f>
        <v>0</v>
      </c>
      <c r="KC65" s="85">
        <f>IF(KC22&lt;=Condition!$E$16,0,IF(KC22&lt;=Condition!$F$16,Condition!$D$16,IF(KC22&lt;=Condition!$F$17,Condition!$D$17,IF(KC22&lt;=Condition!$F$18,Condition!$D$18,IF(KC22&gt;Condition!$E$19,Condition!$D$19,"")))))</f>
        <v>0</v>
      </c>
      <c r="KD65" s="85">
        <f>IF(KD22&lt;=Condition!$E$16,0,IF(KD22&lt;=Condition!$F$16,Condition!$D$16,IF(KD22&lt;=Condition!$F$17,Condition!$D$17,IF(KD22&lt;=Condition!$F$18,Condition!$D$18,IF(KD22&gt;Condition!$E$19,Condition!$D$19,"")))))</f>
        <v>0</v>
      </c>
      <c r="KE65" s="85">
        <f>IF(KE22&lt;=Condition!$E$16,0,IF(KE22&lt;=Condition!$F$16,Condition!$D$16,IF(KE22&lt;=Condition!$F$17,Condition!$D$17,IF(KE22&lt;=Condition!$F$18,Condition!$D$18,IF(KE22&gt;Condition!$E$19,Condition!$D$19,"")))))</f>
        <v>0</v>
      </c>
      <c r="KF65" s="85">
        <f>IF(KF22&lt;=Condition!$E$16,0,IF(KF22&lt;=Condition!$F$16,Condition!$D$16,IF(KF22&lt;=Condition!$F$17,Condition!$D$17,IF(KF22&lt;=Condition!$F$18,Condition!$D$18,IF(KF22&gt;Condition!$E$19,Condition!$D$19,"")))))</f>
        <v>0</v>
      </c>
      <c r="KG65" s="85">
        <f>IF(KG22&lt;=Condition!$E$16,0,IF(KG22&lt;=Condition!$F$16,Condition!$D$16,IF(KG22&lt;=Condition!$F$17,Condition!$D$17,IF(KG22&lt;=Condition!$F$18,Condition!$D$18,IF(KG22&gt;Condition!$E$19,Condition!$D$19,"")))))</f>
        <v>0</v>
      </c>
      <c r="KH65" s="85">
        <f>IF(KH22&lt;=Condition!$E$16,0,IF(KH22&lt;=Condition!$F$16,Condition!$D$16,IF(KH22&lt;=Condition!$F$17,Condition!$D$17,IF(KH22&lt;=Condition!$F$18,Condition!$D$18,IF(KH22&gt;Condition!$E$19,Condition!$D$19,"")))))</f>
        <v>0</v>
      </c>
      <c r="KI65" s="85">
        <f>IF(KI22&lt;=Condition!$E$16,0,IF(KI22&lt;=Condition!$F$16,Condition!$D$16,IF(KI22&lt;=Condition!$F$17,Condition!$D$17,IF(KI22&lt;=Condition!$F$18,Condition!$D$18,IF(KI22&gt;Condition!$E$19,Condition!$D$19,"")))))</f>
        <v>0</v>
      </c>
    </row>
    <row r="66" spans="2:295" x14ac:dyDescent="0.25">
      <c r="B66" s="15">
        <f t="shared" ref="B66:E66" si="21">B23</f>
        <v>11</v>
      </c>
      <c r="C66" s="25" t="str">
        <f t="shared" si="21"/>
        <v>DSL-DHK</v>
      </c>
      <c r="D66" s="25" t="str">
        <f t="shared" si="21"/>
        <v>Md. Habibur Rahman</v>
      </c>
      <c r="E66" s="26">
        <f t="shared" si="21"/>
        <v>6079</v>
      </c>
      <c r="F66" s="112">
        <f t="shared" si="4"/>
        <v>0</v>
      </c>
      <c r="G66" s="112">
        <f t="shared" si="5"/>
        <v>400</v>
      </c>
      <c r="H66" s="85">
        <f>IF(H23&lt;=Condition!$E$16,0,IF(H23&lt;=Condition!$F$16,Condition!$D$16,IF(H23&lt;=Condition!$F$17,Condition!$D$17,IF(H23&lt;=Condition!$F$18,Condition!$D$18,IF(H23&gt;Condition!$E$19,Condition!$D$19,"")))))</f>
        <v>0</v>
      </c>
      <c r="I66" s="85">
        <f>IF(I23&lt;=Condition!$E$16,0,IF(I23&lt;=Condition!$F$16,Condition!$D$16,IF(I23&lt;=Condition!$F$17,Condition!$D$17,IF(I23&lt;=Condition!$F$18,Condition!$D$18,IF(I23&gt;Condition!$E$19,Condition!$D$19,"")))))</f>
        <v>400</v>
      </c>
      <c r="J66" s="85">
        <f>IF(J23&lt;=Condition!$E$16,0,IF(J23&lt;=Condition!$F$16,Condition!$D$16,IF(J23&lt;=Condition!$F$17,Condition!$D$17,IF(J23&lt;=Condition!$F$18,Condition!$D$18,IF(J23&gt;Condition!$E$19,Condition!$D$19,"")))))</f>
        <v>0</v>
      </c>
      <c r="K66" s="85">
        <f>IF(K23&lt;=Condition!$E$16,0,IF(K23&lt;=Condition!$F$16,Condition!$D$16,IF(K23&lt;=Condition!$F$17,Condition!$D$17,IF(K23&lt;=Condition!$F$18,Condition!$D$18,IF(K23&gt;Condition!$E$19,Condition!$D$19,"")))))</f>
        <v>0</v>
      </c>
      <c r="L66" s="85">
        <f>IF(L23&lt;=Condition!$E$16,0,IF(L23&lt;=Condition!$F$16,Condition!$D$16,IF(L23&lt;=Condition!$F$17,Condition!$D$17,IF(L23&lt;=Condition!$F$18,Condition!$D$18,IF(L23&gt;Condition!$E$19,Condition!$D$19,"")))))</f>
        <v>0</v>
      </c>
      <c r="M66" s="85">
        <f>IF(M23&lt;=Condition!$E$16,0,IF(M23&lt;=Condition!$F$16,Condition!$D$16,IF(M23&lt;=Condition!$F$17,Condition!$D$17,IF(M23&lt;=Condition!$F$18,Condition!$D$18,IF(M23&gt;Condition!$E$19,Condition!$D$19,"")))))</f>
        <v>0</v>
      </c>
      <c r="N66" s="85">
        <f>IF(N23&lt;=Condition!$E$16,0,IF(N23&lt;=Condition!$F$16,Condition!$D$16,IF(N23&lt;=Condition!$F$17,Condition!$D$17,IF(N23&lt;=Condition!$F$18,Condition!$D$18,IF(N23&gt;Condition!$E$19,Condition!$D$19,"")))))</f>
        <v>0</v>
      </c>
      <c r="O66" s="85">
        <f>IF(O23&lt;=Condition!$E$16,0,IF(O23&lt;=Condition!$F$16,Condition!$D$16,IF(O23&lt;=Condition!$F$17,Condition!$D$17,IF(O23&lt;=Condition!$F$18,Condition!$D$18,IF(O23&gt;Condition!$E$19,Condition!$D$19,"")))))</f>
        <v>0</v>
      </c>
      <c r="P66" s="85">
        <f>IF(P23&lt;=Condition!$E$16,0,IF(P23&lt;=Condition!$F$16,Condition!$D$16,IF(P23&lt;=Condition!$F$17,Condition!$D$17,IF(P23&lt;=Condition!$F$18,Condition!$D$18,IF(P23&gt;Condition!$E$19,Condition!$D$19,"")))))</f>
        <v>0</v>
      </c>
      <c r="Q66" s="85">
        <f>IF(Q23&lt;=Condition!$E$16,0,IF(Q23&lt;=Condition!$F$16,Condition!$D$16,IF(Q23&lt;=Condition!$F$17,Condition!$D$17,IF(Q23&lt;=Condition!$F$18,Condition!$D$18,IF(Q23&gt;Condition!$E$19,Condition!$D$19,"")))))</f>
        <v>0</v>
      </c>
      <c r="R66" s="85">
        <f>IF(R23&lt;=Condition!$E$16,0,IF(R23&lt;=Condition!$F$16,Condition!$D$16,IF(R23&lt;=Condition!$F$17,Condition!$D$17,IF(R23&lt;=Condition!$F$18,Condition!$D$18,IF(R23&gt;Condition!$E$19,Condition!$D$19,"")))))</f>
        <v>0</v>
      </c>
      <c r="S66" s="85">
        <f>IF(S23&lt;=Condition!$E$16,0,IF(S23&lt;=Condition!$F$16,Condition!$D$16,IF(S23&lt;=Condition!$F$17,Condition!$D$17,IF(S23&lt;=Condition!$F$18,Condition!$D$18,IF(S23&gt;Condition!$E$19,Condition!$D$19,"")))))</f>
        <v>0</v>
      </c>
      <c r="T66" s="85">
        <f>IF(T23&lt;=Condition!$E$16,0,IF(T23&lt;=Condition!$F$16,Condition!$D$16,IF(T23&lt;=Condition!$F$17,Condition!$D$17,IF(T23&lt;=Condition!$F$18,Condition!$D$18,IF(T23&gt;Condition!$E$19,Condition!$D$19,"")))))</f>
        <v>0</v>
      </c>
      <c r="U66" s="85">
        <f>IF(U23&lt;=Condition!$E$16,0,IF(U23&lt;=Condition!$F$16,Condition!$D$16,IF(U23&lt;=Condition!$F$17,Condition!$D$17,IF(U23&lt;=Condition!$F$18,Condition!$D$18,IF(U23&gt;Condition!$E$19,Condition!$D$19,"")))))</f>
        <v>0</v>
      </c>
      <c r="V66" s="85">
        <f>IF(V23&lt;=Condition!$E$16,0,IF(V23&lt;=Condition!$F$16,Condition!$D$16,IF(V23&lt;=Condition!$F$17,Condition!$D$17,IF(V23&lt;=Condition!$F$18,Condition!$D$18,IF(V23&gt;Condition!$E$19,Condition!$D$19,"")))))</f>
        <v>0</v>
      </c>
      <c r="W66" s="85">
        <f>IF(W23&lt;=Condition!$E$16,0,IF(W23&lt;=Condition!$F$16,Condition!$D$16,IF(W23&lt;=Condition!$F$17,Condition!$D$17,IF(W23&lt;=Condition!$F$18,Condition!$D$18,IF(W23&gt;Condition!$E$19,Condition!$D$19,"")))))</f>
        <v>0</v>
      </c>
      <c r="X66" s="85">
        <f>IF(X23&lt;=Condition!$E$16,0,IF(X23&lt;=Condition!$F$16,Condition!$D$16,IF(X23&lt;=Condition!$F$17,Condition!$D$17,IF(X23&lt;=Condition!$F$18,Condition!$D$18,IF(X23&gt;Condition!$E$19,Condition!$D$19,"")))))</f>
        <v>0</v>
      </c>
      <c r="Y66" s="85">
        <f>IF(Y23&lt;=Condition!$E$16,0,IF(Y23&lt;=Condition!$F$16,Condition!$D$16,IF(Y23&lt;=Condition!$F$17,Condition!$D$17,IF(Y23&lt;=Condition!$F$18,Condition!$D$18,IF(Y23&gt;Condition!$E$19,Condition!$D$19,"")))))</f>
        <v>0</v>
      </c>
      <c r="Z66" s="85">
        <f>IF(Z23&lt;=Condition!$E$16,0,IF(Z23&lt;=Condition!$F$16,Condition!$D$16,IF(Z23&lt;=Condition!$F$17,Condition!$D$17,IF(Z23&lt;=Condition!$F$18,Condition!$D$18,IF(Z23&gt;Condition!$E$19,Condition!$D$19,"")))))</f>
        <v>0</v>
      </c>
      <c r="AA66" s="85">
        <f>IF(AA23&lt;=Condition!$E$16,0,IF(AA23&lt;=Condition!$F$16,Condition!$D$16,IF(AA23&lt;=Condition!$F$17,Condition!$D$17,IF(AA23&lt;=Condition!$F$18,Condition!$D$18,IF(AA23&gt;Condition!$E$19,Condition!$D$19,"")))))</f>
        <v>0</v>
      </c>
      <c r="AB66" s="85">
        <f>IF(AB23&lt;=Condition!$E$16,0,IF(AB23&lt;=Condition!$F$16,Condition!$D$16,IF(AB23&lt;=Condition!$F$17,Condition!$D$17,IF(AB23&lt;=Condition!$F$18,Condition!$D$18,IF(AB23&gt;Condition!$E$19,Condition!$D$19,"")))))</f>
        <v>0</v>
      </c>
      <c r="AC66" s="85">
        <f>IF(AC23&lt;=Condition!$E$16,0,IF(AC23&lt;=Condition!$F$16,Condition!$D$16,IF(AC23&lt;=Condition!$F$17,Condition!$D$17,IF(AC23&lt;=Condition!$F$18,Condition!$D$18,IF(AC23&gt;Condition!$E$19,Condition!$D$19,"")))))</f>
        <v>0</v>
      </c>
      <c r="AD66" s="85">
        <f>IF(AD23&lt;=Condition!$E$16,0,IF(AD23&lt;=Condition!$F$16,Condition!$D$16,IF(AD23&lt;=Condition!$F$17,Condition!$D$17,IF(AD23&lt;=Condition!$F$18,Condition!$D$18,IF(AD23&gt;Condition!$E$19,Condition!$D$19,"")))))</f>
        <v>0</v>
      </c>
      <c r="AE66" s="85">
        <f>IF(AE23&lt;=Condition!$E$16,0,IF(AE23&lt;=Condition!$F$16,Condition!$D$16,IF(AE23&lt;=Condition!$F$17,Condition!$D$17,IF(AE23&lt;=Condition!$F$18,Condition!$D$18,IF(AE23&gt;Condition!$E$19,Condition!$D$19,"")))))</f>
        <v>0</v>
      </c>
      <c r="AF66" s="85">
        <f>IF(AF23&lt;=Condition!$E$16,0,IF(AF23&lt;=Condition!$F$16,Condition!$D$16,IF(AF23&lt;=Condition!$F$17,Condition!$D$17,IF(AF23&lt;=Condition!$F$18,Condition!$D$18,IF(AF23&gt;Condition!$E$19,Condition!$D$19,"")))))</f>
        <v>0</v>
      </c>
      <c r="AG66" s="85">
        <f>IF(AG23&lt;=Condition!$E$16,0,IF(AG23&lt;=Condition!$F$16,Condition!$D$16,IF(AG23&lt;=Condition!$F$17,Condition!$D$17,IF(AG23&lt;=Condition!$F$18,Condition!$D$18,IF(AG23&gt;Condition!$E$19,Condition!$D$19,"")))))</f>
        <v>0</v>
      </c>
      <c r="AH66" s="85">
        <f>IF(AH23&lt;=Condition!$E$16,0,IF(AH23&lt;=Condition!$F$16,Condition!$D$16,IF(AH23&lt;=Condition!$F$17,Condition!$D$17,IF(AH23&lt;=Condition!$F$18,Condition!$D$18,IF(AH23&gt;Condition!$E$19,Condition!$D$19,"")))))</f>
        <v>0</v>
      </c>
      <c r="AI66" s="85">
        <f>IF(AI23&lt;=Condition!$E$16,0,IF(AI23&lt;=Condition!$F$16,Condition!$D$16,IF(AI23&lt;=Condition!$F$17,Condition!$D$17,IF(AI23&lt;=Condition!$F$18,Condition!$D$18,IF(AI23&gt;Condition!$E$19,Condition!$D$19,"")))))</f>
        <v>0</v>
      </c>
      <c r="AJ66" s="85">
        <f>IF(AJ23&lt;=Condition!$E$16,0,IF(AJ23&lt;=Condition!$F$16,Condition!$D$16,IF(AJ23&lt;=Condition!$F$17,Condition!$D$17,IF(AJ23&lt;=Condition!$F$18,Condition!$D$18,IF(AJ23&gt;Condition!$E$19,Condition!$D$19,"")))))</f>
        <v>0</v>
      </c>
      <c r="AK66" s="85">
        <f>IF(AK23&lt;=Condition!$E$16,0,IF(AK23&lt;=Condition!$F$16,Condition!$D$16,IF(AK23&lt;=Condition!$F$17,Condition!$D$17,IF(AK23&lt;=Condition!$F$18,Condition!$D$18,IF(AK23&gt;Condition!$E$19,Condition!$D$19,"")))))</f>
        <v>0</v>
      </c>
      <c r="AL66" s="85">
        <f>IF(AL23&lt;=Condition!$E$16,0,IF(AL23&lt;=Condition!$F$16,Condition!$D$16,IF(AL23&lt;=Condition!$F$17,Condition!$D$17,IF(AL23&lt;=Condition!$F$18,Condition!$D$18,IF(AL23&gt;Condition!$E$19,Condition!$D$19,"")))))</f>
        <v>0</v>
      </c>
      <c r="AM66" s="85">
        <f>IF(AM23&lt;=Condition!$E$16,0,IF(AM23&lt;=Condition!$F$16,Condition!$D$16,IF(AM23&lt;=Condition!$F$17,Condition!$D$17,IF(AM23&lt;=Condition!$F$18,Condition!$D$18,IF(AM23&gt;Condition!$E$19,Condition!$D$19,"")))))</f>
        <v>0</v>
      </c>
      <c r="AN66" s="85">
        <f>IF(AN23&lt;=Condition!$E$16,0,IF(AN23&lt;=Condition!$F$16,Condition!$D$16,IF(AN23&lt;=Condition!$F$17,Condition!$D$17,IF(AN23&lt;=Condition!$F$18,Condition!$D$18,IF(AN23&gt;Condition!$E$19,Condition!$D$19,"")))))</f>
        <v>0</v>
      </c>
      <c r="AO66" s="85">
        <f>IF(AO23&lt;=Condition!$E$16,0,IF(AO23&lt;=Condition!$F$16,Condition!$D$16,IF(AO23&lt;=Condition!$F$17,Condition!$D$17,IF(AO23&lt;=Condition!$F$18,Condition!$D$18,IF(AO23&gt;Condition!$E$19,Condition!$D$19,"")))))</f>
        <v>0</v>
      </c>
      <c r="AP66" s="85">
        <f>IF(AP23&lt;=Condition!$E$16,0,IF(AP23&lt;=Condition!$F$16,Condition!$D$16,IF(AP23&lt;=Condition!$F$17,Condition!$D$17,IF(AP23&lt;=Condition!$F$18,Condition!$D$18,IF(AP23&gt;Condition!$E$19,Condition!$D$19,"")))))</f>
        <v>0</v>
      </c>
      <c r="AQ66" s="85">
        <f>IF(AQ23&lt;=Condition!$E$16,0,IF(AQ23&lt;=Condition!$F$16,Condition!$D$16,IF(AQ23&lt;=Condition!$F$17,Condition!$D$17,IF(AQ23&lt;=Condition!$F$18,Condition!$D$18,IF(AQ23&gt;Condition!$E$19,Condition!$D$19,"")))))</f>
        <v>0</v>
      </c>
      <c r="AR66" s="85">
        <f>IF(AR23&lt;=Condition!$E$16,0,IF(AR23&lt;=Condition!$F$16,Condition!$D$16,IF(AR23&lt;=Condition!$F$17,Condition!$D$17,IF(AR23&lt;=Condition!$F$18,Condition!$D$18,IF(AR23&gt;Condition!$E$19,Condition!$D$19,"")))))</f>
        <v>0</v>
      </c>
      <c r="AS66" s="85">
        <f>IF(AS23&lt;=Condition!$E$16,0,IF(AS23&lt;=Condition!$F$16,Condition!$D$16,IF(AS23&lt;=Condition!$F$17,Condition!$D$17,IF(AS23&lt;=Condition!$F$18,Condition!$D$18,IF(AS23&gt;Condition!$E$19,Condition!$D$19,"")))))</f>
        <v>0</v>
      </c>
      <c r="AT66" s="85">
        <f>IF(AT23&lt;=Condition!$E$16,0,IF(AT23&lt;=Condition!$F$16,Condition!$D$16,IF(AT23&lt;=Condition!$F$17,Condition!$D$17,IF(AT23&lt;=Condition!$F$18,Condition!$D$18,IF(AT23&gt;Condition!$E$19,Condition!$D$19,"")))))</f>
        <v>0</v>
      </c>
      <c r="AU66" s="85">
        <f>IF(AU23&lt;=Condition!$E$16,0,IF(AU23&lt;=Condition!$F$16,Condition!$D$16,IF(AU23&lt;=Condition!$F$17,Condition!$D$17,IF(AU23&lt;=Condition!$F$18,Condition!$D$18,IF(AU23&gt;Condition!$E$19,Condition!$D$19,"")))))</f>
        <v>0</v>
      </c>
      <c r="AV66" s="85">
        <f>IF(AV23&lt;=Condition!$E$16,0,IF(AV23&lt;=Condition!$F$16,Condition!$D$16,IF(AV23&lt;=Condition!$F$17,Condition!$D$17,IF(AV23&lt;=Condition!$F$18,Condition!$D$18,IF(AV23&gt;Condition!$E$19,Condition!$D$19,"")))))</f>
        <v>0</v>
      </c>
      <c r="AW66" s="85">
        <f>IF(AW23&lt;=Condition!$E$16,0,IF(AW23&lt;=Condition!$F$16,Condition!$D$16,IF(AW23&lt;=Condition!$F$17,Condition!$D$17,IF(AW23&lt;=Condition!$F$18,Condition!$D$18,IF(AW23&gt;Condition!$E$19,Condition!$D$19,"")))))</f>
        <v>0</v>
      </c>
      <c r="AX66" s="85">
        <f>IF(AX23&lt;=Condition!$E$16,0,IF(AX23&lt;=Condition!$F$16,Condition!$D$16,IF(AX23&lt;=Condition!$F$17,Condition!$D$17,IF(AX23&lt;=Condition!$F$18,Condition!$D$18,IF(AX23&gt;Condition!$E$19,Condition!$D$19,"")))))</f>
        <v>0</v>
      </c>
      <c r="AY66" s="85">
        <f>IF(AY23&lt;=Condition!$E$16,0,IF(AY23&lt;=Condition!$F$16,Condition!$D$16,IF(AY23&lt;=Condition!$F$17,Condition!$D$17,IF(AY23&lt;=Condition!$F$18,Condition!$D$18,IF(AY23&gt;Condition!$E$19,Condition!$D$19,"")))))</f>
        <v>0</v>
      </c>
      <c r="AZ66" s="85">
        <f>IF(AZ23&lt;=Condition!$E$16,0,IF(AZ23&lt;=Condition!$F$16,Condition!$D$16,IF(AZ23&lt;=Condition!$F$17,Condition!$D$17,IF(AZ23&lt;=Condition!$F$18,Condition!$D$18,IF(AZ23&gt;Condition!$E$19,Condition!$D$19,"")))))</f>
        <v>0</v>
      </c>
      <c r="BA66" s="85">
        <f>IF(BA23&lt;=Condition!$E$16,0,IF(BA23&lt;=Condition!$F$16,Condition!$D$16,IF(BA23&lt;=Condition!$F$17,Condition!$D$17,IF(BA23&lt;=Condition!$F$18,Condition!$D$18,IF(BA23&gt;Condition!$E$19,Condition!$D$19,"")))))</f>
        <v>0</v>
      </c>
      <c r="BB66" s="85">
        <f>IF(BB23&lt;=Condition!$E$16,0,IF(BB23&lt;=Condition!$F$16,Condition!$D$16,IF(BB23&lt;=Condition!$F$17,Condition!$D$17,IF(BB23&lt;=Condition!$F$18,Condition!$D$18,IF(BB23&gt;Condition!$E$19,Condition!$D$19,"")))))</f>
        <v>0</v>
      </c>
      <c r="BC66" s="85">
        <f>IF(BC23&lt;=Condition!$E$16,0,IF(BC23&lt;=Condition!$F$16,Condition!$D$16,IF(BC23&lt;=Condition!$F$17,Condition!$D$17,IF(BC23&lt;=Condition!$F$18,Condition!$D$18,IF(BC23&gt;Condition!$E$19,Condition!$D$19,"")))))</f>
        <v>0</v>
      </c>
      <c r="BD66" s="85">
        <f>IF(BD23&lt;=Condition!$E$16,0,IF(BD23&lt;=Condition!$F$16,Condition!$D$16,IF(BD23&lt;=Condition!$F$17,Condition!$D$17,IF(BD23&lt;=Condition!$F$18,Condition!$D$18,IF(BD23&gt;Condition!$E$19,Condition!$D$19,"")))))</f>
        <v>0</v>
      </c>
      <c r="BE66" s="85">
        <f>IF(BE23&lt;=Condition!$E$16,0,IF(BE23&lt;=Condition!$F$16,Condition!$D$16,IF(BE23&lt;=Condition!$F$17,Condition!$D$17,IF(BE23&lt;=Condition!$F$18,Condition!$D$18,IF(BE23&gt;Condition!$E$19,Condition!$D$19,"")))))</f>
        <v>0</v>
      </c>
      <c r="BF66" s="85">
        <f>IF(BF23&lt;=Condition!$E$16,0,IF(BF23&lt;=Condition!$F$16,Condition!$D$16,IF(BF23&lt;=Condition!$F$17,Condition!$D$17,IF(BF23&lt;=Condition!$F$18,Condition!$D$18,IF(BF23&gt;Condition!$E$19,Condition!$D$19,"")))))</f>
        <v>0</v>
      </c>
      <c r="BG66" s="85">
        <f>IF(BG23&lt;=Condition!$E$16,0,IF(BG23&lt;=Condition!$F$16,Condition!$D$16,IF(BG23&lt;=Condition!$F$17,Condition!$D$17,IF(BG23&lt;=Condition!$F$18,Condition!$D$18,IF(BG23&gt;Condition!$E$19,Condition!$D$19,"")))))</f>
        <v>0</v>
      </c>
      <c r="BH66" s="85">
        <f>IF(BH23&lt;=Condition!$E$16,0,IF(BH23&lt;=Condition!$F$16,Condition!$D$16,IF(BH23&lt;=Condition!$F$17,Condition!$D$17,IF(BH23&lt;=Condition!$F$18,Condition!$D$18,IF(BH23&gt;Condition!$E$19,Condition!$D$19,"")))))</f>
        <v>0</v>
      </c>
      <c r="BI66" s="85">
        <f>IF(BI23&lt;=Condition!$E$16,0,IF(BI23&lt;=Condition!$F$16,Condition!$D$16,IF(BI23&lt;=Condition!$F$17,Condition!$D$17,IF(BI23&lt;=Condition!$F$18,Condition!$D$18,IF(BI23&gt;Condition!$E$19,Condition!$D$19,"")))))</f>
        <v>0</v>
      </c>
      <c r="BJ66" s="85">
        <f>IF(BJ23&lt;=Condition!$E$16,0,IF(BJ23&lt;=Condition!$F$16,Condition!$D$16,IF(BJ23&lt;=Condition!$F$17,Condition!$D$17,IF(BJ23&lt;=Condition!$F$18,Condition!$D$18,IF(BJ23&gt;Condition!$E$19,Condition!$D$19,"")))))</f>
        <v>0</v>
      </c>
      <c r="BK66" s="85">
        <f>IF(BK23&lt;=Condition!$E$16,0,IF(BK23&lt;=Condition!$F$16,Condition!$D$16,IF(BK23&lt;=Condition!$F$17,Condition!$D$17,IF(BK23&lt;=Condition!$F$18,Condition!$D$18,IF(BK23&gt;Condition!$E$19,Condition!$D$19,"")))))</f>
        <v>0</v>
      </c>
      <c r="BL66" s="85">
        <f>IF(BL23&lt;=Condition!$E$16,0,IF(BL23&lt;=Condition!$F$16,Condition!$D$16,IF(BL23&lt;=Condition!$F$17,Condition!$D$17,IF(BL23&lt;=Condition!$F$18,Condition!$D$18,IF(BL23&gt;Condition!$E$19,Condition!$D$19,"")))))</f>
        <v>0</v>
      </c>
      <c r="BM66" s="85">
        <f>IF(BM23&lt;=Condition!$E$16,0,IF(BM23&lt;=Condition!$F$16,Condition!$D$16,IF(BM23&lt;=Condition!$F$17,Condition!$D$17,IF(BM23&lt;=Condition!$F$18,Condition!$D$18,IF(BM23&gt;Condition!$E$19,Condition!$D$19,"")))))</f>
        <v>0</v>
      </c>
      <c r="BN66" s="85">
        <f>IF(BN23&lt;=Condition!$E$16,0,IF(BN23&lt;=Condition!$F$16,Condition!$D$16,IF(BN23&lt;=Condition!$F$17,Condition!$D$17,IF(BN23&lt;=Condition!$F$18,Condition!$D$18,IF(BN23&gt;Condition!$E$19,Condition!$D$19,"")))))</f>
        <v>0</v>
      </c>
      <c r="BO66" s="85">
        <f>IF(BO23&lt;=Condition!$E$16,0,IF(BO23&lt;=Condition!$F$16,Condition!$D$16,IF(BO23&lt;=Condition!$F$17,Condition!$D$17,IF(BO23&lt;=Condition!$F$18,Condition!$D$18,IF(BO23&gt;Condition!$E$19,Condition!$D$19,"")))))</f>
        <v>0</v>
      </c>
      <c r="BP66" s="85">
        <f>IF(BP23&lt;=Condition!$E$16,0,IF(BP23&lt;=Condition!$F$16,Condition!$D$16,IF(BP23&lt;=Condition!$F$17,Condition!$D$17,IF(BP23&lt;=Condition!$F$18,Condition!$D$18,IF(BP23&gt;Condition!$E$19,Condition!$D$19,"")))))</f>
        <v>0</v>
      </c>
      <c r="BQ66" s="85">
        <f>IF(BQ23&lt;=Condition!$E$16,0,IF(BQ23&lt;=Condition!$F$16,Condition!$D$16,IF(BQ23&lt;=Condition!$F$17,Condition!$D$17,IF(BQ23&lt;=Condition!$F$18,Condition!$D$18,IF(BQ23&gt;Condition!$E$19,Condition!$D$19,"")))))</f>
        <v>0</v>
      </c>
      <c r="BR66" s="85">
        <f>IF(BR23&lt;=Condition!$E$16,0,IF(BR23&lt;=Condition!$F$16,Condition!$D$16,IF(BR23&lt;=Condition!$F$17,Condition!$D$17,IF(BR23&lt;=Condition!$F$18,Condition!$D$18,IF(BR23&gt;Condition!$E$19,Condition!$D$19,"")))))</f>
        <v>0</v>
      </c>
      <c r="BS66" s="85">
        <f>IF(BS23&lt;=Condition!$E$16,0,IF(BS23&lt;=Condition!$F$16,Condition!$D$16,IF(BS23&lt;=Condition!$F$17,Condition!$D$17,IF(BS23&lt;=Condition!$F$18,Condition!$D$18,IF(BS23&gt;Condition!$E$19,Condition!$D$19,"")))))</f>
        <v>0</v>
      </c>
      <c r="BT66" s="85">
        <f>IF(BT23&lt;=Condition!$E$16,0,IF(BT23&lt;=Condition!$F$16,Condition!$D$16,IF(BT23&lt;=Condition!$F$17,Condition!$D$17,IF(BT23&lt;=Condition!$F$18,Condition!$D$18,IF(BT23&gt;Condition!$E$19,Condition!$D$19,"")))))</f>
        <v>0</v>
      </c>
      <c r="BU66" s="85">
        <f>IF(BU23&lt;=Condition!$E$16,0,IF(BU23&lt;=Condition!$F$16,Condition!$D$16,IF(BU23&lt;=Condition!$F$17,Condition!$D$17,IF(BU23&lt;=Condition!$F$18,Condition!$D$18,IF(BU23&gt;Condition!$E$19,Condition!$D$19,"")))))</f>
        <v>0</v>
      </c>
      <c r="BV66" s="85">
        <f>IF(BV23&lt;=Condition!$E$16,0,IF(BV23&lt;=Condition!$F$16,Condition!$D$16,IF(BV23&lt;=Condition!$F$17,Condition!$D$17,IF(BV23&lt;=Condition!$F$18,Condition!$D$18,IF(BV23&gt;Condition!$E$19,Condition!$D$19,"")))))</f>
        <v>0</v>
      </c>
      <c r="BW66" s="85">
        <f>IF(BW23&lt;=Condition!$E$16,0,IF(BW23&lt;=Condition!$F$16,Condition!$D$16,IF(BW23&lt;=Condition!$F$17,Condition!$D$17,IF(BW23&lt;=Condition!$F$18,Condition!$D$18,IF(BW23&gt;Condition!$E$19,Condition!$D$19,"")))))</f>
        <v>0</v>
      </c>
      <c r="BX66" s="85">
        <f>IF(BX23&lt;=Condition!$E$16,0,IF(BX23&lt;=Condition!$F$16,Condition!$D$16,IF(BX23&lt;=Condition!$F$17,Condition!$D$17,IF(BX23&lt;=Condition!$F$18,Condition!$D$18,IF(BX23&gt;Condition!$E$19,Condition!$D$19,"")))))</f>
        <v>0</v>
      </c>
      <c r="BY66" s="85">
        <f>IF(BY23&lt;=Condition!$E$16,0,IF(BY23&lt;=Condition!$F$16,Condition!$D$16,IF(BY23&lt;=Condition!$F$17,Condition!$D$17,IF(BY23&lt;=Condition!$F$18,Condition!$D$18,IF(BY23&gt;Condition!$E$19,Condition!$D$19,"")))))</f>
        <v>0</v>
      </c>
      <c r="BZ66" s="85">
        <f>IF(BZ23&lt;=Condition!$E$16,0,IF(BZ23&lt;=Condition!$F$16,Condition!$D$16,IF(BZ23&lt;=Condition!$F$17,Condition!$D$17,IF(BZ23&lt;=Condition!$F$18,Condition!$D$18,IF(BZ23&gt;Condition!$E$19,Condition!$D$19,"")))))</f>
        <v>0</v>
      </c>
      <c r="CA66" s="85">
        <f>IF(CA23&lt;=Condition!$E$16,0,IF(CA23&lt;=Condition!$F$16,Condition!$D$16,IF(CA23&lt;=Condition!$F$17,Condition!$D$17,IF(CA23&lt;=Condition!$F$18,Condition!$D$18,IF(CA23&gt;Condition!$E$19,Condition!$D$19,"")))))</f>
        <v>0</v>
      </c>
      <c r="CB66" s="85">
        <f>IF(CB23&lt;=Condition!$E$16,0,IF(CB23&lt;=Condition!$F$16,Condition!$D$16,IF(CB23&lt;=Condition!$F$17,Condition!$D$17,IF(CB23&lt;=Condition!$F$18,Condition!$D$18,IF(CB23&gt;Condition!$E$19,Condition!$D$19,"")))))</f>
        <v>0</v>
      </c>
      <c r="CC66" s="85">
        <f>IF(CC23&lt;=Condition!$E$16,0,IF(CC23&lt;=Condition!$F$16,Condition!$D$16,IF(CC23&lt;=Condition!$F$17,Condition!$D$17,IF(CC23&lt;=Condition!$F$18,Condition!$D$18,IF(CC23&gt;Condition!$E$19,Condition!$D$19,"")))))</f>
        <v>0</v>
      </c>
      <c r="CD66" s="85">
        <f>IF(CD23&lt;=Condition!$E$16,0,IF(CD23&lt;=Condition!$F$16,Condition!$D$16,IF(CD23&lt;=Condition!$F$17,Condition!$D$17,IF(CD23&lt;=Condition!$F$18,Condition!$D$18,IF(CD23&gt;Condition!$E$19,Condition!$D$19,"")))))</f>
        <v>0</v>
      </c>
      <c r="CE66" s="85">
        <f>IF(CE23&lt;=Condition!$E$16,0,IF(CE23&lt;=Condition!$F$16,Condition!$D$16,IF(CE23&lt;=Condition!$F$17,Condition!$D$17,IF(CE23&lt;=Condition!$F$18,Condition!$D$18,IF(CE23&gt;Condition!$E$19,Condition!$D$19,"")))))</f>
        <v>0</v>
      </c>
      <c r="CF66" s="85">
        <f>IF(CF23&lt;=Condition!$E$16,0,IF(CF23&lt;=Condition!$F$16,Condition!$D$16,IF(CF23&lt;=Condition!$F$17,Condition!$D$17,IF(CF23&lt;=Condition!$F$18,Condition!$D$18,IF(CF23&gt;Condition!$E$19,Condition!$D$19,"")))))</f>
        <v>0</v>
      </c>
      <c r="CG66" s="85">
        <f>IF(CG23&lt;=Condition!$E$16,0,IF(CG23&lt;=Condition!$F$16,Condition!$D$16,IF(CG23&lt;=Condition!$F$17,Condition!$D$17,IF(CG23&lt;=Condition!$F$18,Condition!$D$18,IF(CG23&gt;Condition!$E$19,Condition!$D$19,"")))))</f>
        <v>0</v>
      </c>
      <c r="CH66" s="85">
        <f>IF(CH23&lt;=Condition!$E$16,0,IF(CH23&lt;=Condition!$F$16,Condition!$D$16,IF(CH23&lt;=Condition!$F$17,Condition!$D$17,IF(CH23&lt;=Condition!$F$18,Condition!$D$18,IF(CH23&gt;Condition!$E$19,Condition!$D$19,"")))))</f>
        <v>0</v>
      </c>
      <c r="CI66" s="85">
        <f>IF(CI23&lt;=Condition!$E$16,0,IF(CI23&lt;=Condition!$F$16,Condition!$D$16,IF(CI23&lt;=Condition!$F$17,Condition!$D$17,IF(CI23&lt;=Condition!$F$18,Condition!$D$18,IF(CI23&gt;Condition!$E$19,Condition!$D$19,"")))))</f>
        <v>0</v>
      </c>
      <c r="CJ66" s="85">
        <f>IF(CJ23&lt;=Condition!$E$16,0,IF(CJ23&lt;=Condition!$F$16,Condition!$D$16,IF(CJ23&lt;=Condition!$F$17,Condition!$D$17,IF(CJ23&lt;=Condition!$F$18,Condition!$D$18,IF(CJ23&gt;Condition!$E$19,Condition!$D$19,"")))))</f>
        <v>0</v>
      </c>
      <c r="CK66" s="85">
        <f>IF(CK23&lt;=Condition!$E$16,0,IF(CK23&lt;=Condition!$F$16,Condition!$D$16,IF(CK23&lt;=Condition!$F$17,Condition!$D$17,IF(CK23&lt;=Condition!$F$18,Condition!$D$18,IF(CK23&gt;Condition!$E$19,Condition!$D$19,"")))))</f>
        <v>0</v>
      </c>
      <c r="CL66" s="85">
        <f>IF(CL23&lt;=Condition!$E$16,0,IF(CL23&lt;=Condition!$F$16,Condition!$D$16,IF(CL23&lt;=Condition!$F$17,Condition!$D$17,IF(CL23&lt;=Condition!$F$18,Condition!$D$18,IF(CL23&gt;Condition!$E$19,Condition!$D$19,"")))))</f>
        <v>0</v>
      </c>
      <c r="CM66" s="85">
        <f>IF(CM23&lt;=Condition!$E$16,0,IF(CM23&lt;=Condition!$F$16,Condition!$D$16,IF(CM23&lt;=Condition!$F$17,Condition!$D$17,IF(CM23&lt;=Condition!$F$18,Condition!$D$18,IF(CM23&gt;Condition!$E$19,Condition!$D$19,"")))))</f>
        <v>0</v>
      </c>
      <c r="CN66" s="85">
        <f>IF(CN23&lt;=Condition!$E$16,0,IF(CN23&lt;=Condition!$F$16,Condition!$D$16,IF(CN23&lt;=Condition!$F$17,Condition!$D$17,IF(CN23&lt;=Condition!$F$18,Condition!$D$18,IF(CN23&gt;Condition!$E$19,Condition!$D$19,"")))))</f>
        <v>0</v>
      </c>
      <c r="CO66" s="85">
        <f>IF(CO23&lt;=Condition!$E$16,0,IF(CO23&lt;=Condition!$F$16,Condition!$D$16,IF(CO23&lt;=Condition!$F$17,Condition!$D$17,IF(CO23&lt;=Condition!$F$18,Condition!$D$18,IF(CO23&gt;Condition!$E$19,Condition!$D$19,"")))))</f>
        <v>0</v>
      </c>
      <c r="CP66" s="85">
        <f>IF(CP23&lt;=Condition!$E$16,0,IF(CP23&lt;=Condition!$F$16,Condition!$D$16,IF(CP23&lt;=Condition!$F$17,Condition!$D$17,IF(CP23&lt;=Condition!$F$18,Condition!$D$18,IF(CP23&gt;Condition!$E$19,Condition!$D$19,"")))))</f>
        <v>0</v>
      </c>
      <c r="CQ66" s="85">
        <f>IF(CQ23&lt;=Condition!$E$16,0,IF(CQ23&lt;=Condition!$F$16,Condition!$D$16,IF(CQ23&lt;=Condition!$F$17,Condition!$D$17,IF(CQ23&lt;=Condition!$F$18,Condition!$D$18,IF(CQ23&gt;Condition!$E$19,Condition!$D$19,"")))))</f>
        <v>0</v>
      </c>
      <c r="CR66" s="85">
        <f>IF(CR23&lt;=Condition!$E$16,0,IF(CR23&lt;=Condition!$F$16,Condition!$D$16,IF(CR23&lt;=Condition!$F$17,Condition!$D$17,IF(CR23&lt;=Condition!$F$18,Condition!$D$18,IF(CR23&gt;Condition!$E$19,Condition!$D$19,"")))))</f>
        <v>0</v>
      </c>
      <c r="CS66" s="85">
        <f>IF(CS23&lt;=Condition!$E$16,0,IF(CS23&lt;=Condition!$F$16,Condition!$D$16,IF(CS23&lt;=Condition!$F$17,Condition!$D$17,IF(CS23&lt;=Condition!$F$18,Condition!$D$18,IF(CS23&gt;Condition!$E$19,Condition!$D$19,"")))))</f>
        <v>0</v>
      </c>
      <c r="CT66" s="85">
        <f>IF(CT23&lt;=Condition!$E$16,0,IF(CT23&lt;=Condition!$F$16,Condition!$D$16,IF(CT23&lt;=Condition!$F$17,Condition!$D$17,IF(CT23&lt;=Condition!$F$18,Condition!$D$18,IF(CT23&gt;Condition!$E$19,Condition!$D$19,"")))))</f>
        <v>0</v>
      </c>
      <c r="CU66" s="85">
        <f>IF(CU23&lt;=Condition!$E$16,0,IF(CU23&lt;=Condition!$F$16,Condition!$D$16,IF(CU23&lt;=Condition!$F$17,Condition!$D$17,IF(CU23&lt;=Condition!$F$18,Condition!$D$18,IF(CU23&gt;Condition!$E$19,Condition!$D$19,"")))))</f>
        <v>0</v>
      </c>
      <c r="CV66" s="85">
        <f>IF(CV23&lt;=Condition!$E$16,0,IF(CV23&lt;=Condition!$F$16,Condition!$D$16,IF(CV23&lt;=Condition!$F$17,Condition!$D$17,IF(CV23&lt;=Condition!$F$18,Condition!$D$18,IF(CV23&gt;Condition!$E$19,Condition!$D$19,"")))))</f>
        <v>0</v>
      </c>
      <c r="CW66" s="85">
        <f>IF(CW23&lt;=Condition!$E$16,0,IF(CW23&lt;=Condition!$F$16,Condition!$D$16,IF(CW23&lt;=Condition!$F$17,Condition!$D$17,IF(CW23&lt;=Condition!$F$18,Condition!$D$18,IF(CW23&gt;Condition!$E$19,Condition!$D$19,"")))))</f>
        <v>0</v>
      </c>
      <c r="CX66" s="85">
        <f>IF(CX23&lt;=Condition!$E$16,0,IF(CX23&lt;=Condition!$F$16,Condition!$D$16,IF(CX23&lt;=Condition!$F$17,Condition!$D$17,IF(CX23&lt;=Condition!$F$18,Condition!$D$18,IF(CX23&gt;Condition!$E$19,Condition!$D$19,"")))))</f>
        <v>0</v>
      </c>
      <c r="CY66" s="85">
        <f>IF(CY23&lt;=Condition!$E$16,0,IF(CY23&lt;=Condition!$F$16,Condition!$D$16,IF(CY23&lt;=Condition!$F$17,Condition!$D$17,IF(CY23&lt;=Condition!$F$18,Condition!$D$18,IF(CY23&gt;Condition!$E$19,Condition!$D$19,"")))))</f>
        <v>0</v>
      </c>
      <c r="CZ66" s="85">
        <f>IF(CZ23&lt;=Condition!$E$16,0,IF(CZ23&lt;=Condition!$F$16,Condition!$D$16,IF(CZ23&lt;=Condition!$F$17,Condition!$D$17,IF(CZ23&lt;=Condition!$F$18,Condition!$D$18,IF(CZ23&gt;Condition!$E$19,Condition!$D$19,"")))))</f>
        <v>0</v>
      </c>
      <c r="DA66" s="85">
        <f>IF(DA23&lt;=Condition!$E$16,0,IF(DA23&lt;=Condition!$F$16,Condition!$D$16,IF(DA23&lt;=Condition!$F$17,Condition!$D$17,IF(DA23&lt;=Condition!$F$18,Condition!$D$18,IF(DA23&gt;Condition!$E$19,Condition!$D$19,"")))))</f>
        <v>0</v>
      </c>
      <c r="DB66" s="85">
        <f>IF(DB23&lt;=Condition!$E$16,0,IF(DB23&lt;=Condition!$F$16,Condition!$D$16,IF(DB23&lt;=Condition!$F$17,Condition!$D$17,IF(DB23&lt;=Condition!$F$18,Condition!$D$18,IF(DB23&gt;Condition!$E$19,Condition!$D$19,"")))))</f>
        <v>0</v>
      </c>
      <c r="DC66" s="85">
        <f>IF(DC23&lt;=Condition!$E$16,0,IF(DC23&lt;=Condition!$F$16,Condition!$D$16,IF(DC23&lt;=Condition!$F$17,Condition!$D$17,IF(DC23&lt;=Condition!$F$18,Condition!$D$18,IF(DC23&gt;Condition!$E$19,Condition!$D$19,"")))))</f>
        <v>0</v>
      </c>
      <c r="DD66" s="85">
        <f>IF(DD23&lt;=Condition!$E$16,0,IF(DD23&lt;=Condition!$F$16,Condition!$D$16,IF(DD23&lt;=Condition!$F$17,Condition!$D$17,IF(DD23&lt;=Condition!$F$18,Condition!$D$18,IF(DD23&gt;Condition!$E$19,Condition!$D$19,"")))))</f>
        <v>0</v>
      </c>
      <c r="DE66" s="85">
        <f>IF(DE23&lt;=Condition!$E$16,0,IF(DE23&lt;=Condition!$F$16,Condition!$D$16,IF(DE23&lt;=Condition!$F$17,Condition!$D$17,IF(DE23&lt;=Condition!$F$18,Condition!$D$18,IF(DE23&gt;Condition!$E$19,Condition!$D$19,"")))))</f>
        <v>0</v>
      </c>
      <c r="DF66" s="85">
        <f>IF(DF23&lt;=Condition!$E$16,0,IF(DF23&lt;=Condition!$F$16,Condition!$D$16,IF(DF23&lt;=Condition!$F$17,Condition!$D$17,IF(DF23&lt;=Condition!$F$18,Condition!$D$18,IF(DF23&gt;Condition!$E$19,Condition!$D$19,"")))))</f>
        <v>0</v>
      </c>
      <c r="DG66" s="85">
        <f>IF(DG23&lt;=Condition!$E$16,0,IF(DG23&lt;=Condition!$F$16,Condition!$D$16,IF(DG23&lt;=Condition!$F$17,Condition!$D$17,IF(DG23&lt;=Condition!$F$18,Condition!$D$18,IF(DG23&gt;Condition!$E$19,Condition!$D$19,"")))))</f>
        <v>0</v>
      </c>
      <c r="DH66" s="85">
        <f>IF(DH23&lt;=Condition!$E$16,0,IF(DH23&lt;=Condition!$F$16,Condition!$D$16,IF(DH23&lt;=Condition!$F$17,Condition!$D$17,IF(DH23&lt;=Condition!$F$18,Condition!$D$18,IF(DH23&gt;Condition!$E$19,Condition!$D$19,"")))))</f>
        <v>0</v>
      </c>
      <c r="DI66" s="85">
        <f>IF(DI23&lt;=Condition!$E$16,0,IF(DI23&lt;=Condition!$F$16,Condition!$D$16,IF(DI23&lt;=Condition!$F$17,Condition!$D$17,IF(DI23&lt;=Condition!$F$18,Condition!$D$18,IF(DI23&gt;Condition!$E$19,Condition!$D$19,"")))))</f>
        <v>0</v>
      </c>
      <c r="DJ66" s="85">
        <f>IF(DJ23&lt;=Condition!$E$16,0,IF(DJ23&lt;=Condition!$F$16,Condition!$D$16,IF(DJ23&lt;=Condition!$F$17,Condition!$D$17,IF(DJ23&lt;=Condition!$F$18,Condition!$D$18,IF(DJ23&gt;Condition!$E$19,Condition!$D$19,"")))))</f>
        <v>0</v>
      </c>
      <c r="DK66" s="85">
        <f>IF(DK23&lt;=Condition!$E$16,0,IF(DK23&lt;=Condition!$F$16,Condition!$D$16,IF(DK23&lt;=Condition!$F$17,Condition!$D$17,IF(DK23&lt;=Condition!$F$18,Condition!$D$18,IF(DK23&gt;Condition!$E$19,Condition!$D$19,"")))))</f>
        <v>0</v>
      </c>
      <c r="DL66" s="85">
        <f>IF(DL23&lt;=Condition!$E$16,0,IF(DL23&lt;=Condition!$F$16,Condition!$D$16,IF(DL23&lt;=Condition!$F$17,Condition!$D$17,IF(DL23&lt;=Condition!$F$18,Condition!$D$18,IF(DL23&gt;Condition!$E$19,Condition!$D$19,"")))))</f>
        <v>0</v>
      </c>
      <c r="DM66" s="85">
        <f>IF(DM23&lt;=Condition!$E$16,0,IF(DM23&lt;=Condition!$F$16,Condition!$D$16,IF(DM23&lt;=Condition!$F$17,Condition!$D$17,IF(DM23&lt;=Condition!$F$18,Condition!$D$18,IF(DM23&gt;Condition!$E$19,Condition!$D$19,"")))))</f>
        <v>0</v>
      </c>
      <c r="DN66" s="85">
        <f>IF(DN23&lt;=Condition!$E$16,0,IF(DN23&lt;=Condition!$F$16,Condition!$D$16,IF(DN23&lt;=Condition!$F$17,Condition!$D$17,IF(DN23&lt;=Condition!$F$18,Condition!$D$18,IF(DN23&gt;Condition!$E$19,Condition!$D$19,"")))))</f>
        <v>0</v>
      </c>
      <c r="DO66" s="85">
        <f>IF(DO23&lt;=Condition!$E$16,0,IF(DO23&lt;=Condition!$F$16,Condition!$D$16,IF(DO23&lt;=Condition!$F$17,Condition!$D$17,IF(DO23&lt;=Condition!$F$18,Condition!$D$18,IF(DO23&gt;Condition!$E$19,Condition!$D$19,"")))))</f>
        <v>0</v>
      </c>
      <c r="DP66" s="85">
        <f>IF(DP23&lt;=Condition!$E$16,0,IF(DP23&lt;=Condition!$F$16,Condition!$D$16,IF(DP23&lt;=Condition!$F$17,Condition!$D$17,IF(DP23&lt;=Condition!$F$18,Condition!$D$18,IF(DP23&gt;Condition!$E$19,Condition!$D$19,"")))))</f>
        <v>0</v>
      </c>
      <c r="DQ66" s="85">
        <f>IF(DQ23&lt;=Condition!$E$16,0,IF(DQ23&lt;=Condition!$F$16,Condition!$D$16,IF(DQ23&lt;=Condition!$F$17,Condition!$D$17,IF(DQ23&lt;=Condition!$F$18,Condition!$D$18,IF(DQ23&gt;Condition!$E$19,Condition!$D$19,"")))))</f>
        <v>0</v>
      </c>
      <c r="DR66" s="85">
        <f>IF(DR23&lt;=Condition!$E$16,0,IF(DR23&lt;=Condition!$F$16,Condition!$D$16,IF(DR23&lt;=Condition!$F$17,Condition!$D$17,IF(DR23&lt;=Condition!$F$18,Condition!$D$18,IF(DR23&gt;Condition!$E$19,Condition!$D$19,"")))))</f>
        <v>0</v>
      </c>
      <c r="DS66" s="85">
        <f>IF(DS23&lt;=Condition!$E$16,0,IF(DS23&lt;=Condition!$F$16,Condition!$D$16,IF(DS23&lt;=Condition!$F$17,Condition!$D$17,IF(DS23&lt;=Condition!$F$18,Condition!$D$18,IF(DS23&gt;Condition!$E$19,Condition!$D$19,"")))))</f>
        <v>0</v>
      </c>
      <c r="DT66" s="85">
        <f>IF(DT23&lt;=Condition!$E$16,0,IF(DT23&lt;=Condition!$F$16,Condition!$D$16,IF(DT23&lt;=Condition!$F$17,Condition!$D$17,IF(DT23&lt;=Condition!$F$18,Condition!$D$18,IF(DT23&gt;Condition!$E$19,Condition!$D$19,"")))))</f>
        <v>0</v>
      </c>
      <c r="DU66" s="85">
        <f>IF(DU23&lt;=Condition!$E$16,0,IF(DU23&lt;=Condition!$F$16,Condition!$D$16,IF(DU23&lt;=Condition!$F$17,Condition!$D$17,IF(DU23&lt;=Condition!$F$18,Condition!$D$18,IF(DU23&gt;Condition!$E$19,Condition!$D$19,"")))))</f>
        <v>0</v>
      </c>
      <c r="DV66" s="85">
        <f>IF(DV23&lt;=Condition!$E$16,0,IF(DV23&lt;=Condition!$F$16,Condition!$D$16,IF(DV23&lt;=Condition!$F$17,Condition!$D$17,IF(DV23&lt;=Condition!$F$18,Condition!$D$18,IF(DV23&gt;Condition!$E$19,Condition!$D$19,"")))))</f>
        <v>0</v>
      </c>
      <c r="DW66" s="85">
        <f>IF(DW23&lt;=Condition!$E$16,0,IF(DW23&lt;=Condition!$F$16,Condition!$D$16,IF(DW23&lt;=Condition!$F$17,Condition!$D$17,IF(DW23&lt;=Condition!$F$18,Condition!$D$18,IF(DW23&gt;Condition!$E$19,Condition!$D$19,"")))))</f>
        <v>0</v>
      </c>
      <c r="DX66" s="85">
        <f>IF(DX23&lt;=Condition!$E$16,0,IF(DX23&lt;=Condition!$F$16,Condition!$D$16,IF(DX23&lt;=Condition!$F$17,Condition!$D$17,IF(DX23&lt;=Condition!$F$18,Condition!$D$18,IF(DX23&gt;Condition!$E$19,Condition!$D$19,"")))))</f>
        <v>0</v>
      </c>
      <c r="DY66" s="85">
        <f>IF(DY23&lt;=Condition!$E$16,0,IF(DY23&lt;=Condition!$F$16,Condition!$D$16,IF(DY23&lt;=Condition!$F$17,Condition!$D$17,IF(DY23&lt;=Condition!$F$18,Condition!$D$18,IF(DY23&gt;Condition!$E$19,Condition!$D$19,"")))))</f>
        <v>0</v>
      </c>
      <c r="DZ66" s="85">
        <f>IF(DZ23&lt;=Condition!$E$16,0,IF(DZ23&lt;=Condition!$F$16,Condition!$D$16,IF(DZ23&lt;=Condition!$F$17,Condition!$D$17,IF(DZ23&lt;=Condition!$F$18,Condition!$D$18,IF(DZ23&gt;Condition!$E$19,Condition!$D$19,"")))))</f>
        <v>0</v>
      </c>
      <c r="EA66" s="85">
        <f>IF(EA23&lt;=Condition!$E$16,0,IF(EA23&lt;=Condition!$F$16,Condition!$D$16,IF(EA23&lt;=Condition!$F$17,Condition!$D$17,IF(EA23&lt;=Condition!$F$18,Condition!$D$18,IF(EA23&gt;Condition!$E$19,Condition!$D$19,"")))))</f>
        <v>0</v>
      </c>
      <c r="EB66" s="85">
        <f>IF(EB23&lt;=Condition!$E$16,0,IF(EB23&lt;=Condition!$F$16,Condition!$D$16,IF(EB23&lt;=Condition!$F$17,Condition!$D$17,IF(EB23&lt;=Condition!$F$18,Condition!$D$18,IF(EB23&gt;Condition!$E$19,Condition!$D$19,"")))))</f>
        <v>0</v>
      </c>
      <c r="EC66" s="85">
        <f>IF(EC23&lt;=Condition!$E$16,0,IF(EC23&lt;=Condition!$F$16,Condition!$D$16,IF(EC23&lt;=Condition!$F$17,Condition!$D$17,IF(EC23&lt;=Condition!$F$18,Condition!$D$18,IF(EC23&gt;Condition!$E$19,Condition!$D$19,"")))))</f>
        <v>0</v>
      </c>
      <c r="ED66" s="85">
        <f>IF(ED23&lt;=Condition!$E$16,0,IF(ED23&lt;=Condition!$F$16,Condition!$D$16,IF(ED23&lt;=Condition!$F$17,Condition!$D$17,IF(ED23&lt;=Condition!$F$18,Condition!$D$18,IF(ED23&gt;Condition!$E$19,Condition!$D$19,"")))))</f>
        <v>0</v>
      </c>
      <c r="EE66" s="85">
        <f>IF(EE23&lt;=Condition!$E$16,0,IF(EE23&lt;=Condition!$F$16,Condition!$D$16,IF(EE23&lt;=Condition!$F$17,Condition!$D$17,IF(EE23&lt;=Condition!$F$18,Condition!$D$18,IF(EE23&gt;Condition!$E$19,Condition!$D$19,"")))))</f>
        <v>0</v>
      </c>
      <c r="EF66" s="85">
        <f>IF(EF23&lt;=Condition!$E$16,0,IF(EF23&lt;=Condition!$F$16,Condition!$D$16,IF(EF23&lt;=Condition!$F$17,Condition!$D$17,IF(EF23&lt;=Condition!$F$18,Condition!$D$18,IF(EF23&gt;Condition!$E$19,Condition!$D$19,"")))))</f>
        <v>0</v>
      </c>
      <c r="EG66" s="85">
        <f>IF(EG23&lt;=Condition!$E$16,0,IF(EG23&lt;=Condition!$F$16,Condition!$D$16,IF(EG23&lt;=Condition!$F$17,Condition!$D$17,IF(EG23&lt;=Condition!$F$18,Condition!$D$18,IF(EG23&gt;Condition!$E$19,Condition!$D$19,"")))))</f>
        <v>0</v>
      </c>
      <c r="EH66" s="85">
        <f>IF(EH23&lt;=Condition!$E$16,0,IF(EH23&lt;=Condition!$F$16,Condition!$D$16,IF(EH23&lt;=Condition!$F$17,Condition!$D$17,IF(EH23&lt;=Condition!$F$18,Condition!$D$18,IF(EH23&gt;Condition!$E$19,Condition!$D$19,"")))))</f>
        <v>0</v>
      </c>
      <c r="EI66" s="85">
        <f>IF(EI23&lt;=Condition!$E$16,0,IF(EI23&lt;=Condition!$F$16,Condition!$D$16,IF(EI23&lt;=Condition!$F$17,Condition!$D$17,IF(EI23&lt;=Condition!$F$18,Condition!$D$18,IF(EI23&gt;Condition!$E$19,Condition!$D$19,"")))))</f>
        <v>0</v>
      </c>
      <c r="EJ66" s="85">
        <f>IF(EJ23&lt;=Condition!$E$16,0,IF(EJ23&lt;=Condition!$F$16,Condition!$D$16,IF(EJ23&lt;=Condition!$F$17,Condition!$D$17,IF(EJ23&lt;=Condition!$F$18,Condition!$D$18,IF(EJ23&gt;Condition!$E$19,Condition!$D$19,"")))))</f>
        <v>0</v>
      </c>
      <c r="EK66" s="85">
        <f>IF(EK23&lt;=Condition!$E$16,0,IF(EK23&lt;=Condition!$F$16,Condition!$D$16,IF(EK23&lt;=Condition!$F$17,Condition!$D$17,IF(EK23&lt;=Condition!$F$18,Condition!$D$18,IF(EK23&gt;Condition!$E$19,Condition!$D$19,"")))))</f>
        <v>0</v>
      </c>
      <c r="EL66" s="85">
        <f>IF(EL23&lt;=Condition!$E$16,0,IF(EL23&lt;=Condition!$F$16,Condition!$D$16,IF(EL23&lt;=Condition!$F$17,Condition!$D$17,IF(EL23&lt;=Condition!$F$18,Condition!$D$18,IF(EL23&gt;Condition!$E$19,Condition!$D$19,"")))))</f>
        <v>0</v>
      </c>
      <c r="EM66" s="85">
        <f>IF(EM23&lt;=Condition!$E$16,0,IF(EM23&lt;=Condition!$F$16,Condition!$D$16,IF(EM23&lt;=Condition!$F$17,Condition!$D$17,IF(EM23&lt;=Condition!$F$18,Condition!$D$18,IF(EM23&gt;Condition!$E$19,Condition!$D$19,"")))))</f>
        <v>0</v>
      </c>
      <c r="EN66" s="85">
        <f>IF(EN23&lt;=Condition!$E$16,0,IF(EN23&lt;=Condition!$F$16,Condition!$D$16,IF(EN23&lt;=Condition!$F$17,Condition!$D$17,IF(EN23&lt;=Condition!$F$18,Condition!$D$18,IF(EN23&gt;Condition!$E$19,Condition!$D$19,"")))))</f>
        <v>0</v>
      </c>
      <c r="EO66" s="85">
        <f>IF(EO23&lt;=Condition!$E$16,0,IF(EO23&lt;=Condition!$F$16,Condition!$D$16,IF(EO23&lt;=Condition!$F$17,Condition!$D$17,IF(EO23&lt;=Condition!$F$18,Condition!$D$18,IF(EO23&gt;Condition!$E$19,Condition!$D$19,"")))))</f>
        <v>0</v>
      </c>
      <c r="EP66" s="85">
        <f>IF(EP23&lt;=Condition!$E$16,0,IF(EP23&lt;=Condition!$F$16,Condition!$D$16,IF(EP23&lt;=Condition!$F$17,Condition!$D$17,IF(EP23&lt;=Condition!$F$18,Condition!$D$18,IF(EP23&gt;Condition!$E$19,Condition!$D$19,"")))))</f>
        <v>0</v>
      </c>
      <c r="EQ66" s="85">
        <f>IF(EQ23&lt;=Condition!$E$16,0,IF(EQ23&lt;=Condition!$F$16,Condition!$D$16,IF(EQ23&lt;=Condition!$F$17,Condition!$D$17,IF(EQ23&lt;=Condition!$F$18,Condition!$D$18,IF(EQ23&gt;Condition!$E$19,Condition!$D$19,"")))))</f>
        <v>0</v>
      </c>
      <c r="ER66" s="85">
        <f>IF(ER23&lt;=Condition!$E$16,0,IF(ER23&lt;=Condition!$F$16,Condition!$D$16,IF(ER23&lt;=Condition!$F$17,Condition!$D$17,IF(ER23&lt;=Condition!$F$18,Condition!$D$18,IF(ER23&gt;Condition!$E$19,Condition!$D$19,"")))))</f>
        <v>0</v>
      </c>
      <c r="ES66" s="85">
        <f>IF(ES23&lt;=Condition!$E$16,0,IF(ES23&lt;=Condition!$F$16,Condition!$D$16,IF(ES23&lt;=Condition!$F$17,Condition!$D$17,IF(ES23&lt;=Condition!$F$18,Condition!$D$18,IF(ES23&gt;Condition!$E$19,Condition!$D$19,"")))))</f>
        <v>0</v>
      </c>
      <c r="ET66" s="85">
        <f>IF(ET23&lt;=Condition!$E$16,0,IF(ET23&lt;=Condition!$F$16,Condition!$D$16,IF(ET23&lt;=Condition!$F$17,Condition!$D$17,IF(ET23&lt;=Condition!$F$18,Condition!$D$18,IF(ET23&gt;Condition!$E$19,Condition!$D$19,"")))))</f>
        <v>0</v>
      </c>
      <c r="EU66" s="85">
        <f>IF(EU23&lt;=Condition!$E$16,0,IF(EU23&lt;=Condition!$F$16,Condition!$D$16,IF(EU23&lt;=Condition!$F$17,Condition!$D$17,IF(EU23&lt;=Condition!$F$18,Condition!$D$18,IF(EU23&gt;Condition!$E$19,Condition!$D$19,"")))))</f>
        <v>0</v>
      </c>
      <c r="EV66" s="85">
        <f>IF(EV23&lt;=Condition!$E$16,0,IF(EV23&lt;=Condition!$F$16,Condition!$D$16,IF(EV23&lt;=Condition!$F$17,Condition!$D$17,IF(EV23&lt;=Condition!$F$18,Condition!$D$18,IF(EV23&gt;Condition!$E$19,Condition!$D$19,"")))))</f>
        <v>0</v>
      </c>
      <c r="EW66" s="85">
        <f>IF(EW23&lt;=Condition!$E$16,0,IF(EW23&lt;=Condition!$F$16,Condition!$D$16,IF(EW23&lt;=Condition!$F$17,Condition!$D$17,IF(EW23&lt;=Condition!$F$18,Condition!$D$18,IF(EW23&gt;Condition!$E$19,Condition!$D$19,"")))))</f>
        <v>0</v>
      </c>
      <c r="EX66" s="85">
        <f>IF(EX23&lt;=Condition!$E$16,0,IF(EX23&lt;=Condition!$F$16,Condition!$D$16,IF(EX23&lt;=Condition!$F$17,Condition!$D$17,IF(EX23&lt;=Condition!$F$18,Condition!$D$18,IF(EX23&gt;Condition!$E$19,Condition!$D$19,"")))))</f>
        <v>0</v>
      </c>
      <c r="EY66" s="85">
        <f>IF(EY23&lt;=Condition!$E$16,0,IF(EY23&lt;=Condition!$F$16,Condition!$D$16,IF(EY23&lt;=Condition!$F$17,Condition!$D$17,IF(EY23&lt;=Condition!$F$18,Condition!$D$18,IF(EY23&gt;Condition!$E$19,Condition!$D$19,"")))))</f>
        <v>0</v>
      </c>
      <c r="EZ66" s="85">
        <f>IF(EZ23&lt;=Condition!$E$16,0,IF(EZ23&lt;=Condition!$F$16,Condition!$D$16,IF(EZ23&lt;=Condition!$F$17,Condition!$D$17,IF(EZ23&lt;=Condition!$F$18,Condition!$D$18,IF(EZ23&gt;Condition!$E$19,Condition!$D$19,"")))))</f>
        <v>0</v>
      </c>
      <c r="FA66" s="85">
        <f>IF(FA23&lt;=Condition!$E$16,0,IF(FA23&lt;=Condition!$F$16,Condition!$D$16,IF(FA23&lt;=Condition!$F$17,Condition!$D$17,IF(FA23&lt;=Condition!$F$18,Condition!$D$18,IF(FA23&gt;Condition!$E$19,Condition!$D$19,"")))))</f>
        <v>0</v>
      </c>
      <c r="FB66" s="85">
        <f>IF(FB23&lt;=Condition!$E$16,0,IF(FB23&lt;=Condition!$F$16,Condition!$D$16,IF(FB23&lt;=Condition!$F$17,Condition!$D$17,IF(FB23&lt;=Condition!$F$18,Condition!$D$18,IF(FB23&gt;Condition!$E$19,Condition!$D$19,"")))))</f>
        <v>0</v>
      </c>
      <c r="FC66" s="85">
        <f>IF(FC23&lt;=Condition!$E$16,0,IF(FC23&lt;=Condition!$F$16,Condition!$D$16,IF(FC23&lt;=Condition!$F$17,Condition!$D$17,IF(FC23&lt;=Condition!$F$18,Condition!$D$18,IF(FC23&gt;Condition!$E$19,Condition!$D$19,"")))))</f>
        <v>0</v>
      </c>
      <c r="FD66" s="85">
        <f>IF(FD23&lt;=Condition!$E$16,0,IF(FD23&lt;=Condition!$F$16,Condition!$D$16,IF(FD23&lt;=Condition!$F$17,Condition!$D$17,IF(FD23&lt;=Condition!$F$18,Condition!$D$18,IF(FD23&gt;Condition!$E$19,Condition!$D$19,"")))))</f>
        <v>0</v>
      </c>
      <c r="FE66" s="85">
        <f>IF(FE23&lt;=Condition!$E$16,0,IF(FE23&lt;=Condition!$F$16,Condition!$D$16,IF(FE23&lt;=Condition!$F$17,Condition!$D$17,IF(FE23&lt;=Condition!$F$18,Condition!$D$18,IF(FE23&gt;Condition!$E$19,Condition!$D$19,"")))))</f>
        <v>0</v>
      </c>
      <c r="FF66" s="85">
        <f>IF(FF23&lt;=Condition!$E$16,0,IF(FF23&lt;=Condition!$F$16,Condition!$D$16,IF(FF23&lt;=Condition!$F$17,Condition!$D$17,IF(FF23&lt;=Condition!$F$18,Condition!$D$18,IF(FF23&gt;Condition!$E$19,Condition!$D$19,"")))))</f>
        <v>0</v>
      </c>
      <c r="FG66" s="85">
        <f>IF(FG23&lt;=Condition!$E$16,0,IF(FG23&lt;=Condition!$F$16,Condition!$D$16,IF(FG23&lt;=Condition!$F$17,Condition!$D$17,IF(FG23&lt;=Condition!$F$18,Condition!$D$18,IF(FG23&gt;Condition!$E$19,Condition!$D$19,"")))))</f>
        <v>0</v>
      </c>
      <c r="FH66" s="85">
        <f>IF(FH23&lt;=Condition!$E$16,0,IF(FH23&lt;=Condition!$F$16,Condition!$D$16,IF(FH23&lt;=Condition!$F$17,Condition!$D$17,IF(FH23&lt;=Condition!$F$18,Condition!$D$18,IF(FH23&gt;Condition!$E$19,Condition!$D$19,"")))))</f>
        <v>0</v>
      </c>
      <c r="FI66" s="85">
        <f>IF(FI23&lt;=Condition!$E$16,0,IF(FI23&lt;=Condition!$F$16,Condition!$D$16,IF(FI23&lt;=Condition!$F$17,Condition!$D$17,IF(FI23&lt;=Condition!$F$18,Condition!$D$18,IF(FI23&gt;Condition!$E$19,Condition!$D$19,"")))))</f>
        <v>0</v>
      </c>
      <c r="FJ66" s="85">
        <f>IF(FJ23&lt;=Condition!$E$16,0,IF(FJ23&lt;=Condition!$F$16,Condition!$D$16,IF(FJ23&lt;=Condition!$F$17,Condition!$D$17,IF(FJ23&lt;=Condition!$F$18,Condition!$D$18,IF(FJ23&gt;Condition!$E$19,Condition!$D$19,"")))))</f>
        <v>0</v>
      </c>
      <c r="FK66" s="85">
        <f>IF(FK23&lt;=Condition!$E$16,0,IF(FK23&lt;=Condition!$F$16,Condition!$D$16,IF(FK23&lt;=Condition!$F$17,Condition!$D$17,IF(FK23&lt;=Condition!$F$18,Condition!$D$18,IF(FK23&gt;Condition!$E$19,Condition!$D$19,"")))))</f>
        <v>0</v>
      </c>
      <c r="FL66" s="85">
        <f>IF(FL23&lt;=Condition!$E$16,0,IF(FL23&lt;=Condition!$F$16,Condition!$D$16,IF(FL23&lt;=Condition!$F$17,Condition!$D$17,IF(FL23&lt;=Condition!$F$18,Condition!$D$18,IF(FL23&gt;Condition!$E$19,Condition!$D$19,"")))))</f>
        <v>0</v>
      </c>
      <c r="FM66" s="85">
        <f>IF(FM23&lt;=Condition!$E$16,0,IF(FM23&lt;=Condition!$F$16,Condition!$D$16,IF(FM23&lt;=Condition!$F$17,Condition!$D$17,IF(FM23&lt;=Condition!$F$18,Condition!$D$18,IF(FM23&gt;Condition!$E$19,Condition!$D$19,"")))))</f>
        <v>0</v>
      </c>
      <c r="FN66" s="85">
        <f>IF(FN23&lt;=Condition!$E$16,0,IF(FN23&lt;=Condition!$F$16,Condition!$D$16,IF(FN23&lt;=Condition!$F$17,Condition!$D$17,IF(FN23&lt;=Condition!$F$18,Condition!$D$18,IF(FN23&gt;Condition!$E$19,Condition!$D$19,"")))))</f>
        <v>0</v>
      </c>
      <c r="FO66" s="85">
        <f>IF(FO23&lt;=Condition!$E$16,0,IF(FO23&lt;=Condition!$F$16,Condition!$D$16,IF(FO23&lt;=Condition!$F$17,Condition!$D$17,IF(FO23&lt;=Condition!$F$18,Condition!$D$18,IF(FO23&gt;Condition!$E$19,Condition!$D$19,"")))))</f>
        <v>0</v>
      </c>
      <c r="FP66" s="85">
        <f>IF(FP23&lt;=Condition!$E$16,0,IF(FP23&lt;=Condition!$F$16,Condition!$D$16,IF(FP23&lt;=Condition!$F$17,Condition!$D$17,IF(FP23&lt;=Condition!$F$18,Condition!$D$18,IF(FP23&gt;Condition!$E$19,Condition!$D$19,"")))))</f>
        <v>0</v>
      </c>
      <c r="FQ66" s="85">
        <f>IF(FQ23&lt;=Condition!$E$16,0,IF(FQ23&lt;=Condition!$F$16,Condition!$D$16,IF(FQ23&lt;=Condition!$F$17,Condition!$D$17,IF(FQ23&lt;=Condition!$F$18,Condition!$D$18,IF(FQ23&gt;Condition!$E$19,Condition!$D$19,"")))))</f>
        <v>0</v>
      </c>
      <c r="FR66" s="85">
        <f>IF(FR23&lt;=Condition!$E$16,0,IF(FR23&lt;=Condition!$F$16,Condition!$D$16,IF(FR23&lt;=Condition!$F$17,Condition!$D$17,IF(FR23&lt;=Condition!$F$18,Condition!$D$18,IF(FR23&gt;Condition!$E$19,Condition!$D$19,"")))))</f>
        <v>0</v>
      </c>
      <c r="FS66" s="85">
        <f>IF(FS23&lt;=Condition!$E$16,0,IF(FS23&lt;=Condition!$F$16,Condition!$D$16,IF(FS23&lt;=Condition!$F$17,Condition!$D$17,IF(FS23&lt;=Condition!$F$18,Condition!$D$18,IF(FS23&gt;Condition!$E$19,Condition!$D$19,"")))))</f>
        <v>0</v>
      </c>
      <c r="FT66" s="85">
        <f>IF(FT23&lt;=Condition!$E$16,0,IF(FT23&lt;=Condition!$F$16,Condition!$D$16,IF(FT23&lt;=Condition!$F$17,Condition!$D$17,IF(FT23&lt;=Condition!$F$18,Condition!$D$18,IF(FT23&gt;Condition!$E$19,Condition!$D$19,"")))))</f>
        <v>0</v>
      </c>
      <c r="FU66" s="85">
        <f>IF(FU23&lt;=Condition!$E$16,0,IF(FU23&lt;=Condition!$F$16,Condition!$D$16,IF(FU23&lt;=Condition!$F$17,Condition!$D$17,IF(FU23&lt;=Condition!$F$18,Condition!$D$18,IF(FU23&gt;Condition!$E$19,Condition!$D$19,"")))))</f>
        <v>0</v>
      </c>
      <c r="FV66" s="85">
        <f>IF(FV23&lt;=Condition!$E$16,0,IF(FV23&lt;=Condition!$F$16,Condition!$D$16,IF(FV23&lt;=Condition!$F$17,Condition!$D$17,IF(FV23&lt;=Condition!$F$18,Condition!$D$18,IF(FV23&gt;Condition!$E$19,Condition!$D$19,"")))))</f>
        <v>0</v>
      </c>
      <c r="FW66" s="85">
        <f>IF(FW23&lt;=Condition!$E$16,0,IF(FW23&lt;=Condition!$F$16,Condition!$D$16,IF(FW23&lt;=Condition!$F$17,Condition!$D$17,IF(FW23&lt;=Condition!$F$18,Condition!$D$18,IF(FW23&gt;Condition!$E$19,Condition!$D$19,"")))))</f>
        <v>0</v>
      </c>
      <c r="FX66" s="85">
        <f>IF(FX23&lt;=Condition!$E$16,0,IF(FX23&lt;=Condition!$F$16,Condition!$D$16,IF(FX23&lt;=Condition!$F$17,Condition!$D$17,IF(FX23&lt;=Condition!$F$18,Condition!$D$18,IF(FX23&gt;Condition!$E$19,Condition!$D$19,"")))))</f>
        <v>0</v>
      </c>
      <c r="FY66" s="85">
        <f>IF(FY23&lt;=Condition!$E$16,0,IF(FY23&lt;=Condition!$F$16,Condition!$D$16,IF(FY23&lt;=Condition!$F$17,Condition!$D$17,IF(FY23&lt;=Condition!$F$18,Condition!$D$18,IF(FY23&gt;Condition!$E$19,Condition!$D$19,"")))))</f>
        <v>0</v>
      </c>
      <c r="FZ66" s="85">
        <f>IF(FZ23&lt;=Condition!$E$16,0,IF(FZ23&lt;=Condition!$F$16,Condition!$D$16,IF(FZ23&lt;=Condition!$F$17,Condition!$D$17,IF(FZ23&lt;=Condition!$F$18,Condition!$D$18,IF(FZ23&gt;Condition!$E$19,Condition!$D$19,"")))))</f>
        <v>0</v>
      </c>
      <c r="GA66" s="85">
        <f>IF(GA23&lt;=Condition!$E$16,0,IF(GA23&lt;=Condition!$F$16,Condition!$D$16,IF(GA23&lt;=Condition!$F$17,Condition!$D$17,IF(GA23&lt;=Condition!$F$18,Condition!$D$18,IF(GA23&gt;Condition!$E$19,Condition!$D$19,"")))))</f>
        <v>0</v>
      </c>
      <c r="GB66" s="85">
        <f>IF(GB23&lt;=Condition!$E$16,0,IF(GB23&lt;=Condition!$F$16,Condition!$D$16,IF(GB23&lt;=Condition!$F$17,Condition!$D$17,IF(GB23&lt;=Condition!$F$18,Condition!$D$18,IF(GB23&gt;Condition!$E$19,Condition!$D$19,"")))))</f>
        <v>0</v>
      </c>
      <c r="GC66" s="85">
        <f>IF(GC23&lt;=Condition!$E$16,0,IF(GC23&lt;=Condition!$F$16,Condition!$D$16,IF(GC23&lt;=Condition!$F$17,Condition!$D$17,IF(GC23&lt;=Condition!$F$18,Condition!$D$18,IF(GC23&gt;Condition!$E$19,Condition!$D$19,"")))))</f>
        <v>0</v>
      </c>
      <c r="GD66" s="85">
        <f>IF(GD23&lt;=Condition!$E$16,0,IF(GD23&lt;=Condition!$F$16,Condition!$D$16,IF(GD23&lt;=Condition!$F$17,Condition!$D$17,IF(GD23&lt;=Condition!$F$18,Condition!$D$18,IF(GD23&gt;Condition!$E$19,Condition!$D$19,"")))))</f>
        <v>0</v>
      </c>
      <c r="GE66" s="85">
        <f>IF(GE23&lt;=Condition!$E$16,0,IF(GE23&lt;=Condition!$F$16,Condition!$D$16,IF(GE23&lt;=Condition!$F$17,Condition!$D$17,IF(GE23&lt;=Condition!$F$18,Condition!$D$18,IF(GE23&gt;Condition!$E$19,Condition!$D$19,"")))))</f>
        <v>0</v>
      </c>
      <c r="GF66" s="85">
        <f>IF(GF23&lt;=Condition!$E$16,0,IF(GF23&lt;=Condition!$F$16,Condition!$D$16,IF(GF23&lt;=Condition!$F$17,Condition!$D$17,IF(GF23&lt;=Condition!$F$18,Condition!$D$18,IF(GF23&gt;Condition!$E$19,Condition!$D$19,"")))))</f>
        <v>0</v>
      </c>
      <c r="GG66" s="85">
        <f>IF(GG23&lt;=Condition!$E$16,0,IF(GG23&lt;=Condition!$F$16,Condition!$D$16,IF(GG23&lt;=Condition!$F$17,Condition!$D$17,IF(GG23&lt;=Condition!$F$18,Condition!$D$18,IF(GG23&gt;Condition!$E$19,Condition!$D$19,"")))))</f>
        <v>0</v>
      </c>
      <c r="GH66" s="85">
        <f>IF(GH23&lt;=Condition!$E$16,0,IF(GH23&lt;=Condition!$F$16,Condition!$D$16,IF(GH23&lt;=Condition!$F$17,Condition!$D$17,IF(GH23&lt;=Condition!$F$18,Condition!$D$18,IF(GH23&gt;Condition!$E$19,Condition!$D$19,"")))))</f>
        <v>0</v>
      </c>
      <c r="GI66" s="85">
        <f>IF(GI23&lt;=Condition!$E$16,0,IF(GI23&lt;=Condition!$F$16,Condition!$D$16,IF(GI23&lt;=Condition!$F$17,Condition!$D$17,IF(GI23&lt;=Condition!$F$18,Condition!$D$18,IF(GI23&gt;Condition!$E$19,Condition!$D$19,"")))))</f>
        <v>0</v>
      </c>
      <c r="GJ66" s="85">
        <f>IF(GJ23&lt;=Condition!$E$16,0,IF(GJ23&lt;=Condition!$F$16,Condition!$D$16,IF(GJ23&lt;=Condition!$F$17,Condition!$D$17,IF(GJ23&lt;=Condition!$F$18,Condition!$D$18,IF(GJ23&gt;Condition!$E$19,Condition!$D$19,"")))))</f>
        <v>0</v>
      </c>
      <c r="GK66" s="85">
        <f>IF(GK23&lt;=Condition!$E$16,0,IF(GK23&lt;=Condition!$F$16,Condition!$D$16,IF(GK23&lt;=Condition!$F$17,Condition!$D$17,IF(GK23&lt;=Condition!$F$18,Condition!$D$18,IF(GK23&gt;Condition!$E$19,Condition!$D$19,"")))))</f>
        <v>0</v>
      </c>
      <c r="GL66" s="85">
        <f>IF(GL23&lt;=Condition!$E$16,0,IF(GL23&lt;=Condition!$F$16,Condition!$D$16,IF(GL23&lt;=Condition!$F$17,Condition!$D$17,IF(GL23&lt;=Condition!$F$18,Condition!$D$18,IF(GL23&gt;Condition!$E$19,Condition!$D$19,"")))))</f>
        <v>0</v>
      </c>
      <c r="GM66" s="85">
        <f>IF(GM23&lt;=Condition!$E$16,0,IF(GM23&lt;=Condition!$F$16,Condition!$D$16,IF(GM23&lt;=Condition!$F$17,Condition!$D$17,IF(GM23&lt;=Condition!$F$18,Condition!$D$18,IF(GM23&gt;Condition!$E$19,Condition!$D$19,"")))))</f>
        <v>0</v>
      </c>
      <c r="GN66" s="85">
        <f>IF(GN23&lt;=Condition!$E$16,0,IF(GN23&lt;=Condition!$F$16,Condition!$D$16,IF(GN23&lt;=Condition!$F$17,Condition!$D$17,IF(GN23&lt;=Condition!$F$18,Condition!$D$18,IF(GN23&gt;Condition!$E$19,Condition!$D$19,"")))))</f>
        <v>0</v>
      </c>
      <c r="GO66" s="85">
        <f>IF(GO23&lt;=Condition!$E$16,0,IF(GO23&lt;=Condition!$F$16,Condition!$D$16,IF(GO23&lt;=Condition!$F$17,Condition!$D$17,IF(GO23&lt;=Condition!$F$18,Condition!$D$18,IF(GO23&gt;Condition!$E$19,Condition!$D$19,"")))))</f>
        <v>0</v>
      </c>
      <c r="GP66" s="85">
        <f>IF(GP23&lt;=Condition!$E$16,0,IF(GP23&lt;=Condition!$F$16,Condition!$D$16,IF(GP23&lt;=Condition!$F$17,Condition!$D$17,IF(GP23&lt;=Condition!$F$18,Condition!$D$18,IF(GP23&gt;Condition!$E$19,Condition!$D$19,"")))))</f>
        <v>0</v>
      </c>
      <c r="GQ66" s="85">
        <f>IF(GQ23&lt;=Condition!$E$16,0,IF(GQ23&lt;=Condition!$F$16,Condition!$D$16,IF(GQ23&lt;=Condition!$F$17,Condition!$D$17,IF(GQ23&lt;=Condition!$F$18,Condition!$D$18,IF(GQ23&gt;Condition!$E$19,Condition!$D$19,"")))))</f>
        <v>0</v>
      </c>
      <c r="GR66" s="85">
        <f>IF(GR23&lt;=Condition!$E$16,0,IF(GR23&lt;=Condition!$F$16,Condition!$D$16,IF(GR23&lt;=Condition!$F$17,Condition!$D$17,IF(GR23&lt;=Condition!$F$18,Condition!$D$18,IF(GR23&gt;Condition!$E$19,Condition!$D$19,"")))))</f>
        <v>0</v>
      </c>
      <c r="GS66" s="85">
        <f>IF(GS23&lt;=Condition!$E$16,0,IF(GS23&lt;=Condition!$F$16,Condition!$D$16,IF(GS23&lt;=Condition!$F$17,Condition!$D$17,IF(GS23&lt;=Condition!$F$18,Condition!$D$18,IF(GS23&gt;Condition!$E$19,Condition!$D$19,"")))))</f>
        <v>0</v>
      </c>
      <c r="GT66" s="85">
        <f>IF(GT23&lt;=Condition!$E$16,0,IF(GT23&lt;=Condition!$F$16,Condition!$D$16,IF(GT23&lt;=Condition!$F$17,Condition!$D$17,IF(GT23&lt;=Condition!$F$18,Condition!$D$18,IF(GT23&gt;Condition!$E$19,Condition!$D$19,"")))))</f>
        <v>0</v>
      </c>
      <c r="GU66" s="85">
        <f>IF(GU23&lt;=Condition!$E$16,0,IF(GU23&lt;=Condition!$F$16,Condition!$D$16,IF(GU23&lt;=Condition!$F$17,Condition!$D$17,IF(GU23&lt;=Condition!$F$18,Condition!$D$18,IF(GU23&gt;Condition!$E$19,Condition!$D$19,"")))))</f>
        <v>0</v>
      </c>
      <c r="GV66" s="85">
        <f>IF(GV23&lt;=Condition!$E$16,0,IF(GV23&lt;=Condition!$F$16,Condition!$D$16,IF(GV23&lt;=Condition!$F$17,Condition!$D$17,IF(GV23&lt;=Condition!$F$18,Condition!$D$18,IF(GV23&gt;Condition!$E$19,Condition!$D$19,"")))))</f>
        <v>0</v>
      </c>
      <c r="GW66" s="85">
        <f>IF(GW23&lt;=Condition!$E$16,0,IF(GW23&lt;=Condition!$F$16,Condition!$D$16,IF(GW23&lt;=Condition!$F$17,Condition!$D$17,IF(GW23&lt;=Condition!$F$18,Condition!$D$18,IF(GW23&gt;Condition!$E$19,Condition!$D$19,"")))))</f>
        <v>0</v>
      </c>
      <c r="GX66" s="85">
        <f>IF(GX23&lt;=Condition!$E$16,0,IF(GX23&lt;=Condition!$F$16,Condition!$D$16,IF(GX23&lt;=Condition!$F$17,Condition!$D$17,IF(GX23&lt;=Condition!$F$18,Condition!$D$18,IF(GX23&gt;Condition!$E$19,Condition!$D$19,"")))))</f>
        <v>0</v>
      </c>
      <c r="GY66" s="85">
        <f>IF(GY23&lt;=Condition!$E$16,0,IF(GY23&lt;=Condition!$F$16,Condition!$D$16,IF(GY23&lt;=Condition!$F$17,Condition!$D$17,IF(GY23&lt;=Condition!$F$18,Condition!$D$18,IF(GY23&gt;Condition!$E$19,Condition!$D$19,"")))))</f>
        <v>0</v>
      </c>
      <c r="GZ66" s="85">
        <f>IF(GZ23&lt;=Condition!$E$16,0,IF(GZ23&lt;=Condition!$F$16,Condition!$D$16,IF(GZ23&lt;=Condition!$F$17,Condition!$D$17,IF(GZ23&lt;=Condition!$F$18,Condition!$D$18,IF(GZ23&gt;Condition!$E$19,Condition!$D$19,"")))))</f>
        <v>0</v>
      </c>
      <c r="HA66" s="85">
        <f>IF(HA23&lt;=Condition!$E$16,0,IF(HA23&lt;=Condition!$F$16,Condition!$D$16,IF(HA23&lt;=Condition!$F$17,Condition!$D$17,IF(HA23&lt;=Condition!$F$18,Condition!$D$18,IF(HA23&gt;Condition!$E$19,Condition!$D$19,"")))))</f>
        <v>0</v>
      </c>
      <c r="HB66" s="85">
        <f>IF(HB23&lt;=Condition!$E$16,0,IF(HB23&lt;=Condition!$F$16,Condition!$D$16,IF(HB23&lt;=Condition!$F$17,Condition!$D$17,IF(HB23&lt;=Condition!$F$18,Condition!$D$18,IF(HB23&gt;Condition!$E$19,Condition!$D$19,"")))))</f>
        <v>0</v>
      </c>
      <c r="HC66" s="85">
        <f>IF(HC23&lt;=Condition!$E$16,0,IF(HC23&lt;=Condition!$F$16,Condition!$D$16,IF(HC23&lt;=Condition!$F$17,Condition!$D$17,IF(HC23&lt;=Condition!$F$18,Condition!$D$18,IF(HC23&gt;Condition!$E$19,Condition!$D$19,"")))))</f>
        <v>0</v>
      </c>
      <c r="HD66" s="85">
        <f>IF(HD23&lt;=Condition!$E$16,0,IF(HD23&lt;=Condition!$F$16,Condition!$D$16,IF(HD23&lt;=Condition!$F$17,Condition!$D$17,IF(HD23&lt;=Condition!$F$18,Condition!$D$18,IF(HD23&gt;Condition!$E$19,Condition!$D$19,"")))))</f>
        <v>0</v>
      </c>
      <c r="HE66" s="85">
        <f>IF(HE23&lt;=Condition!$E$16,0,IF(HE23&lt;=Condition!$F$16,Condition!$D$16,IF(HE23&lt;=Condition!$F$17,Condition!$D$17,IF(HE23&lt;=Condition!$F$18,Condition!$D$18,IF(HE23&gt;Condition!$E$19,Condition!$D$19,"")))))</f>
        <v>0</v>
      </c>
      <c r="HF66" s="85">
        <f>IF(HF23&lt;=Condition!$E$16,0,IF(HF23&lt;=Condition!$F$16,Condition!$D$16,IF(HF23&lt;=Condition!$F$17,Condition!$D$17,IF(HF23&lt;=Condition!$F$18,Condition!$D$18,IF(HF23&gt;Condition!$E$19,Condition!$D$19,"")))))</f>
        <v>0</v>
      </c>
      <c r="HG66" s="85">
        <f>IF(HG23&lt;=Condition!$E$16,0,IF(HG23&lt;=Condition!$F$16,Condition!$D$16,IF(HG23&lt;=Condition!$F$17,Condition!$D$17,IF(HG23&lt;=Condition!$F$18,Condition!$D$18,IF(HG23&gt;Condition!$E$19,Condition!$D$19,"")))))</f>
        <v>0</v>
      </c>
      <c r="HH66" s="85">
        <f>IF(HH23&lt;=Condition!$E$16,0,IF(HH23&lt;=Condition!$F$16,Condition!$D$16,IF(HH23&lt;=Condition!$F$17,Condition!$D$17,IF(HH23&lt;=Condition!$F$18,Condition!$D$18,IF(HH23&gt;Condition!$E$19,Condition!$D$19,"")))))</f>
        <v>0</v>
      </c>
      <c r="HI66" s="85">
        <f>IF(HI23&lt;=Condition!$E$16,0,IF(HI23&lt;=Condition!$F$16,Condition!$D$16,IF(HI23&lt;=Condition!$F$17,Condition!$D$17,IF(HI23&lt;=Condition!$F$18,Condition!$D$18,IF(HI23&gt;Condition!$E$19,Condition!$D$19,"")))))</f>
        <v>0</v>
      </c>
      <c r="HJ66" s="85">
        <f>IF(HJ23&lt;=Condition!$E$16,0,IF(HJ23&lt;=Condition!$F$16,Condition!$D$16,IF(HJ23&lt;=Condition!$F$17,Condition!$D$17,IF(HJ23&lt;=Condition!$F$18,Condition!$D$18,IF(HJ23&gt;Condition!$E$19,Condition!$D$19,"")))))</f>
        <v>0</v>
      </c>
      <c r="HK66" s="85">
        <f>IF(HK23&lt;=Condition!$E$16,0,IF(HK23&lt;=Condition!$F$16,Condition!$D$16,IF(HK23&lt;=Condition!$F$17,Condition!$D$17,IF(HK23&lt;=Condition!$F$18,Condition!$D$18,IF(HK23&gt;Condition!$E$19,Condition!$D$19,"")))))</f>
        <v>0</v>
      </c>
      <c r="HL66" s="85">
        <f>IF(HL23&lt;=Condition!$E$16,0,IF(HL23&lt;=Condition!$F$16,Condition!$D$16,IF(HL23&lt;=Condition!$F$17,Condition!$D$17,IF(HL23&lt;=Condition!$F$18,Condition!$D$18,IF(HL23&gt;Condition!$E$19,Condition!$D$19,"")))))</f>
        <v>0</v>
      </c>
      <c r="HM66" s="85">
        <f>IF(HM23&lt;=Condition!$E$16,0,IF(HM23&lt;=Condition!$F$16,Condition!$D$16,IF(HM23&lt;=Condition!$F$17,Condition!$D$17,IF(HM23&lt;=Condition!$F$18,Condition!$D$18,IF(HM23&gt;Condition!$E$19,Condition!$D$19,"")))))</f>
        <v>0</v>
      </c>
      <c r="HN66" s="85">
        <f>IF(HN23&lt;=Condition!$E$16,0,IF(HN23&lt;=Condition!$F$16,Condition!$D$16,IF(HN23&lt;=Condition!$F$17,Condition!$D$17,IF(HN23&lt;=Condition!$F$18,Condition!$D$18,IF(HN23&gt;Condition!$E$19,Condition!$D$19,"")))))</f>
        <v>0</v>
      </c>
      <c r="HO66" s="85">
        <f>IF(HO23&lt;=Condition!$E$16,0,IF(HO23&lt;=Condition!$F$16,Condition!$D$16,IF(HO23&lt;=Condition!$F$17,Condition!$D$17,IF(HO23&lt;=Condition!$F$18,Condition!$D$18,IF(HO23&gt;Condition!$E$19,Condition!$D$19,"")))))</f>
        <v>0</v>
      </c>
      <c r="HP66" s="85">
        <f>IF(HP23&lt;=Condition!$E$16,0,IF(HP23&lt;=Condition!$F$16,Condition!$D$16,IF(HP23&lt;=Condition!$F$17,Condition!$D$17,IF(HP23&lt;=Condition!$F$18,Condition!$D$18,IF(HP23&gt;Condition!$E$19,Condition!$D$19,"")))))</f>
        <v>0</v>
      </c>
      <c r="HQ66" s="85">
        <f>IF(HQ23&lt;=Condition!$E$16,0,IF(HQ23&lt;=Condition!$F$16,Condition!$D$16,IF(HQ23&lt;=Condition!$F$17,Condition!$D$17,IF(HQ23&lt;=Condition!$F$18,Condition!$D$18,IF(HQ23&gt;Condition!$E$19,Condition!$D$19,"")))))</f>
        <v>0</v>
      </c>
      <c r="HR66" s="85">
        <f>IF(HR23&lt;=Condition!$E$16,0,IF(HR23&lt;=Condition!$F$16,Condition!$D$16,IF(HR23&lt;=Condition!$F$17,Condition!$D$17,IF(HR23&lt;=Condition!$F$18,Condition!$D$18,IF(HR23&gt;Condition!$E$19,Condition!$D$19,"")))))</f>
        <v>0</v>
      </c>
      <c r="HS66" s="85">
        <f>IF(HS23&lt;=Condition!$E$16,0,IF(HS23&lt;=Condition!$F$16,Condition!$D$16,IF(HS23&lt;=Condition!$F$17,Condition!$D$17,IF(HS23&lt;=Condition!$F$18,Condition!$D$18,IF(HS23&gt;Condition!$E$19,Condition!$D$19,"")))))</f>
        <v>0</v>
      </c>
      <c r="HT66" s="85">
        <f>IF(HT23&lt;=Condition!$E$16,0,IF(HT23&lt;=Condition!$F$16,Condition!$D$16,IF(HT23&lt;=Condition!$F$17,Condition!$D$17,IF(HT23&lt;=Condition!$F$18,Condition!$D$18,IF(HT23&gt;Condition!$E$19,Condition!$D$19,"")))))</f>
        <v>0</v>
      </c>
      <c r="HU66" s="85">
        <f>IF(HU23&lt;=Condition!$E$16,0,IF(HU23&lt;=Condition!$F$16,Condition!$D$16,IF(HU23&lt;=Condition!$F$17,Condition!$D$17,IF(HU23&lt;=Condition!$F$18,Condition!$D$18,IF(HU23&gt;Condition!$E$19,Condition!$D$19,"")))))</f>
        <v>0</v>
      </c>
      <c r="HV66" s="85">
        <f>IF(HV23&lt;=Condition!$E$16,0,IF(HV23&lt;=Condition!$F$16,Condition!$D$16,IF(HV23&lt;=Condition!$F$17,Condition!$D$17,IF(HV23&lt;=Condition!$F$18,Condition!$D$18,IF(HV23&gt;Condition!$E$19,Condition!$D$19,"")))))</f>
        <v>0</v>
      </c>
      <c r="HW66" s="85">
        <f>IF(HW23&lt;=Condition!$E$16,0,IF(HW23&lt;=Condition!$F$16,Condition!$D$16,IF(HW23&lt;=Condition!$F$17,Condition!$D$17,IF(HW23&lt;=Condition!$F$18,Condition!$D$18,IF(HW23&gt;Condition!$E$19,Condition!$D$19,"")))))</f>
        <v>0</v>
      </c>
      <c r="HX66" s="85">
        <f>IF(HX23&lt;=Condition!$E$16,0,IF(HX23&lt;=Condition!$F$16,Condition!$D$16,IF(HX23&lt;=Condition!$F$17,Condition!$D$17,IF(HX23&lt;=Condition!$F$18,Condition!$D$18,IF(HX23&gt;Condition!$E$19,Condition!$D$19,"")))))</f>
        <v>0</v>
      </c>
      <c r="HY66" s="85">
        <f>IF(HY23&lt;=Condition!$E$16,0,IF(HY23&lt;=Condition!$F$16,Condition!$D$16,IF(HY23&lt;=Condition!$F$17,Condition!$D$17,IF(HY23&lt;=Condition!$F$18,Condition!$D$18,IF(HY23&gt;Condition!$E$19,Condition!$D$19,"")))))</f>
        <v>0</v>
      </c>
      <c r="HZ66" s="85">
        <f>IF(HZ23&lt;=Condition!$E$16,0,IF(HZ23&lt;=Condition!$F$16,Condition!$D$16,IF(HZ23&lt;=Condition!$F$17,Condition!$D$17,IF(HZ23&lt;=Condition!$F$18,Condition!$D$18,IF(HZ23&gt;Condition!$E$19,Condition!$D$19,"")))))</f>
        <v>0</v>
      </c>
      <c r="IA66" s="85">
        <f>IF(IA23&lt;=Condition!$E$16,0,IF(IA23&lt;=Condition!$F$16,Condition!$D$16,IF(IA23&lt;=Condition!$F$17,Condition!$D$17,IF(IA23&lt;=Condition!$F$18,Condition!$D$18,IF(IA23&gt;Condition!$E$19,Condition!$D$19,"")))))</f>
        <v>0</v>
      </c>
      <c r="IB66" s="85">
        <f>IF(IB23&lt;=Condition!$E$16,0,IF(IB23&lt;=Condition!$F$16,Condition!$D$16,IF(IB23&lt;=Condition!$F$17,Condition!$D$17,IF(IB23&lt;=Condition!$F$18,Condition!$D$18,IF(IB23&gt;Condition!$E$19,Condition!$D$19,"")))))</f>
        <v>0</v>
      </c>
      <c r="IC66" s="85">
        <f>IF(IC23&lt;=Condition!$E$16,0,IF(IC23&lt;=Condition!$F$16,Condition!$D$16,IF(IC23&lt;=Condition!$F$17,Condition!$D$17,IF(IC23&lt;=Condition!$F$18,Condition!$D$18,IF(IC23&gt;Condition!$E$19,Condition!$D$19,"")))))</f>
        <v>0</v>
      </c>
      <c r="ID66" s="85">
        <f>IF(ID23&lt;=Condition!$E$16,0,IF(ID23&lt;=Condition!$F$16,Condition!$D$16,IF(ID23&lt;=Condition!$F$17,Condition!$D$17,IF(ID23&lt;=Condition!$F$18,Condition!$D$18,IF(ID23&gt;Condition!$E$19,Condition!$D$19,"")))))</f>
        <v>0</v>
      </c>
      <c r="IE66" s="85">
        <f>IF(IE23&lt;=Condition!$E$16,0,IF(IE23&lt;=Condition!$F$16,Condition!$D$16,IF(IE23&lt;=Condition!$F$17,Condition!$D$17,IF(IE23&lt;=Condition!$F$18,Condition!$D$18,IF(IE23&gt;Condition!$E$19,Condition!$D$19,"")))))</f>
        <v>0</v>
      </c>
      <c r="IF66" s="85">
        <f>IF(IF23&lt;=Condition!$E$16,0,IF(IF23&lt;=Condition!$F$16,Condition!$D$16,IF(IF23&lt;=Condition!$F$17,Condition!$D$17,IF(IF23&lt;=Condition!$F$18,Condition!$D$18,IF(IF23&gt;Condition!$E$19,Condition!$D$19,"")))))</f>
        <v>0</v>
      </c>
      <c r="IG66" s="85">
        <f>IF(IG23&lt;=Condition!$E$16,0,IF(IG23&lt;=Condition!$F$16,Condition!$D$16,IF(IG23&lt;=Condition!$F$17,Condition!$D$17,IF(IG23&lt;=Condition!$F$18,Condition!$D$18,IF(IG23&gt;Condition!$E$19,Condition!$D$19,"")))))</f>
        <v>0</v>
      </c>
      <c r="IH66" s="85">
        <f>IF(IH23&lt;=Condition!$E$16,0,IF(IH23&lt;=Condition!$F$16,Condition!$D$16,IF(IH23&lt;=Condition!$F$17,Condition!$D$17,IF(IH23&lt;=Condition!$F$18,Condition!$D$18,IF(IH23&gt;Condition!$E$19,Condition!$D$19,"")))))</f>
        <v>0</v>
      </c>
      <c r="II66" s="85">
        <f>IF(II23&lt;=Condition!$E$16,0,IF(II23&lt;=Condition!$F$16,Condition!$D$16,IF(II23&lt;=Condition!$F$17,Condition!$D$17,IF(II23&lt;=Condition!$F$18,Condition!$D$18,IF(II23&gt;Condition!$E$19,Condition!$D$19,"")))))</f>
        <v>0</v>
      </c>
      <c r="IJ66" s="85">
        <f>IF(IJ23&lt;=Condition!$E$16,0,IF(IJ23&lt;=Condition!$F$16,Condition!$D$16,IF(IJ23&lt;=Condition!$F$17,Condition!$D$17,IF(IJ23&lt;=Condition!$F$18,Condition!$D$18,IF(IJ23&gt;Condition!$E$19,Condition!$D$19,"")))))</f>
        <v>0</v>
      </c>
      <c r="IK66" s="85">
        <f>IF(IK23&lt;=Condition!$E$16,0,IF(IK23&lt;=Condition!$F$16,Condition!$D$16,IF(IK23&lt;=Condition!$F$17,Condition!$D$17,IF(IK23&lt;=Condition!$F$18,Condition!$D$18,IF(IK23&gt;Condition!$E$19,Condition!$D$19,"")))))</f>
        <v>0</v>
      </c>
      <c r="IL66" s="85">
        <f>IF(IL23&lt;=Condition!$E$16,0,IF(IL23&lt;=Condition!$F$16,Condition!$D$16,IF(IL23&lt;=Condition!$F$17,Condition!$D$17,IF(IL23&lt;=Condition!$F$18,Condition!$D$18,IF(IL23&gt;Condition!$E$19,Condition!$D$19,"")))))</f>
        <v>0</v>
      </c>
      <c r="IM66" s="85">
        <f>IF(IM23&lt;=Condition!$E$16,0,IF(IM23&lt;=Condition!$F$16,Condition!$D$16,IF(IM23&lt;=Condition!$F$17,Condition!$D$17,IF(IM23&lt;=Condition!$F$18,Condition!$D$18,IF(IM23&gt;Condition!$E$19,Condition!$D$19,"")))))</f>
        <v>0</v>
      </c>
      <c r="IN66" s="85">
        <f>IF(IN23&lt;=Condition!$E$16,0,IF(IN23&lt;=Condition!$F$16,Condition!$D$16,IF(IN23&lt;=Condition!$F$17,Condition!$D$17,IF(IN23&lt;=Condition!$F$18,Condition!$D$18,IF(IN23&gt;Condition!$E$19,Condition!$D$19,"")))))</f>
        <v>0</v>
      </c>
      <c r="IO66" s="85">
        <f>IF(IO23&lt;=Condition!$E$16,0,IF(IO23&lt;=Condition!$F$16,Condition!$D$16,IF(IO23&lt;=Condition!$F$17,Condition!$D$17,IF(IO23&lt;=Condition!$F$18,Condition!$D$18,IF(IO23&gt;Condition!$E$19,Condition!$D$19,"")))))</f>
        <v>0</v>
      </c>
      <c r="IP66" s="85">
        <f>IF(IP23&lt;=Condition!$E$16,0,IF(IP23&lt;=Condition!$F$16,Condition!$D$16,IF(IP23&lt;=Condition!$F$17,Condition!$D$17,IF(IP23&lt;=Condition!$F$18,Condition!$D$18,IF(IP23&gt;Condition!$E$19,Condition!$D$19,"")))))</f>
        <v>0</v>
      </c>
      <c r="IQ66" s="85">
        <f>IF(IQ23&lt;=Condition!$E$16,0,IF(IQ23&lt;=Condition!$F$16,Condition!$D$16,IF(IQ23&lt;=Condition!$F$17,Condition!$D$17,IF(IQ23&lt;=Condition!$F$18,Condition!$D$18,IF(IQ23&gt;Condition!$E$19,Condition!$D$19,"")))))</f>
        <v>0</v>
      </c>
      <c r="IR66" s="85">
        <f>IF(IR23&lt;=Condition!$E$16,0,IF(IR23&lt;=Condition!$F$16,Condition!$D$16,IF(IR23&lt;=Condition!$F$17,Condition!$D$17,IF(IR23&lt;=Condition!$F$18,Condition!$D$18,IF(IR23&gt;Condition!$E$19,Condition!$D$19,"")))))</f>
        <v>0</v>
      </c>
      <c r="IS66" s="85">
        <f>IF(IS23&lt;=Condition!$E$16,0,IF(IS23&lt;=Condition!$F$16,Condition!$D$16,IF(IS23&lt;=Condition!$F$17,Condition!$D$17,IF(IS23&lt;=Condition!$F$18,Condition!$D$18,IF(IS23&gt;Condition!$E$19,Condition!$D$19,"")))))</f>
        <v>0</v>
      </c>
      <c r="IT66" s="85">
        <f>IF(IT23&lt;=Condition!$E$16,0,IF(IT23&lt;=Condition!$F$16,Condition!$D$16,IF(IT23&lt;=Condition!$F$17,Condition!$D$17,IF(IT23&lt;=Condition!$F$18,Condition!$D$18,IF(IT23&gt;Condition!$E$19,Condition!$D$19,"")))))</f>
        <v>0</v>
      </c>
      <c r="IU66" s="85">
        <f>IF(IU23&lt;=Condition!$E$16,0,IF(IU23&lt;=Condition!$F$16,Condition!$D$16,IF(IU23&lt;=Condition!$F$17,Condition!$D$17,IF(IU23&lt;=Condition!$F$18,Condition!$D$18,IF(IU23&gt;Condition!$E$19,Condition!$D$19,"")))))</f>
        <v>0</v>
      </c>
      <c r="IV66" s="85">
        <f>IF(IV23&lt;=Condition!$E$16,0,IF(IV23&lt;=Condition!$F$16,Condition!$D$16,IF(IV23&lt;=Condition!$F$17,Condition!$D$17,IF(IV23&lt;=Condition!$F$18,Condition!$D$18,IF(IV23&gt;Condition!$E$19,Condition!$D$19,"")))))</f>
        <v>0</v>
      </c>
      <c r="IW66" s="85">
        <f>IF(IW23&lt;=Condition!$E$16,0,IF(IW23&lt;=Condition!$F$16,Condition!$D$16,IF(IW23&lt;=Condition!$F$17,Condition!$D$17,IF(IW23&lt;=Condition!$F$18,Condition!$D$18,IF(IW23&gt;Condition!$E$19,Condition!$D$19,"")))))</f>
        <v>0</v>
      </c>
      <c r="IX66" s="85">
        <f>IF(IX23&lt;=Condition!$E$16,0,IF(IX23&lt;=Condition!$F$16,Condition!$D$16,IF(IX23&lt;=Condition!$F$17,Condition!$D$17,IF(IX23&lt;=Condition!$F$18,Condition!$D$18,IF(IX23&gt;Condition!$E$19,Condition!$D$19,"")))))</f>
        <v>0</v>
      </c>
      <c r="IY66" s="85">
        <f>IF(IY23&lt;=Condition!$E$16,0,IF(IY23&lt;=Condition!$F$16,Condition!$D$16,IF(IY23&lt;=Condition!$F$17,Condition!$D$17,IF(IY23&lt;=Condition!$F$18,Condition!$D$18,IF(IY23&gt;Condition!$E$19,Condition!$D$19,"")))))</f>
        <v>0</v>
      </c>
      <c r="IZ66" s="85">
        <f>IF(IZ23&lt;=Condition!$E$16,0,IF(IZ23&lt;=Condition!$F$16,Condition!$D$16,IF(IZ23&lt;=Condition!$F$17,Condition!$D$17,IF(IZ23&lt;=Condition!$F$18,Condition!$D$18,IF(IZ23&gt;Condition!$E$19,Condition!$D$19,"")))))</f>
        <v>0</v>
      </c>
      <c r="JA66" s="85">
        <f>IF(JA23&lt;=Condition!$E$16,0,IF(JA23&lt;=Condition!$F$16,Condition!$D$16,IF(JA23&lt;=Condition!$F$17,Condition!$D$17,IF(JA23&lt;=Condition!$F$18,Condition!$D$18,IF(JA23&gt;Condition!$E$19,Condition!$D$19,"")))))</f>
        <v>0</v>
      </c>
      <c r="JB66" s="85">
        <f>IF(JB23&lt;=Condition!$E$16,0,IF(JB23&lt;=Condition!$F$16,Condition!$D$16,IF(JB23&lt;=Condition!$F$17,Condition!$D$17,IF(JB23&lt;=Condition!$F$18,Condition!$D$18,IF(JB23&gt;Condition!$E$19,Condition!$D$19,"")))))</f>
        <v>0</v>
      </c>
      <c r="JC66" s="85">
        <f>IF(JC23&lt;=Condition!$E$16,0,IF(JC23&lt;=Condition!$F$16,Condition!$D$16,IF(JC23&lt;=Condition!$F$17,Condition!$D$17,IF(JC23&lt;=Condition!$F$18,Condition!$D$18,IF(JC23&gt;Condition!$E$19,Condition!$D$19,"")))))</f>
        <v>0</v>
      </c>
      <c r="JD66" s="85">
        <f>IF(JD23&lt;=Condition!$E$16,0,IF(JD23&lt;=Condition!$F$16,Condition!$D$16,IF(JD23&lt;=Condition!$F$17,Condition!$D$17,IF(JD23&lt;=Condition!$F$18,Condition!$D$18,IF(JD23&gt;Condition!$E$19,Condition!$D$19,"")))))</f>
        <v>0</v>
      </c>
      <c r="JE66" s="85">
        <f>IF(JE23&lt;=Condition!$E$16,0,IF(JE23&lt;=Condition!$F$16,Condition!$D$16,IF(JE23&lt;=Condition!$F$17,Condition!$D$17,IF(JE23&lt;=Condition!$F$18,Condition!$D$18,IF(JE23&gt;Condition!$E$19,Condition!$D$19,"")))))</f>
        <v>0</v>
      </c>
      <c r="JF66" s="85">
        <f>IF(JF23&lt;=Condition!$E$16,0,IF(JF23&lt;=Condition!$F$16,Condition!$D$16,IF(JF23&lt;=Condition!$F$17,Condition!$D$17,IF(JF23&lt;=Condition!$F$18,Condition!$D$18,IF(JF23&gt;Condition!$E$19,Condition!$D$19,"")))))</f>
        <v>0</v>
      </c>
      <c r="JG66" s="85">
        <f>IF(JG23&lt;=Condition!$E$16,0,IF(JG23&lt;=Condition!$F$16,Condition!$D$16,IF(JG23&lt;=Condition!$F$17,Condition!$D$17,IF(JG23&lt;=Condition!$F$18,Condition!$D$18,IF(JG23&gt;Condition!$E$19,Condition!$D$19,"")))))</f>
        <v>0</v>
      </c>
      <c r="JH66" s="85">
        <f>IF(JH23&lt;=Condition!$E$16,0,IF(JH23&lt;=Condition!$F$16,Condition!$D$16,IF(JH23&lt;=Condition!$F$17,Condition!$D$17,IF(JH23&lt;=Condition!$F$18,Condition!$D$18,IF(JH23&gt;Condition!$E$19,Condition!$D$19,"")))))</f>
        <v>0</v>
      </c>
      <c r="JI66" s="85">
        <f>IF(JI23&lt;=Condition!$E$16,0,IF(JI23&lt;=Condition!$F$16,Condition!$D$16,IF(JI23&lt;=Condition!$F$17,Condition!$D$17,IF(JI23&lt;=Condition!$F$18,Condition!$D$18,IF(JI23&gt;Condition!$E$19,Condition!$D$19,"")))))</f>
        <v>0</v>
      </c>
      <c r="JJ66" s="85">
        <f>IF(JJ23&lt;=Condition!$E$16,0,IF(JJ23&lt;=Condition!$F$16,Condition!$D$16,IF(JJ23&lt;=Condition!$F$17,Condition!$D$17,IF(JJ23&lt;=Condition!$F$18,Condition!$D$18,IF(JJ23&gt;Condition!$E$19,Condition!$D$19,"")))))</f>
        <v>0</v>
      </c>
      <c r="JK66" s="85">
        <f>IF(JK23&lt;=Condition!$E$16,0,IF(JK23&lt;=Condition!$F$16,Condition!$D$16,IF(JK23&lt;=Condition!$F$17,Condition!$D$17,IF(JK23&lt;=Condition!$F$18,Condition!$D$18,IF(JK23&gt;Condition!$E$19,Condition!$D$19,"")))))</f>
        <v>0</v>
      </c>
      <c r="JL66" s="85">
        <f>IF(JL23&lt;=Condition!$E$16,0,IF(JL23&lt;=Condition!$F$16,Condition!$D$16,IF(JL23&lt;=Condition!$F$17,Condition!$D$17,IF(JL23&lt;=Condition!$F$18,Condition!$D$18,IF(JL23&gt;Condition!$E$19,Condition!$D$19,"")))))</f>
        <v>0</v>
      </c>
      <c r="JM66" s="85">
        <f>IF(JM23&lt;=Condition!$E$16,0,IF(JM23&lt;=Condition!$F$16,Condition!$D$16,IF(JM23&lt;=Condition!$F$17,Condition!$D$17,IF(JM23&lt;=Condition!$F$18,Condition!$D$18,IF(JM23&gt;Condition!$E$19,Condition!$D$19,"")))))</f>
        <v>0</v>
      </c>
      <c r="JN66" s="85">
        <f>IF(JN23&lt;=Condition!$E$16,0,IF(JN23&lt;=Condition!$F$16,Condition!$D$16,IF(JN23&lt;=Condition!$F$17,Condition!$D$17,IF(JN23&lt;=Condition!$F$18,Condition!$D$18,IF(JN23&gt;Condition!$E$19,Condition!$D$19,"")))))</f>
        <v>0</v>
      </c>
      <c r="JO66" s="85">
        <f>IF(JO23&lt;=Condition!$E$16,0,IF(JO23&lt;=Condition!$F$16,Condition!$D$16,IF(JO23&lt;=Condition!$F$17,Condition!$D$17,IF(JO23&lt;=Condition!$F$18,Condition!$D$18,IF(JO23&gt;Condition!$E$19,Condition!$D$19,"")))))</f>
        <v>0</v>
      </c>
      <c r="JP66" s="85">
        <f>IF(JP23&lt;=Condition!$E$16,0,IF(JP23&lt;=Condition!$F$16,Condition!$D$16,IF(JP23&lt;=Condition!$F$17,Condition!$D$17,IF(JP23&lt;=Condition!$F$18,Condition!$D$18,IF(JP23&gt;Condition!$E$19,Condition!$D$19,"")))))</f>
        <v>0</v>
      </c>
      <c r="JQ66" s="85">
        <f>IF(JQ23&lt;=Condition!$E$16,0,IF(JQ23&lt;=Condition!$F$16,Condition!$D$16,IF(JQ23&lt;=Condition!$F$17,Condition!$D$17,IF(JQ23&lt;=Condition!$F$18,Condition!$D$18,IF(JQ23&gt;Condition!$E$19,Condition!$D$19,"")))))</f>
        <v>0</v>
      </c>
      <c r="JR66" s="85">
        <f>IF(JR23&lt;=Condition!$E$16,0,IF(JR23&lt;=Condition!$F$16,Condition!$D$16,IF(JR23&lt;=Condition!$F$17,Condition!$D$17,IF(JR23&lt;=Condition!$F$18,Condition!$D$18,IF(JR23&gt;Condition!$E$19,Condition!$D$19,"")))))</f>
        <v>0</v>
      </c>
      <c r="JS66" s="85">
        <f>IF(JS23&lt;=Condition!$E$16,0,IF(JS23&lt;=Condition!$F$16,Condition!$D$16,IF(JS23&lt;=Condition!$F$17,Condition!$D$17,IF(JS23&lt;=Condition!$F$18,Condition!$D$18,IF(JS23&gt;Condition!$E$19,Condition!$D$19,"")))))</f>
        <v>0</v>
      </c>
      <c r="JT66" s="85">
        <f>IF(JT23&lt;=Condition!$E$16,0,IF(JT23&lt;=Condition!$F$16,Condition!$D$16,IF(JT23&lt;=Condition!$F$17,Condition!$D$17,IF(JT23&lt;=Condition!$F$18,Condition!$D$18,IF(JT23&gt;Condition!$E$19,Condition!$D$19,"")))))</f>
        <v>0</v>
      </c>
      <c r="JU66" s="85">
        <f>IF(JU23&lt;=Condition!$E$16,0,IF(JU23&lt;=Condition!$F$16,Condition!$D$16,IF(JU23&lt;=Condition!$F$17,Condition!$D$17,IF(JU23&lt;=Condition!$F$18,Condition!$D$18,IF(JU23&gt;Condition!$E$19,Condition!$D$19,"")))))</f>
        <v>0</v>
      </c>
      <c r="JV66" s="85">
        <f>IF(JV23&lt;=Condition!$E$16,0,IF(JV23&lt;=Condition!$F$16,Condition!$D$16,IF(JV23&lt;=Condition!$F$17,Condition!$D$17,IF(JV23&lt;=Condition!$F$18,Condition!$D$18,IF(JV23&gt;Condition!$E$19,Condition!$D$19,"")))))</f>
        <v>0</v>
      </c>
      <c r="JW66" s="85">
        <f>IF(JW23&lt;=Condition!$E$16,0,IF(JW23&lt;=Condition!$F$16,Condition!$D$16,IF(JW23&lt;=Condition!$F$17,Condition!$D$17,IF(JW23&lt;=Condition!$F$18,Condition!$D$18,IF(JW23&gt;Condition!$E$19,Condition!$D$19,"")))))</f>
        <v>0</v>
      </c>
      <c r="JX66" s="85">
        <f>IF(JX23&lt;=Condition!$E$16,0,IF(JX23&lt;=Condition!$F$16,Condition!$D$16,IF(JX23&lt;=Condition!$F$17,Condition!$D$17,IF(JX23&lt;=Condition!$F$18,Condition!$D$18,IF(JX23&gt;Condition!$E$19,Condition!$D$19,"")))))</f>
        <v>0</v>
      </c>
      <c r="JY66" s="85">
        <f>IF(JY23&lt;=Condition!$E$16,0,IF(JY23&lt;=Condition!$F$16,Condition!$D$16,IF(JY23&lt;=Condition!$F$17,Condition!$D$17,IF(JY23&lt;=Condition!$F$18,Condition!$D$18,IF(JY23&gt;Condition!$E$19,Condition!$D$19,"")))))</f>
        <v>0</v>
      </c>
      <c r="JZ66" s="85">
        <f>IF(JZ23&lt;=Condition!$E$16,0,IF(JZ23&lt;=Condition!$F$16,Condition!$D$16,IF(JZ23&lt;=Condition!$F$17,Condition!$D$17,IF(JZ23&lt;=Condition!$F$18,Condition!$D$18,IF(JZ23&gt;Condition!$E$19,Condition!$D$19,"")))))</f>
        <v>0</v>
      </c>
      <c r="KA66" s="85">
        <f>IF(KA23&lt;=Condition!$E$16,0,IF(KA23&lt;=Condition!$F$16,Condition!$D$16,IF(KA23&lt;=Condition!$F$17,Condition!$D$17,IF(KA23&lt;=Condition!$F$18,Condition!$D$18,IF(KA23&gt;Condition!$E$19,Condition!$D$19,"")))))</f>
        <v>0</v>
      </c>
      <c r="KB66" s="85">
        <f>IF(KB23&lt;=Condition!$E$16,0,IF(KB23&lt;=Condition!$F$16,Condition!$D$16,IF(KB23&lt;=Condition!$F$17,Condition!$D$17,IF(KB23&lt;=Condition!$F$18,Condition!$D$18,IF(KB23&gt;Condition!$E$19,Condition!$D$19,"")))))</f>
        <v>0</v>
      </c>
      <c r="KC66" s="85">
        <f>IF(KC23&lt;=Condition!$E$16,0,IF(KC23&lt;=Condition!$F$16,Condition!$D$16,IF(KC23&lt;=Condition!$F$17,Condition!$D$17,IF(KC23&lt;=Condition!$F$18,Condition!$D$18,IF(KC23&gt;Condition!$E$19,Condition!$D$19,"")))))</f>
        <v>0</v>
      </c>
      <c r="KD66" s="85">
        <f>IF(KD23&lt;=Condition!$E$16,0,IF(KD23&lt;=Condition!$F$16,Condition!$D$16,IF(KD23&lt;=Condition!$F$17,Condition!$D$17,IF(KD23&lt;=Condition!$F$18,Condition!$D$18,IF(KD23&gt;Condition!$E$19,Condition!$D$19,"")))))</f>
        <v>0</v>
      </c>
      <c r="KE66" s="85">
        <f>IF(KE23&lt;=Condition!$E$16,0,IF(KE23&lt;=Condition!$F$16,Condition!$D$16,IF(KE23&lt;=Condition!$F$17,Condition!$D$17,IF(KE23&lt;=Condition!$F$18,Condition!$D$18,IF(KE23&gt;Condition!$E$19,Condition!$D$19,"")))))</f>
        <v>0</v>
      </c>
      <c r="KF66" s="85">
        <f>IF(KF23&lt;=Condition!$E$16,0,IF(KF23&lt;=Condition!$F$16,Condition!$D$16,IF(KF23&lt;=Condition!$F$17,Condition!$D$17,IF(KF23&lt;=Condition!$F$18,Condition!$D$18,IF(KF23&gt;Condition!$E$19,Condition!$D$19,"")))))</f>
        <v>0</v>
      </c>
      <c r="KG66" s="85">
        <f>IF(KG23&lt;=Condition!$E$16,0,IF(KG23&lt;=Condition!$F$16,Condition!$D$16,IF(KG23&lt;=Condition!$F$17,Condition!$D$17,IF(KG23&lt;=Condition!$F$18,Condition!$D$18,IF(KG23&gt;Condition!$E$19,Condition!$D$19,"")))))</f>
        <v>0</v>
      </c>
      <c r="KH66" s="85">
        <f>IF(KH23&lt;=Condition!$E$16,0,IF(KH23&lt;=Condition!$F$16,Condition!$D$16,IF(KH23&lt;=Condition!$F$17,Condition!$D$17,IF(KH23&lt;=Condition!$F$18,Condition!$D$18,IF(KH23&gt;Condition!$E$19,Condition!$D$19,"")))))</f>
        <v>0</v>
      </c>
      <c r="KI66" s="85">
        <f>IF(KI23&lt;=Condition!$E$16,0,IF(KI23&lt;=Condition!$F$16,Condition!$D$16,IF(KI23&lt;=Condition!$F$17,Condition!$D$17,IF(KI23&lt;=Condition!$F$18,Condition!$D$18,IF(KI23&gt;Condition!$E$19,Condition!$D$19,"")))))</f>
        <v>0</v>
      </c>
    </row>
    <row r="67" spans="2:295" x14ac:dyDescent="0.25">
      <c r="B67" s="15">
        <f t="shared" ref="B67:E67" si="22">B24</f>
        <v>12</v>
      </c>
      <c r="C67" s="25" t="str">
        <f t="shared" si="22"/>
        <v>DSL-DHK</v>
      </c>
      <c r="D67" s="25" t="str">
        <f t="shared" si="22"/>
        <v>Ashikur Rahman</v>
      </c>
      <c r="E67" s="26">
        <f t="shared" si="22"/>
        <v>6080</v>
      </c>
      <c r="F67" s="112">
        <f t="shared" si="4"/>
        <v>5800</v>
      </c>
      <c r="G67" s="112">
        <f t="shared" si="5"/>
        <v>0</v>
      </c>
      <c r="H67" s="85">
        <f>IF(H24&lt;=Condition!$E$16,0,IF(H24&lt;=Condition!$F$16,Condition!$D$16,IF(H24&lt;=Condition!$F$17,Condition!$D$17,IF(H24&lt;=Condition!$F$18,Condition!$D$18,IF(H24&gt;Condition!$E$19,Condition!$D$19,"")))))</f>
        <v>400</v>
      </c>
      <c r="I67" s="85">
        <f>IF(I24&lt;=Condition!$E$16,0,IF(I24&lt;=Condition!$F$16,Condition!$D$16,IF(I24&lt;=Condition!$F$17,Condition!$D$17,IF(I24&lt;=Condition!$F$18,Condition!$D$18,IF(I24&gt;Condition!$E$19,Condition!$D$19,"")))))</f>
        <v>0</v>
      </c>
      <c r="J67" s="85">
        <f>IF(J24&lt;=Condition!$E$16,0,IF(J24&lt;=Condition!$F$16,Condition!$D$16,IF(J24&lt;=Condition!$F$17,Condition!$D$17,IF(J24&lt;=Condition!$F$18,Condition!$D$18,IF(J24&gt;Condition!$E$19,Condition!$D$19,"")))))</f>
        <v>400</v>
      </c>
      <c r="K67" s="85">
        <f>IF(K24&lt;=Condition!$E$16,0,IF(K24&lt;=Condition!$F$16,Condition!$D$16,IF(K24&lt;=Condition!$F$17,Condition!$D$17,IF(K24&lt;=Condition!$F$18,Condition!$D$18,IF(K24&gt;Condition!$E$19,Condition!$D$19,"")))))</f>
        <v>0</v>
      </c>
      <c r="L67" s="85">
        <f>IF(L24&lt;=Condition!$E$16,0,IF(L24&lt;=Condition!$F$16,Condition!$D$16,IF(L24&lt;=Condition!$F$17,Condition!$D$17,IF(L24&lt;=Condition!$F$18,Condition!$D$18,IF(L24&gt;Condition!$E$19,Condition!$D$19,"")))))</f>
        <v>400</v>
      </c>
      <c r="M67" s="85">
        <f>IF(M24&lt;=Condition!$E$16,0,IF(M24&lt;=Condition!$F$16,Condition!$D$16,IF(M24&lt;=Condition!$F$17,Condition!$D$17,IF(M24&lt;=Condition!$F$18,Condition!$D$18,IF(M24&gt;Condition!$E$19,Condition!$D$19,"")))))</f>
        <v>0</v>
      </c>
      <c r="N67" s="85">
        <f>IF(N24&lt;=Condition!$E$16,0,IF(N24&lt;=Condition!$F$16,Condition!$D$16,IF(N24&lt;=Condition!$F$17,Condition!$D$17,IF(N24&lt;=Condition!$F$18,Condition!$D$18,IF(N24&gt;Condition!$E$19,Condition!$D$19,"")))))</f>
        <v>400</v>
      </c>
      <c r="O67" s="85">
        <f>IF(O24&lt;=Condition!$E$16,0,IF(O24&lt;=Condition!$F$16,Condition!$D$16,IF(O24&lt;=Condition!$F$17,Condition!$D$17,IF(O24&lt;=Condition!$F$18,Condition!$D$18,IF(O24&gt;Condition!$E$19,Condition!$D$19,"")))))</f>
        <v>0</v>
      </c>
      <c r="P67" s="85">
        <f>IF(P24&lt;=Condition!$E$16,0,IF(P24&lt;=Condition!$F$16,Condition!$D$16,IF(P24&lt;=Condition!$F$17,Condition!$D$17,IF(P24&lt;=Condition!$F$18,Condition!$D$18,IF(P24&gt;Condition!$E$19,Condition!$D$19,"")))))</f>
        <v>400</v>
      </c>
      <c r="Q67" s="85">
        <f>IF(Q24&lt;=Condition!$E$16,0,IF(Q24&lt;=Condition!$F$16,Condition!$D$16,IF(Q24&lt;=Condition!$F$17,Condition!$D$17,IF(Q24&lt;=Condition!$F$18,Condition!$D$18,IF(Q24&gt;Condition!$E$19,Condition!$D$19,"")))))</f>
        <v>0</v>
      </c>
      <c r="R67" s="85">
        <f>IF(R24&lt;=Condition!$E$16,0,IF(R24&lt;=Condition!$F$16,Condition!$D$16,IF(R24&lt;=Condition!$F$17,Condition!$D$17,IF(R24&lt;=Condition!$F$18,Condition!$D$18,IF(R24&gt;Condition!$E$19,Condition!$D$19,"")))))</f>
        <v>400</v>
      </c>
      <c r="S67" s="85">
        <f>IF(S24&lt;=Condition!$E$16,0,IF(S24&lt;=Condition!$F$16,Condition!$D$16,IF(S24&lt;=Condition!$F$17,Condition!$D$17,IF(S24&lt;=Condition!$F$18,Condition!$D$18,IF(S24&gt;Condition!$E$19,Condition!$D$19,"")))))</f>
        <v>0</v>
      </c>
      <c r="T67" s="85">
        <f>IF(T24&lt;=Condition!$E$16,0,IF(T24&lt;=Condition!$F$16,Condition!$D$16,IF(T24&lt;=Condition!$F$17,Condition!$D$17,IF(T24&lt;=Condition!$F$18,Condition!$D$18,IF(T24&gt;Condition!$E$19,Condition!$D$19,"")))))</f>
        <v>500</v>
      </c>
      <c r="U67" s="85">
        <f>IF(U24&lt;=Condition!$E$16,0,IF(U24&lt;=Condition!$F$16,Condition!$D$16,IF(U24&lt;=Condition!$F$17,Condition!$D$17,IF(U24&lt;=Condition!$F$18,Condition!$D$18,IF(U24&gt;Condition!$E$19,Condition!$D$19,"")))))</f>
        <v>0</v>
      </c>
      <c r="V67" s="85">
        <f>IF(V24&lt;=Condition!$E$16,0,IF(V24&lt;=Condition!$F$16,Condition!$D$16,IF(V24&lt;=Condition!$F$17,Condition!$D$17,IF(V24&lt;=Condition!$F$18,Condition!$D$18,IF(V24&gt;Condition!$E$19,Condition!$D$19,"")))))</f>
        <v>500</v>
      </c>
      <c r="W67" s="85">
        <f>IF(W24&lt;=Condition!$E$16,0,IF(W24&lt;=Condition!$F$16,Condition!$D$16,IF(W24&lt;=Condition!$F$17,Condition!$D$17,IF(W24&lt;=Condition!$F$18,Condition!$D$18,IF(W24&gt;Condition!$E$19,Condition!$D$19,"")))))</f>
        <v>0</v>
      </c>
      <c r="X67" s="85">
        <f>IF(X24&lt;=Condition!$E$16,0,IF(X24&lt;=Condition!$F$16,Condition!$D$16,IF(X24&lt;=Condition!$F$17,Condition!$D$17,IF(X24&lt;=Condition!$F$18,Condition!$D$18,IF(X24&gt;Condition!$E$19,Condition!$D$19,"")))))</f>
        <v>400</v>
      </c>
      <c r="Y67" s="85">
        <f>IF(Y24&lt;=Condition!$E$16,0,IF(Y24&lt;=Condition!$F$16,Condition!$D$16,IF(Y24&lt;=Condition!$F$17,Condition!$D$17,IF(Y24&lt;=Condition!$F$18,Condition!$D$18,IF(Y24&gt;Condition!$E$19,Condition!$D$19,"")))))</f>
        <v>0</v>
      </c>
      <c r="Z67" s="85">
        <f>IF(Z24&lt;=Condition!$E$16,0,IF(Z24&lt;=Condition!$F$16,Condition!$D$16,IF(Z24&lt;=Condition!$F$17,Condition!$D$17,IF(Z24&lt;=Condition!$F$18,Condition!$D$18,IF(Z24&gt;Condition!$E$19,Condition!$D$19,"")))))</f>
        <v>400</v>
      </c>
      <c r="AA67" s="85">
        <f>IF(AA24&lt;=Condition!$E$16,0,IF(AA24&lt;=Condition!$F$16,Condition!$D$16,IF(AA24&lt;=Condition!$F$17,Condition!$D$17,IF(AA24&lt;=Condition!$F$18,Condition!$D$18,IF(AA24&gt;Condition!$E$19,Condition!$D$19,"")))))</f>
        <v>0</v>
      </c>
      <c r="AB67" s="85">
        <f>IF(AB24&lt;=Condition!$E$16,0,IF(AB24&lt;=Condition!$F$16,Condition!$D$16,IF(AB24&lt;=Condition!$F$17,Condition!$D$17,IF(AB24&lt;=Condition!$F$18,Condition!$D$18,IF(AB24&gt;Condition!$E$19,Condition!$D$19,"")))))</f>
        <v>400</v>
      </c>
      <c r="AC67" s="85">
        <f>IF(AC24&lt;=Condition!$E$16,0,IF(AC24&lt;=Condition!$F$16,Condition!$D$16,IF(AC24&lt;=Condition!$F$17,Condition!$D$17,IF(AC24&lt;=Condition!$F$18,Condition!$D$18,IF(AC24&gt;Condition!$E$19,Condition!$D$19,"")))))</f>
        <v>0</v>
      </c>
      <c r="AD67" s="85">
        <f>IF(AD24&lt;=Condition!$E$16,0,IF(AD24&lt;=Condition!$F$16,Condition!$D$16,IF(AD24&lt;=Condition!$F$17,Condition!$D$17,IF(AD24&lt;=Condition!$F$18,Condition!$D$18,IF(AD24&gt;Condition!$E$19,Condition!$D$19,"")))))</f>
        <v>400</v>
      </c>
      <c r="AE67" s="85">
        <f>IF(AE24&lt;=Condition!$E$16,0,IF(AE24&lt;=Condition!$F$16,Condition!$D$16,IF(AE24&lt;=Condition!$F$17,Condition!$D$17,IF(AE24&lt;=Condition!$F$18,Condition!$D$18,IF(AE24&gt;Condition!$E$19,Condition!$D$19,"")))))</f>
        <v>0</v>
      </c>
      <c r="AF67" s="85">
        <f>IF(AF24&lt;=Condition!$E$16,0,IF(AF24&lt;=Condition!$F$16,Condition!$D$16,IF(AF24&lt;=Condition!$F$17,Condition!$D$17,IF(AF24&lt;=Condition!$F$18,Condition!$D$18,IF(AF24&gt;Condition!$E$19,Condition!$D$19,"")))))</f>
        <v>400</v>
      </c>
      <c r="AG67" s="85">
        <f>IF(AG24&lt;=Condition!$E$16,0,IF(AG24&lt;=Condition!$F$16,Condition!$D$16,IF(AG24&lt;=Condition!$F$17,Condition!$D$17,IF(AG24&lt;=Condition!$F$18,Condition!$D$18,IF(AG24&gt;Condition!$E$19,Condition!$D$19,"")))))</f>
        <v>0</v>
      </c>
      <c r="AH67" s="85">
        <f>IF(AH24&lt;=Condition!$E$16,0,IF(AH24&lt;=Condition!$F$16,Condition!$D$16,IF(AH24&lt;=Condition!$F$17,Condition!$D$17,IF(AH24&lt;=Condition!$F$18,Condition!$D$18,IF(AH24&gt;Condition!$E$19,Condition!$D$19,"")))))</f>
        <v>400</v>
      </c>
      <c r="AI67" s="85">
        <f>IF(AI24&lt;=Condition!$E$16,0,IF(AI24&lt;=Condition!$F$16,Condition!$D$16,IF(AI24&lt;=Condition!$F$17,Condition!$D$17,IF(AI24&lt;=Condition!$F$18,Condition!$D$18,IF(AI24&gt;Condition!$E$19,Condition!$D$19,"")))))</f>
        <v>0</v>
      </c>
      <c r="AJ67" s="85">
        <f>IF(AJ24&lt;=Condition!$E$16,0,IF(AJ24&lt;=Condition!$F$16,Condition!$D$16,IF(AJ24&lt;=Condition!$F$17,Condition!$D$17,IF(AJ24&lt;=Condition!$F$18,Condition!$D$18,IF(AJ24&gt;Condition!$E$19,Condition!$D$19,"")))))</f>
        <v>0</v>
      </c>
      <c r="AK67" s="85">
        <f>IF(AK24&lt;=Condition!$E$16,0,IF(AK24&lt;=Condition!$F$16,Condition!$D$16,IF(AK24&lt;=Condition!$F$17,Condition!$D$17,IF(AK24&lt;=Condition!$F$18,Condition!$D$18,IF(AK24&gt;Condition!$E$19,Condition!$D$19,"")))))</f>
        <v>0</v>
      </c>
      <c r="AL67" s="85">
        <f>IF(AL24&lt;=Condition!$E$16,0,IF(AL24&lt;=Condition!$F$16,Condition!$D$16,IF(AL24&lt;=Condition!$F$17,Condition!$D$17,IF(AL24&lt;=Condition!$F$18,Condition!$D$18,IF(AL24&gt;Condition!$E$19,Condition!$D$19,"")))))</f>
        <v>0</v>
      </c>
      <c r="AM67" s="85">
        <f>IF(AM24&lt;=Condition!$E$16,0,IF(AM24&lt;=Condition!$F$16,Condition!$D$16,IF(AM24&lt;=Condition!$F$17,Condition!$D$17,IF(AM24&lt;=Condition!$F$18,Condition!$D$18,IF(AM24&gt;Condition!$E$19,Condition!$D$19,"")))))</f>
        <v>0</v>
      </c>
      <c r="AN67" s="85">
        <f>IF(AN24&lt;=Condition!$E$16,0,IF(AN24&lt;=Condition!$F$16,Condition!$D$16,IF(AN24&lt;=Condition!$F$17,Condition!$D$17,IF(AN24&lt;=Condition!$F$18,Condition!$D$18,IF(AN24&gt;Condition!$E$19,Condition!$D$19,"")))))</f>
        <v>0</v>
      </c>
      <c r="AO67" s="85">
        <f>IF(AO24&lt;=Condition!$E$16,0,IF(AO24&lt;=Condition!$F$16,Condition!$D$16,IF(AO24&lt;=Condition!$F$17,Condition!$D$17,IF(AO24&lt;=Condition!$F$18,Condition!$D$18,IF(AO24&gt;Condition!$E$19,Condition!$D$19,"")))))</f>
        <v>0</v>
      </c>
      <c r="AP67" s="85">
        <f>IF(AP24&lt;=Condition!$E$16,0,IF(AP24&lt;=Condition!$F$16,Condition!$D$16,IF(AP24&lt;=Condition!$F$17,Condition!$D$17,IF(AP24&lt;=Condition!$F$18,Condition!$D$18,IF(AP24&gt;Condition!$E$19,Condition!$D$19,"")))))</f>
        <v>0</v>
      </c>
      <c r="AQ67" s="85">
        <f>IF(AQ24&lt;=Condition!$E$16,0,IF(AQ24&lt;=Condition!$F$16,Condition!$D$16,IF(AQ24&lt;=Condition!$F$17,Condition!$D$17,IF(AQ24&lt;=Condition!$F$18,Condition!$D$18,IF(AQ24&gt;Condition!$E$19,Condition!$D$19,"")))))</f>
        <v>0</v>
      </c>
      <c r="AR67" s="85">
        <f>IF(AR24&lt;=Condition!$E$16,0,IF(AR24&lt;=Condition!$F$16,Condition!$D$16,IF(AR24&lt;=Condition!$F$17,Condition!$D$17,IF(AR24&lt;=Condition!$F$18,Condition!$D$18,IF(AR24&gt;Condition!$E$19,Condition!$D$19,"")))))</f>
        <v>0</v>
      </c>
      <c r="AS67" s="85">
        <f>IF(AS24&lt;=Condition!$E$16,0,IF(AS24&lt;=Condition!$F$16,Condition!$D$16,IF(AS24&lt;=Condition!$F$17,Condition!$D$17,IF(AS24&lt;=Condition!$F$18,Condition!$D$18,IF(AS24&gt;Condition!$E$19,Condition!$D$19,"")))))</f>
        <v>0</v>
      </c>
      <c r="AT67" s="85">
        <f>IF(AT24&lt;=Condition!$E$16,0,IF(AT24&lt;=Condition!$F$16,Condition!$D$16,IF(AT24&lt;=Condition!$F$17,Condition!$D$17,IF(AT24&lt;=Condition!$F$18,Condition!$D$18,IF(AT24&gt;Condition!$E$19,Condition!$D$19,"")))))</f>
        <v>0</v>
      </c>
      <c r="AU67" s="85">
        <f>IF(AU24&lt;=Condition!$E$16,0,IF(AU24&lt;=Condition!$F$16,Condition!$D$16,IF(AU24&lt;=Condition!$F$17,Condition!$D$17,IF(AU24&lt;=Condition!$F$18,Condition!$D$18,IF(AU24&gt;Condition!$E$19,Condition!$D$19,"")))))</f>
        <v>0</v>
      </c>
      <c r="AV67" s="85">
        <f>IF(AV24&lt;=Condition!$E$16,0,IF(AV24&lt;=Condition!$F$16,Condition!$D$16,IF(AV24&lt;=Condition!$F$17,Condition!$D$17,IF(AV24&lt;=Condition!$F$18,Condition!$D$18,IF(AV24&gt;Condition!$E$19,Condition!$D$19,"")))))</f>
        <v>0</v>
      </c>
      <c r="AW67" s="85">
        <f>IF(AW24&lt;=Condition!$E$16,0,IF(AW24&lt;=Condition!$F$16,Condition!$D$16,IF(AW24&lt;=Condition!$F$17,Condition!$D$17,IF(AW24&lt;=Condition!$F$18,Condition!$D$18,IF(AW24&gt;Condition!$E$19,Condition!$D$19,"")))))</f>
        <v>0</v>
      </c>
      <c r="AX67" s="85">
        <f>IF(AX24&lt;=Condition!$E$16,0,IF(AX24&lt;=Condition!$F$16,Condition!$D$16,IF(AX24&lt;=Condition!$F$17,Condition!$D$17,IF(AX24&lt;=Condition!$F$18,Condition!$D$18,IF(AX24&gt;Condition!$E$19,Condition!$D$19,"")))))</f>
        <v>0</v>
      </c>
      <c r="AY67" s="85">
        <f>IF(AY24&lt;=Condition!$E$16,0,IF(AY24&lt;=Condition!$F$16,Condition!$D$16,IF(AY24&lt;=Condition!$F$17,Condition!$D$17,IF(AY24&lt;=Condition!$F$18,Condition!$D$18,IF(AY24&gt;Condition!$E$19,Condition!$D$19,"")))))</f>
        <v>0</v>
      </c>
      <c r="AZ67" s="85">
        <f>IF(AZ24&lt;=Condition!$E$16,0,IF(AZ24&lt;=Condition!$F$16,Condition!$D$16,IF(AZ24&lt;=Condition!$F$17,Condition!$D$17,IF(AZ24&lt;=Condition!$F$18,Condition!$D$18,IF(AZ24&gt;Condition!$E$19,Condition!$D$19,"")))))</f>
        <v>0</v>
      </c>
      <c r="BA67" s="85">
        <f>IF(BA24&lt;=Condition!$E$16,0,IF(BA24&lt;=Condition!$F$16,Condition!$D$16,IF(BA24&lt;=Condition!$F$17,Condition!$D$17,IF(BA24&lt;=Condition!$F$18,Condition!$D$18,IF(BA24&gt;Condition!$E$19,Condition!$D$19,"")))))</f>
        <v>0</v>
      </c>
      <c r="BB67" s="85">
        <f>IF(BB24&lt;=Condition!$E$16,0,IF(BB24&lt;=Condition!$F$16,Condition!$D$16,IF(BB24&lt;=Condition!$F$17,Condition!$D$17,IF(BB24&lt;=Condition!$F$18,Condition!$D$18,IF(BB24&gt;Condition!$E$19,Condition!$D$19,"")))))</f>
        <v>0</v>
      </c>
      <c r="BC67" s="85">
        <f>IF(BC24&lt;=Condition!$E$16,0,IF(BC24&lt;=Condition!$F$16,Condition!$D$16,IF(BC24&lt;=Condition!$F$17,Condition!$D$17,IF(BC24&lt;=Condition!$F$18,Condition!$D$18,IF(BC24&gt;Condition!$E$19,Condition!$D$19,"")))))</f>
        <v>0</v>
      </c>
      <c r="BD67" s="85">
        <f>IF(BD24&lt;=Condition!$E$16,0,IF(BD24&lt;=Condition!$F$16,Condition!$D$16,IF(BD24&lt;=Condition!$F$17,Condition!$D$17,IF(BD24&lt;=Condition!$F$18,Condition!$D$18,IF(BD24&gt;Condition!$E$19,Condition!$D$19,"")))))</f>
        <v>0</v>
      </c>
      <c r="BE67" s="85">
        <f>IF(BE24&lt;=Condition!$E$16,0,IF(BE24&lt;=Condition!$F$16,Condition!$D$16,IF(BE24&lt;=Condition!$F$17,Condition!$D$17,IF(BE24&lt;=Condition!$F$18,Condition!$D$18,IF(BE24&gt;Condition!$E$19,Condition!$D$19,"")))))</f>
        <v>0</v>
      </c>
      <c r="BF67" s="85">
        <f>IF(BF24&lt;=Condition!$E$16,0,IF(BF24&lt;=Condition!$F$16,Condition!$D$16,IF(BF24&lt;=Condition!$F$17,Condition!$D$17,IF(BF24&lt;=Condition!$F$18,Condition!$D$18,IF(BF24&gt;Condition!$E$19,Condition!$D$19,"")))))</f>
        <v>0</v>
      </c>
      <c r="BG67" s="85">
        <f>IF(BG24&lt;=Condition!$E$16,0,IF(BG24&lt;=Condition!$F$16,Condition!$D$16,IF(BG24&lt;=Condition!$F$17,Condition!$D$17,IF(BG24&lt;=Condition!$F$18,Condition!$D$18,IF(BG24&gt;Condition!$E$19,Condition!$D$19,"")))))</f>
        <v>0</v>
      </c>
      <c r="BH67" s="85">
        <f>IF(BH24&lt;=Condition!$E$16,0,IF(BH24&lt;=Condition!$F$16,Condition!$D$16,IF(BH24&lt;=Condition!$F$17,Condition!$D$17,IF(BH24&lt;=Condition!$F$18,Condition!$D$18,IF(BH24&gt;Condition!$E$19,Condition!$D$19,"")))))</f>
        <v>0</v>
      </c>
      <c r="BI67" s="85">
        <f>IF(BI24&lt;=Condition!$E$16,0,IF(BI24&lt;=Condition!$F$16,Condition!$D$16,IF(BI24&lt;=Condition!$F$17,Condition!$D$17,IF(BI24&lt;=Condition!$F$18,Condition!$D$18,IF(BI24&gt;Condition!$E$19,Condition!$D$19,"")))))</f>
        <v>0</v>
      </c>
      <c r="BJ67" s="85">
        <f>IF(BJ24&lt;=Condition!$E$16,0,IF(BJ24&lt;=Condition!$F$16,Condition!$D$16,IF(BJ24&lt;=Condition!$F$17,Condition!$D$17,IF(BJ24&lt;=Condition!$F$18,Condition!$D$18,IF(BJ24&gt;Condition!$E$19,Condition!$D$19,"")))))</f>
        <v>0</v>
      </c>
      <c r="BK67" s="85">
        <f>IF(BK24&lt;=Condition!$E$16,0,IF(BK24&lt;=Condition!$F$16,Condition!$D$16,IF(BK24&lt;=Condition!$F$17,Condition!$D$17,IF(BK24&lt;=Condition!$F$18,Condition!$D$18,IF(BK24&gt;Condition!$E$19,Condition!$D$19,"")))))</f>
        <v>0</v>
      </c>
      <c r="BL67" s="85">
        <f>IF(BL24&lt;=Condition!$E$16,0,IF(BL24&lt;=Condition!$F$16,Condition!$D$16,IF(BL24&lt;=Condition!$F$17,Condition!$D$17,IF(BL24&lt;=Condition!$F$18,Condition!$D$18,IF(BL24&gt;Condition!$E$19,Condition!$D$19,"")))))</f>
        <v>0</v>
      </c>
      <c r="BM67" s="85">
        <f>IF(BM24&lt;=Condition!$E$16,0,IF(BM24&lt;=Condition!$F$16,Condition!$D$16,IF(BM24&lt;=Condition!$F$17,Condition!$D$17,IF(BM24&lt;=Condition!$F$18,Condition!$D$18,IF(BM24&gt;Condition!$E$19,Condition!$D$19,"")))))</f>
        <v>0</v>
      </c>
      <c r="BN67" s="85">
        <f>IF(BN24&lt;=Condition!$E$16,0,IF(BN24&lt;=Condition!$F$16,Condition!$D$16,IF(BN24&lt;=Condition!$F$17,Condition!$D$17,IF(BN24&lt;=Condition!$F$18,Condition!$D$18,IF(BN24&gt;Condition!$E$19,Condition!$D$19,"")))))</f>
        <v>0</v>
      </c>
      <c r="BO67" s="85">
        <f>IF(BO24&lt;=Condition!$E$16,0,IF(BO24&lt;=Condition!$F$16,Condition!$D$16,IF(BO24&lt;=Condition!$F$17,Condition!$D$17,IF(BO24&lt;=Condition!$F$18,Condition!$D$18,IF(BO24&gt;Condition!$E$19,Condition!$D$19,"")))))</f>
        <v>0</v>
      </c>
      <c r="BP67" s="85">
        <f>IF(BP24&lt;=Condition!$E$16,0,IF(BP24&lt;=Condition!$F$16,Condition!$D$16,IF(BP24&lt;=Condition!$F$17,Condition!$D$17,IF(BP24&lt;=Condition!$F$18,Condition!$D$18,IF(BP24&gt;Condition!$E$19,Condition!$D$19,"")))))</f>
        <v>0</v>
      </c>
      <c r="BQ67" s="85">
        <f>IF(BQ24&lt;=Condition!$E$16,0,IF(BQ24&lt;=Condition!$F$16,Condition!$D$16,IF(BQ24&lt;=Condition!$F$17,Condition!$D$17,IF(BQ24&lt;=Condition!$F$18,Condition!$D$18,IF(BQ24&gt;Condition!$E$19,Condition!$D$19,"")))))</f>
        <v>0</v>
      </c>
      <c r="BR67" s="85">
        <f>IF(BR24&lt;=Condition!$E$16,0,IF(BR24&lt;=Condition!$F$16,Condition!$D$16,IF(BR24&lt;=Condition!$F$17,Condition!$D$17,IF(BR24&lt;=Condition!$F$18,Condition!$D$18,IF(BR24&gt;Condition!$E$19,Condition!$D$19,"")))))</f>
        <v>0</v>
      </c>
      <c r="BS67" s="85">
        <f>IF(BS24&lt;=Condition!$E$16,0,IF(BS24&lt;=Condition!$F$16,Condition!$D$16,IF(BS24&lt;=Condition!$F$17,Condition!$D$17,IF(BS24&lt;=Condition!$F$18,Condition!$D$18,IF(BS24&gt;Condition!$E$19,Condition!$D$19,"")))))</f>
        <v>0</v>
      </c>
      <c r="BT67" s="85">
        <f>IF(BT24&lt;=Condition!$E$16,0,IF(BT24&lt;=Condition!$F$16,Condition!$D$16,IF(BT24&lt;=Condition!$F$17,Condition!$D$17,IF(BT24&lt;=Condition!$F$18,Condition!$D$18,IF(BT24&gt;Condition!$E$19,Condition!$D$19,"")))))</f>
        <v>0</v>
      </c>
      <c r="BU67" s="85">
        <f>IF(BU24&lt;=Condition!$E$16,0,IF(BU24&lt;=Condition!$F$16,Condition!$D$16,IF(BU24&lt;=Condition!$F$17,Condition!$D$17,IF(BU24&lt;=Condition!$F$18,Condition!$D$18,IF(BU24&gt;Condition!$E$19,Condition!$D$19,"")))))</f>
        <v>0</v>
      </c>
      <c r="BV67" s="85">
        <f>IF(BV24&lt;=Condition!$E$16,0,IF(BV24&lt;=Condition!$F$16,Condition!$D$16,IF(BV24&lt;=Condition!$F$17,Condition!$D$17,IF(BV24&lt;=Condition!$F$18,Condition!$D$18,IF(BV24&gt;Condition!$E$19,Condition!$D$19,"")))))</f>
        <v>0</v>
      </c>
      <c r="BW67" s="85">
        <f>IF(BW24&lt;=Condition!$E$16,0,IF(BW24&lt;=Condition!$F$16,Condition!$D$16,IF(BW24&lt;=Condition!$F$17,Condition!$D$17,IF(BW24&lt;=Condition!$F$18,Condition!$D$18,IF(BW24&gt;Condition!$E$19,Condition!$D$19,"")))))</f>
        <v>0</v>
      </c>
      <c r="BX67" s="85">
        <f>IF(BX24&lt;=Condition!$E$16,0,IF(BX24&lt;=Condition!$F$16,Condition!$D$16,IF(BX24&lt;=Condition!$F$17,Condition!$D$17,IF(BX24&lt;=Condition!$F$18,Condition!$D$18,IF(BX24&gt;Condition!$E$19,Condition!$D$19,"")))))</f>
        <v>0</v>
      </c>
      <c r="BY67" s="85">
        <f>IF(BY24&lt;=Condition!$E$16,0,IF(BY24&lt;=Condition!$F$16,Condition!$D$16,IF(BY24&lt;=Condition!$F$17,Condition!$D$17,IF(BY24&lt;=Condition!$F$18,Condition!$D$18,IF(BY24&gt;Condition!$E$19,Condition!$D$19,"")))))</f>
        <v>0</v>
      </c>
      <c r="BZ67" s="85">
        <f>IF(BZ24&lt;=Condition!$E$16,0,IF(BZ24&lt;=Condition!$F$16,Condition!$D$16,IF(BZ24&lt;=Condition!$F$17,Condition!$D$17,IF(BZ24&lt;=Condition!$F$18,Condition!$D$18,IF(BZ24&gt;Condition!$E$19,Condition!$D$19,"")))))</f>
        <v>0</v>
      </c>
      <c r="CA67" s="85">
        <f>IF(CA24&lt;=Condition!$E$16,0,IF(CA24&lt;=Condition!$F$16,Condition!$D$16,IF(CA24&lt;=Condition!$F$17,Condition!$D$17,IF(CA24&lt;=Condition!$F$18,Condition!$D$18,IF(CA24&gt;Condition!$E$19,Condition!$D$19,"")))))</f>
        <v>0</v>
      </c>
      <c r="CB67" s="85">
        <f>IF(CB24&lt;=Condition!$E$16,0,IF(CB24&lt;=Condition!$F$16,Condition!$D$16,IF(CB24&lt;=Condition!$F$17,Condition!$D$17,IF(CB24&lt;=Condition!$F$18,Condition!$D$18,IF(CB24&gt;Condition!$E$19,Condition!$D$19,"")))))</f>
        <v>0</v>
      </c>
      <c r="CC67" s="85">
        <f>IF(CC24&lt;=Condition!$E$16,0,IF(CC24&lt;=Condition!$F$16,Condition!$D$16,IF(CC24&lt;=Condition!$F$17,Condition!$D$17,IF(CC24&lt;=Condition!$F$18,Condition!$D$18,IF(CC24&gt;Condition!$E$19,Condition!$D$19,"")))))</f>
        <v>0</v>
      </c>
      <c r="CD67" s="85">
        <f>IF(CD24&lt;=Condition!$E$16,0,IF(CD24&lt;=Condition!$F$16,Condition!$D$16,IF(CD24&lt;=Condition!$F$17,Condition!$D$17,IF(CD24&lt;=Condition!$F$18,Condition!$D$18,IF(CD24&gt;Condition!$E$19,Condition!$D$19,"")))))</f>
        <v>0</v>
      </c>
      <c r="CE67" s="85">
        <f>IF(CE24&lt;=Condition!$E$16,0,IF(CE24&lt;=Condition!$F$16,Condition!$D$16,IF(CE24&lt;=Condition!$F$17,Condition!$D$17,IF(CE24&lt;=Condition!$F$18,Condition!$D$18,IF(CE24&gt;Condition!$E$19,Condition!$D$19,"")))))</f>
        <v>0</v>
      </c>
      <c r="CF67" s="85">
        <f>IF(CF24&lt;=Condition!$E$16,0,IF(CF24&lt;=Condition!$F$16,Condition!$D$16,IF(CF24&lt;=Condition!$F$17,Condition!$D$17,IF(CF24&lt;=Condition!$F$18,Condition!$D$18,IF(CF24&gt;Condition!$E$19,Condition!$D$19,"")))))</f>
        <v>0</v>
      </c>
      <c r="CG67" s="85">
        <f>IF(CG24&lt;=Condition!$E$16,0,IF(CG24&lt;=Condition!$F$16,Condition!$D$16,IF(CG24&lt;=Condition!$F$17,Condition!$D$17,IF(CG24&lt;=Condition!$F$18,Condition!$D$18,IF(CG24&gt;Condition!$E$19,Condition!$D$19,"")))))</f>
        <v>0</v>
      </c>
      <c r="CH67" s="85">
        <f>IF(CH24&lt;=Condition!$E$16,0,IF(CH24&lt;=Condition!$F$16,Condition!$D$16,IF(CH24&lt;=Condition!$F$17,Condition!$D$17,IF(CH24&lt;=Condition!$F$18,Condition!$D$18,IF(CH24&gt;Condition!$E$19,Condition!$D$19,"")))))</f>
        <v>0</v>
      </c>
      <c r="CI67" s="85">
        <f>IF(CI24&lt;=Condition!$E$16,0,IF(CI24&lt;=Condition!$F$16,Condition!$D$16,IF(CI24&lt;=Condition!$F$17,Condition!$D$17,IF(CI24&lt;=Condition!$F$18,Condition!$D$18,IF(CI24&gt;Condition!$E$19,Condition!$D$19,"")))))</f>
        <v>0</v>
      </c>
      <c r="CJ67" s="85">
        <f>IF(CJ24&lt;=Condition!$E$16,0,IF(CJ24&lt;=Condition!$F$16,Condition!$D$16,IF(CJ24&lt;=Condition!$F$17,Condition!$D$17,IF(CJ24&lt;=Condition!$F$18,Condition!$D$18,IF(CJ24&gt;Condition!$E$19,Condition!$D$19,"")))))</f>
        <v>0</v>
      </c>
      <c r="CK67" s="85">
        <f>IF(CK24&lt;=Condition!$E$16,0,IF(CK24&lt;=Condition!$F$16,Condition!$D$16,IF(CK24&lt;=Condition!$F$17,Condition!$D$17,IF(CK24&lt;=Condition!$F$18,Condition!$D$18,IF(CK24&gt;Condition!$E$19,Condition!$D$19,"")))))</f>
        <v>0</v>
      </c>
      <c r="CL67" s="85">
        <f>IF(CL24&lt;=Condition!$E$16,0,IF(CL24&lt;=Condition!$F$16,Condition!$D$16,IF(CL24&lt;=Condition!$F$17,Condition!$D$17,IF(CL24&lt;=Condition!$F$18,Condition!$D$18,IF(CL24&gt;Condition!$E$19,Condition!$D$19,"")))))</f>
        <v>0</v>
      </c>
      <c r="CM67" s="85">
        <f>IF(CM24&lt;=Condition!$E$16,0,IF(CM24&lt;=Condition!$F$16,Condition!$D$16,IF(CM24&lt;=Condition!$F$17,Condition!$D$17,IF(CM24&lt;=Condition!$F$18,Condition!$D$18,IF(CM24&gt;Condition!$E$19,Condition!$D$19,"")))))</f>
        <v>0</v>
      </c>
      <c r="CN67" s="85">
        <f>IF(CN24&lt;=Condition!$E$16,0,IF(CN24&lt;=Condition!$F$16,Condition!$D$16,IF(CN24&lt;=Condition!$F$17,Condition!$D$17,IF(CN24&lt;=Condition!$F$18,Condition!$D$18,IF(CN24&gt;Condition!$E$19,Condition!$D$19,"")))))</f>
        <v>0</v>
      </c>
      <c r="CO67" s="85">
        <f>IF(CO24&lt;=Condition!$E$16,0,IF(CO24&lt;=Condition!$F$16,Condition!$D$16,IF(CO24&lt;=Condition!$F$17,Condition!$D$17,IF(CO24&lt;=Condition!$F$18,Condition!$D$18,IF(CO24&gt;Condition!$E$19,Condition!$D$19,"")))))</f>
        <v>0</v>
      </c>
      <c r="CP67" s="85">
        <f>IF(CP24&lt;=Condition!$E$16,0,IF(CP24&lt;=Condition!$F$16,Condition!$D$16,IF(CP24&lt;=Condition!$F$17,Condition!$D$17,IF(CP24&lt;=Condition!$F$18,Condition!$D$18,IF(CP24&gt;Condition!$E$19,Condition!$D$19,"")))))</f>
        <v>0</v>
      </c>
      <c r="CQ67" s="85">
        <f>IF(CQ24&lt;=Condition!$E$16,0,IF(CQ24&lt;=Condition!$F$16,Condition!$D$16,IF(CQ24&lt;=Condition!$F$17,Condition!$D$17,IF(CQ24&lt;=Condition!$F$18,Condition!$D$18,IF(CQ24&gt;Condition!$E$19,Condition!$D$19,"")))))</f>
        <v>0</v>
      </c>
      <c r="CR67" s="85">
        <f>IF(CR24&lt;=Condition!$E$16,0,IF(CR24&lt;=Condition!$F$16,Condition!$D$16,IF(CR24&lt;=Condition!$F$17,Condition!$D$17,IF(CR24&lt;=Condition!$F$18,Condition!$D$18,IF(CR24&gt;Condition!$E$19,Condition!$D$19,"")))))</f>
        <v>0</v>
      </c>
      <c r="CS67" s="85">
        <f>IF(CS24&lt;=Condition!$E$16,0,IF(CS24&lt;=Condition!$F$16,Condition!$D$16,IF(CS24&lt;=Condition!$F$17,Condition!$D$17,IF(CS24&lt;=Condition!$F$18,Condition!$D$18,IF(CS24&gt;Condition!$E$19,Condition!$D$19,"")))))</f>
        <v>0</v>
      </c>
      <c r="CT67" s="85">
        <f>IF(CT24&lt;=Condition!$E$16,0,IF(CT24&lt;=Condition!$F$16,Condition!$D$16,IF(CT24&lt;=Condition!$F$17,Condition!$D$17,IF(CT24&lt;=Condition!$F$18,Condition!$D$18,IF(CT24&gt;Condition!$E$19,Condition!$D$19,"")))))</f>
        <v>0</v>
      </c>
      <c r="CU67" s="85">
        <f>IF(CU24&lt;=Condition!$E$16,0,IF(CU24&lt;=Condition!$F$16,Condition!$D$16,IF(CU24&lt;=Condition!$F$17,Condition!$D$17,IF(CU24&lt;=Condition!$F$18,Condition!$D$18,IF(CU24&gt;Condition!$E$19,Condition!$D$19,"")))))</f>
        <v>0</v>
      </c>
      <c r="CV67" s="85">
        <f>IF(CV24&lt;=Condition!$E$16,0,IF(CV24&lt;=Condition!$F$16,Condition!$D$16,IF(CV24&lt;=Condition!$F$17,Condition!$D$17,IF(CV24&lt;=Condition!$F$18,Condition!$D$18,IF(CV24&gt;Condition!$E$19,Condition!$D$19,"")))))</f>
        <v>0</v>
      </c>
      <c r="CW67" s="85">
        <f>IF(CW24&lt;=Condition!$E$16,0,IF(CW24&lt;=Condition!$F$16,Condition!$D$16,IF(CW24&lt;=Condition!$F$17,Condition!$D$17,IF(CW24&lt;=Condition!$F$18,Condition!$D$18,IF(CW24&gt;Condition!$E$19,Condition!$D$19,"")))))</f>
        <v>0</v>
      </c>
      <c r="CX67" s="85">
        <f>IF(CX24&lt;=Condition!$E$16,0,IF(CX24&lt;=Condition!$F$16,Condition!$D$16,IF(CX24&lt;=Condition!$F$17,Condition!$D$17,IF(CX24&lt;=Condition!$F$18,Condition!$D$18,IF(CX24&gt;Condition!$E$19,Condition!$D$19,"")))))</f>
        <v>0</v>
      </c>
      <c r="CY67" s="85">
        <f>IF(CY24&lt;=Condition!$E$16,0,IF(CY24&lt;=Condition!$F$16,Condition!$D$16,IF(CY24&lt;=Condition!$F$17,Condition!$D$17,IF(CY24&lt;=Condition!$F$18,Condition!$D$18,IF(CY24&gt;Condition!$E$19,Condition!$D$19,"")))))</f>
        <v>0</v>
      </c>
      <c r="CZ67" s="85">
        <f>IF(CZ24&lt;=Condition!$E$16,0,IF(CZ24&lt;=Condition!$F$16,Condition!$D$16,IF(CZ24&lt;=Condition!$F$17,Condition!$D$17,IF(CZ24&lt;=Condition!$F$18,Condition!$D$18,IF(CZ24&gt;Condition!$E$19,Condition!$D$19,"")))))</f>
        <v>0</v>
      </c>
      <c r="DA67" s="85">
        <f>IF(DA24&lt;=Condition!$E$16,0,IF(DA24&lt;=Condition!$F$16,Condition!$D$16,IF(DA24&lt;=Condition!$F$17,Condition!$D$17,IF(DA24&lt;=Condition!$F$18,Condition!$D$18,IF(DA24&gt;Condition!$E$19,Condition!$D$19,"")))))</f>
        <v>0</v>
      </c>
      <c r="DB67" s="85">
        <f>IF(DB24&lt;=Condition!$E$16,0,IF(DB24&lt;=Condition!$F$16,Condition!$D$16,IF(DB24&lt;=Condition!$F$17,Condition!$D$17,IF(DB24&lt;=Condition!$F$18,Condition!$D$18,IF(DB24&gt;Condition!$E$19,Condition!$D$19,"")))))</f>
        <v>0</v>
      </c>
      <c r="DC67" s="85">
        <f>IF(DC24&lt;=Condition!$E$16,0,IF(DC24&lt;=Condition!$F$16,Condition!$D$16,IF(DC24&lt;=Condition!$F$17,Condition!$D$17,IF(DC24&lt;=Condition!$F$18,Condition!$D$18,IF(DC24&gt;Condition!$E$19,Condition!$D$19,"")))))</f>
        <v>0</v>
      </c>
      <c r="DD67" s="85">
        <f>IF(DD24&lt;=Condition!$E$16,0,IF(DD24&lt;=Condition!$F$16,Condition!$D$16,IF(DD24&lt;=Condition!$F$17,Condition!$D$17,IF(DD24&lt;=Condition!$F$18,Condition!$D$18,IF(DD24&gt;Condition!$E$19,Condition!$D$19,"")))))</f>
        <v>0</v>
      </c>
      <c r="DE67" s="85">
        <f>IF(DE24&lt;=Condition!$E$16,0,IF(DE24&lt;=Condition!$F$16,Condition!$D$16,IF(DE24&lt;=Condition!$F$17,Condition!$D$17,IF(DE24&lt;=Condition!$F$18,Condition!$D$18,IF(DE24&gt;Condition!$E$19,Condition!$D$19,"")))))</f>
        <v>0</v>
      </c>
      <c r="DF67" s="85">
        <f>IF(DF24&lt;=Condition!$E$16,0,IF(DF24&lt;=Condition!$F$16,Condition!$D$16,IF(DF24&lt;=Condition!$F$17,Condition!$D$17,IF(DF24&lt;=Condition!$F$18,Condition!$D$18,IF(DF24&gt;Condition!$E$19,Condition!$D$19,"")))))</f>
        <v>0</v>
      </c>
      <c r="DG67" s="85">
        <f>IF(DG24&lt;=Condition!$E$16,0,IF(DG24&lt;=Condition!$F$16,Condition!$D$16,IF(DG24&lt;=Condition!$F$17,Condition!$D$17,IF(DG24&lt;=Condition!$F$18,Condition!$D$18,IF(DG24&gt;Condition!$E$19,Condition!$D$19,"")))))</f>
        <v>0</v>
      </c>
      <c r="DH67" s="85">
        <f>IF(DH24&lt;=Condition!$E$16,0,IF(DH24&lt;=Condition!$F$16,Condition!$D$16,IF(DH24&lt;=Condition!$F$17,Condition!$D$17,IF(DH24&lt;=Condition!$F$18,Condition!$D$18,IF(DH24&gt;Condition!$E$19,Condition!$D$19,"")))))</f>
        <v>0</v>
      </c>
      <c r="DI67" s="85">
        <f>IF(DI24&lt;=Condition!$E$16,0,IF(DI24&lt;=Condition!$F$16,Condition!$D$16,IF(DI24&lt;=Condition!$F$17,Condition!$D$17,IF(DI24&lt;=Condition!$F$18,Condition!$D$18,IF(DI24&gt;Condition!$E$19,Condition!$D$19,"")))))</f>
        <v>0</v>
      </c>
      <c r="DJ67" s="85">
        <f>IF(DJ24&lt;=Condition!$E$16,0,IF(DJ24&lt;=Condition!$F$16,Condition!$D$16,IF(DJ24&lt;=Condition!$F$17,Condition!$D$17,IF(DJ24&lt;=Condition!$F$18,Condition!$D$18,IF(DJ24&gt;Condition!$E$19,Condition!$D$19,"")))))</f>
        <v>0</v>
      </c>
      <c r="DK67" s="85">
        <f>IF(DK24&lt;=Condition!$E$16,0,IF(DK24&lt;=Condition!$F$16,Condition!$D$16,IF(DK24&lt;=Condition!$F$17,Condition!$D$17,IF(DK24&lt;=Condition!$F$18,Condition!$D$18,IF(DK24&gt;Condition!$E$19,Condition!$D$19,"")))))</f>
        <v>0</v>
      </c>
      <c r="DL67" s="85">
        <f>IF(DL24&lt;=Condition!$E$16,0,IF(DL24&lt;=Condition!$F$16,Condition!$D$16,IF(DL24&lt;=Condition!$F$17,Condition!$D$17,IF(DL24&lt;=Condition!$F$18,Condition!$D$18,IF(DL24&gt;Condition!$E$19,Condition!$D$19,"")))))</f>
        <v>0</v>
      </c>
      <c r="DM67" s="85">
        <f>IF(DM24&lt;=Condition!$E$16,0,IF(DM24&lt;=Condition!$F$16,Condition!$D$16,IF(DM24&lt;=Condition!$F$17,Condition!$D$17,IF(DM24&lt;=Condition!$F$18,Condition!$D$18,IF(DM24&gt;Condition!$E$19,Condition!$D$19,"")))))</f>
        <v>0</v>
      </c>
      <c r="DN67" s="85">
        <f>IF(DN24&lt;=Condition!$E$16,0,IF(DN24&lt;=Condition!$F$16,Condition!$D$16,IF(DN24&lt;=Condition!$F$17,Condition!$D$17,IF(DN24&lt;=Condition!$F$18,Condition!$D$18,IF(DN24&gt;Condition!$E$19,Condition!$D$19,"")))))</f>
        <v>0</v>
      </c>
      <c r="DO67" s="85">
        <f>IF(DO24&lt;=Condition!$E$16,0,IF(DO24&lt;=Condition!$F$16,Condition!$D$16,IF(DO24&lt;=Condition!$F$17,Condition!$D$17,IF(DO24&lt;=Condition!$F$18,Condition!$D$18,IF(DO24&gt;Condition!$E$19,Condition!$D$19,"")))))</f>
        <v>0</v>
      </c>
      <c r="DP67" s="85">
        <f>IF(DP24&lt;=Condition!$E$16,0,IF(DP24&lt;=Condition!$F$16,Condition!$D$16,IF(DP24&lt;=Condition!$F$17,Condition!$D$17,IF(DP24&lt;=Condition!$F$18,Condition!$D$18,IF(DP24&gt;Condition!$E$19,Condition!$D$19,"")))))</f>
        <v>0</v>
      </c>
      <c r="DQ67" s="85">
        <f>IF(DQ24&lt;=Condition!$E$16,0,IF(DQ24&lt;=Condition!$F$16,Condition!$D$16,IF(DQ24&lt;=Condition!$F$17,Condition!$D$17,IF(DQ24&lt;=Condition!$F$18,Condition!$D$18,IF(DQ24&gt;Condition!$E$19,Condition!$D$19,"")))))</f>
        <v>0</v>
      </c>
      <c r="DR67" s="85">
        <f>IF(DR24&lt;=Condition!$E$16,0,IF(DR24&lt;=Condition!$F$16,Condition!$D$16,IF(DR24&lt;=Condition!$F$17,Condition!$D$17,IF(DR24&lt;=Condition!$F$18,Condition!$D$18,IF(DR24&gt;Condition!$E$19,Condition!$D$19,"")))))</f>
        <v>0</v>
      </c>
      <c r="DS67" s="85">
        <f>IF(DS24&lt;=Condition!$E$16,0,IF(DS24&lt;=Condition!$F$16,Condition!$D$16,IF(DS24&lt;=Condition!$F$17,Condition!$D$17,IF(DS24&lt;=Condition!$F$18,Condition!$D$18,IF(DS24&gt;Condition!$E$19,Condition!$D$19,"")))))</f>
        <v>0</v>
      </c>
      <c r="DT67" s="85">
        <f>IF(DT24&lt;=Condition!$E$16,0,IF(DT24&lt;=Condition!$F$16,Condition!$D$16,IF(DT24&lt;=Condition!$F$17,Condition!$D$17,IF(DT24&lt;=Condition!$F$18,Condition!$D$18,IF(DT24&gt;Condition!$E$19,Condition!$D$19,"")))))</f>
        <v>0</v>
      </c>
      <c r="DU67" s="85">
        <f>IF(DU24&lt;=Condition!$E$16,0,IF(DU24&lt;=Condition!$F$16,Condition!$D$16,IF(DU24&lt;=Condition!$F$17,Condition!$D$17,IF(DU24&lt;=Condition!$F$18,Condition!$D$18,IF(DU24&gt;Condition!$E$19,Condition!$D$19,"")))))</f>
        <v>0</v>
      </c>
      <c r="DV67" s="85">
        <f>IF(DV24&lt;=Condition!$E$16,0,IF(DV24&lt;=Condition!$F$16,Condition!$D$16,IF(DV24&lt;=Condition!$F$17,Condition!$D$17,IF(DV24&lt;=Condition!$F$18,Condition!$D$18,IF(DV24&gt;Condition!$E$19,Condition!$D$19,"")))))</f>
        <v>0</v>
      </c>
      <c r="DW67" s="85">
        <f>IF(DW24&lt;=Condition!$E$16,0,IF(DW24&lt;=Condition!$F$16,Condition!$D$16,IF(DW24&lt;=Condition!$F$17,Condition!$D$17,IF(DW24&lt;=Condition!$F$18,Condition!$D$18,IF(DW24&gt;Condition!$E$19,Condition!$D$19,"")))))</f>
        <v>0</v>
      </c>
      <c r="DX67" s="85">
        <f>IF(DX24&lt;=Condition!$E$16,0,IF(DX24&lt;=Condition!$F$16,Condition!$D$16,IF(DX24&lt;=Condition!$F$17,Condition!$D$17,IF(DX24&lt;=Condition!$F$18,Condition!$D$18,IF(DX24&gt;Condition!$E$19,Condition!$D$19,"")))))</f>
        <v>0</v>
      </c>
      <c r="DY67" s="85">
        <f>IF(DY24&lt;=Condition!$E$16,0,IF(DY24&lt;=Condition!$F$16,Condition!$D$16,IF(DY24&lt;=Condition!$F$17,Condition!$D$17,IF(DY24&lt;=Condition!$F$18,Condition!$D$18,IF(DY24&gt;Condition!$E$19,Condition!$D$19,"")))))</f>
        <v>0</v>
      </c>
      <c r="DZ67" s="85">
        <f>IF(DZ24&lt;=Condition!$E$16,0,IF(DZ24&lt;=Condition!$F$16,Condition!$D$16,IF(DZ24&lt;=Condition!$F$17,Condition!$D$17,IF(DZ24&lt;=Condition!$F$18,Condition!$D$18,IF(DZ24&gt;Condition!$E$19,Condition!$D$19,"")))))</f>
        <v>0</v>
      </c>
      <c r="EA67" s="85">
        <f>IF(EA24&lt;=Condition!$E$16,0,IF(EA24&lt;=Condition!$F$16,Condition!$D$16,IF(EA24&lt;=Condition!$F$17,Condition!$D$17,IF(EA24&lt;=Condition!$F$18,Condition!$D$18,IF(EA24&gt;Condition!$E$19,Condition!$D$19,"")))))</f>
        <v>0</v>
      </c>
      <c r="EB67" s="85">
        <f>IF(EB24&lt;=Condition!$E$16,0,IF(EB24&lt;=Condition!$F$16,Condition!$D$16,IF(EB24&lt;=Condition!$F$17,Condition!$D$17,IF(EB24&lt;=Condition!$F$18,Condition!$D$18,IF(EB24&gt;Condition!$E$19,Condition!$D$19,"")))))</f>
        <v>0</v>
      </c>
      <c r="EC67" s="85">
        <f>IF(EC24&lt;=Condition!$E$16,0,IF(EC24&lt;=Condition!$F$16,Condition!$D$16,IF(EC24&lt;=Condition!$F$17,Condition!$D$17,IF(EC24&lt;=Condition!$F$18,Condition!$D$18,IF(EC24&gt;Condition!$E$19,Condition!$D$19,"")))))</f>
        <v>0</v>
      </c>
      <c r="ED67" s="85">
        <f>IF(ED24&lt;=Condition!$E$16,0,IF(ED24&lt;=Condition!$F$16,Condition!$D$16,IF(ED24&lt;=Condition!$F$17,Condition!$D$17,IF(ED24&lt;=Condition!$F$18,Condition!$D$18,IF(ED24&gt;Condition!$E$19,Condition!$D$19,"")))))</f>
        <v>0</v>
      </c>
      <c r="EE67" s="85">
        <f>IF(EE24&lt;=Condition!$E$16,0,IF(EE24&lt;=Condition!$F$16,Condition!$D$16,IF(EE24&lt;=Condition!$F$17,Condition!$D$17,IF(EE24&lt;=Condition!$F$18,Condition!$D$18,IF(EE24&gt;Condition!$E$19,Condition!$D$19,"")))))</f>
        <v>0</v>
      </c>
      <c r="EF67" s="85">
        <f>IF(EF24&lt;=Condition!$E$16,0,IF(EF24&lt;=Condition!$F$16,Condition!$D$16,IF(EF24&lt;=Condition!$F$17,Condition!$D$17,IF(EF24&lt;=Condition!$F$18,Condition!$D$18,IF(EF24&gt;Condition!$E$19,Condition!$D$19,"")))))</f>
        <v>0</v>
      </c>
      <c r="EG67" s="85">
        <f>IF(EG24&lt;=Condition!$E$16,0,IF(EG24&lt;=Condition!$F$16,Condition!$D$16,IF(EG24&lt;=Condition!$F$17,Condition!$D$17,IF(EG24&lt;=Condition!$F$18,Condition!$D$18,IF(EG24&gt;Condition!$E$19,Condition!$D$19,"")))))</f>
        <v>0</v>
      </c>
      <c r="EH67" s="85">
        <f>IF(EH24&lt;=Condition!$E$16,0,IF(EH24&lt;=Condition!$F$16,Condition!$D$16,IF(EH24&lt;=Condition!$F$17,Condition!$D$17,IF(EH24&lt;=Condition!$F$18,Condition!$D$18,IF(EH24&gt;Condition!$E$19,Condition!$D$19,"")))))</f>
        <v>0</v>
      </c>
      <c r="EI67" s="85">
        <f>IF(EI24&lt;=Condition!$E$16,0,IF(EI24&lt;=Condition!$F$16,Condition!$D$16,IF(EI24&lt;=Condition!$F$17,Condition!$D$17,IF(EI24&lt;=Condition!$F$18,Condition!$D$18,IF(EI24&gt;Condition!$E$19,Condition!$D$19,"")))))</f>
        <v>0</v>
      </c>
      <c r="EJ67" s="85">
        <f>IF(EJ24&lt;=Condition!$E$16,0,IF(EJ24&lt;=Condition!$F$16,Condition!$D$16,IF(EJ24&lt;=Condition!$F$17,Condition!$D$17,IF(EJ24&lt;=Condition!$F$18,Condition!$D$18,IF(EJ24&gt;Condition!$E$19,Condition!$D$19,"")))))</f>
        <v>0</v>
      </c>
      <c r="EK67" s="85">
        <f>IF(EK24&lt;=Condition!$E$16,0,IF(EK24&lt;=Condition!$F$16,Condition!$D$16,IF(EK24&lt;=Condition!$F$17,Condition!$D$17,IF(EK24&lt;=Condition!$F$18,Condition!$D$18,IF(EK24&gt;Condition!$E$19,Condition!$D$19,"")))))</f>
        <v>0</v>
      </c>
      <c r="EL67" s="85">
        <f>IF(EL24&lt;=Condition!$E$16,0,IF(EL24&lt;=Condition!$F$16,Condition!$D$16,IF(EL24&lt;=Condition!$F$17,Condition!$D$17,IF(EL24&lt;=Condition!$F$18,Condition!$D$18,IF(EL24&gt;Condition!$E$19,Condition!$D$19,"")))))</f>
        <v>0</v>
      </c>
      <c r="EM67" s="85">
        <f>IF(EM24&lt;=Condition!$E$16,0,IF(EM24&lt;=Condition!$F$16,Condition!$D$16,IF(EM24&lt;=Condition!$F$17,Condition!$D$17,IF(EM24&lt;=Condition!$F$18,Condition!$D$18,IF(EM24&gt;Condition!$E$19,Condition!$D$19,"")))))</f>
        <v>0</v>
      </c>
      <c r="EN67" s="85">
        <f>IF(EN24&lt;=Condition!$E$16,0,IF(EN24&lt;=Condition!$F$16,Condition!$D$16,IF(EN24&lt;=Condition!$F$17,Condition!$D$17,IF(EN24&lt;=Condition!$F$18,Condition!$D$18,IF(EN24&gt;Condition!$E$19,Condition!$D$19,"")))))</f>
        <v>0</v>
      </c>
      <c r="EO67" s="85">
        <f>IF(EO24&lt;=Condition!$E$16,0,IF(EO24&lt;=Condition!$F$16,Condition!$D$16,IF(EO24&lt;=Condition!$F$17,Condition!$D$17,IF(EO24&lt;=Condition!$F$18,Condition!$D$18,IF(EO24&gt;Condition!$E$19,Condition!$D$19,"")))))</f>
        <v>0</v>
      </c>
      <c r="EP67" s="85">
        <f>IF(EP24&lt;=Condition!$E$16,0,IF(EP24&lt;=Condition!$F$16,Condition!$D$16,IF(EP24&lt;=Condition!$F$17,Condition!$D$17,IF(EP24&lt;=Condition!$F$18,Condition!$D$18,IF(EP24&gt;Condition!$E$19,Condition!$D$19,"")))))</f>
        <v>0</v>
      </c>
      <c r="EQ67" s="85">
        <f>IF(EQ24&lt;=Condition!$E$16,0,IF(EQ24&lt;=Condition!$F$16,Condition!$D$16,IF(EQ24&lt;=Condition!$F$17,Condition!$D$17,IF(EQ24&lt;=Condition!$F$18,Condition!$D$18,IF(EQ24&gt;Condition!$E$19,Condition!$D$19,"")))))</f>
        <v>0</v>
      </c>
      <c r="ER67" s="85">
        <f>IF(ER24&lt;=Condition!$E$16,0,IF(ER24&lt;=Condition!$F$16,Condition!$D$16,IF(ER24&lt;=Condition!$F$17,Condition!$D$17,IF(ER24&lt;=Condition!$F$18,Condition!$D$18,IF(ER24&gt;Condition!$E$19,Condition!$D$19,"")))))</f>
        <v>0</v>
      </c>
      <c r="ES67" s="85">
        <f>IF(ES24&lt;=Condition!$E$16,0,IF(ES24&lt;=Condition!$F$16,Condition!$D$16,IF(ES24&lt;=Condition!$F$17,Condition!$D$17,IF(ES24&lt;=Condition!$F$18,Condition!$D$18,IF(ES24&gt;Condition!$E$19,Condition!$D$19,"")))))</f>
        <v>0</v>
      </c>
      <c r="ET67" s="85">
        <f>IF(ET24&lt;=Condition!$E$16,0,IF(ET24&lt;=Condition!$F$16,Condition!$D$16,IF(ET24&lt;=Condition!$F$17,Condition!$D$17,IF(ET24&lt;=Condition!$F$18,Condition!$D$18,IF(ET24&gt;Condition!$E$19,Condition!$D$19,"")))))</f>
        <v>0</v>
      </c>
      <c r="EU67" s="85">
        <f>IF(EU24&lt;=Condition!$E$16,0,IF(EU24&lt;=Condition!$F$16,Condition!$D$16,IF(EU24&lt;=Condition!$F$17,Condition!$D$17,IF(EU24&lt;=Condition!$F$18,Condition!$D$18,IF(EU24&gt;Condition!$E$19,Condition!$D$19,"")))))</f>
        <v>0</v>
      </c>
      <c r="EV67" s="85">
        <f>IF(EV24&lt;=Condition!$E$16,0,IF(EV24&lt;=Condition!$F$16,Condition!$D$16,IF(EV24&lt;=Condition!$F$17,Condition!$D$17,IF(EV24&lt;=Condition!$F$18,Condition!$D$18,IF(EV24&gt;Condition!$E$19,Condition!$D$19,"")))))</f>
        <v>0</v>
      </c>
      <c r="EW67" s="85">
        <f>IF(EW24&lt;=Condition!$E$16,0,IF(EW24&lt;=Condition!$F$16,Condition!$D$16,IF(EW24&lt;=Condition!$F$17,Condition!$D$17,IF(EW24&lt;=Condition!$F$18,Condition!$D$18,IF(EW24&gt;Condition!$E$19,Condition!$D$19,"")))))</f>
        <v>0</v>
      </c>
      <c r="EX67" s="85">
        <f>IF(EX24&lt;=Condition!$E$16,0,IF(EX24&lt;=Condition!$F$16,Condition!$D$16,IF(EX24&lt;=Condition!$F$17,Condition!$D$17,IF(EX24&lt;=Condition!$F$18,Condition!$D$18,IF(EX24&gt;Condition!$E$19,Condition!$D$19,"")))))</f>
        <v>0</v>
      </c>
      <c r="EY67" s="85">
        <f>IF(EY24&lt;=Condition!$E$16,0,IF(EY24&lt;=Condition!$F$16,Condition!$D$16,IF(EY24&lt;=Condition!$F$17,Condition!$D$17,IF(EY24&lt;=Condition!$F$18,Condition!$D$18,IF(EY24&gt;Condition!$E$19,Condition!$D$19,"")))))</f>
        <v>0</v>
      </c>
      <c r="EZ67" s="85">
        <f>IF(EZ24&lt;=Condition!$E$16,0,IF(EZ24&lt;=Condition!$F$16,Condition!$D$16,IF(EZ24&lt;=Condition!$F$17,Condition!$D$17,IF(EZ24&lt;=Condition!$F$18,Condition!$D$18,IF(EZ24&gt;Condition!$E$19,Condition!$D$19,"")))))</f>
        <v>0</v>
      </c>
      <c r="FA67" s="85">
        <f>IF(FA24&lt;=Condition!$E$16,0,IF(FA24&lt;=Condition!$F$16,Condition!$D$16,IF(FA24&lt;=Condition!$F$17,Condition!$D$17,IF(FA24&lt;=Condition!$F$18,Condition!$D$18,IF(FA24&gt;Condition!$E$19,Condition!$D$19,"")))))</f>
        <v>0</v>
      </c>
      <c r="FB67" s="85">
        <f>IF(FB24&lt;=Condition!$E$16,0,IF(FB24&lt;=Condition!$F$16,Condition!$D$16,IF(FB24&lt;=Condition!$F$17,Condition!$D$17,IF(FB24&lt;=Condition!$F$18,Condition!$D$18,IF(FB24&gt;Condition!$E$19,Condition!$D$19,"")))))</f>
        <v>0</v>
      </c>
      <c r="FC67" s="85">
        <f>IF(FC24&lt;=Condition!$E$16,0,IF(FC24&lt;=Condition!$F$16,Condition!$D$16,IF(FC24&lt;=Condition!$F$17,Condition!$D$17,IF(FC24&lt;=Condition!$F$18,Condition!$D$18,IF(FC24&gt;Condition!$E$19,Condition!$D$19,"")))))</f>
        <v>0</v>
      </c>
      <c r="FD67" s="85">
        <f>IF(FD24&lt;=Condition!$E$16,0,IF(FD24&lt;=Condition!$F$16,Condition!$D$16,IF(FD24&lt;=Condition!$F$17,Condition!$D$17,IF(FD24&lt;=Condition!$F$18,Condition!$D$18,IF(FD24&gt;Condition!$E$19,Condition!$D$19,"")))))</f>
        <v>0</v>
      </c>
      <c r="FE67" s="85">
        <f>IF(FE24&lt;=Condition!$E$16,0,IF(FE24&lt;=Condition!$F$16,Condition!$D$16,IF(FE24&lt;=Condition!$F$17,Condition!$D$17,IF(FE24&lt;=Condition!$F$18,Condition!$D$18,IF(FE24&gt;Condition!$E$19,Condition!$D$19,"")))))</f>
        <v>0</v>
      </c>
      <c r="FF67" s="85">
        <f>IF(FF24&lt;=Condition!$E$16,0,IF(FF24&lt;=Condition!$F$16,Condition!$D$16,IF(FF24&lt;=Condition!$F$17,Condition!$D$17,IF(FF24&lt;=Condition!$F$18,Condition!$D$18,IF(FF24&gt;Condition!$E$19,Condition!$D$19,"")))))</f>
        <v>0</v>
      </c>
      <c r="FG67" s="85">
        <f>IF(FG24&lt;=Condition!$E$16,0,IF(FG24&lt;=Condition!$F$16,Condition!$D$16,IF(FG24&lt;=Condition!$F$17,Condition!$D$17,IF(FG24&lt;=Condition!$F$18,Condition!$D$18,IF(FG24&gt;Condition!$E$19,Condition!$D$19,"")))))</f>
        <v>0</v>
      </c>
      <c r="FH67" s="85">
        <f>IF(FH24&lt;=Condition!$E$16,0,IF(FH24&lt;=Condition!$F$16,Condition!$D$16,IF(FH24&lt;=Condition!$F$17,Condition!$D$17,IF(FH24&lt;=Condition!$F$18,Condition!$D$18,IF(FH24&gt;Condition!$E$19,Condition!$D$19,"")))))</f>
        <v>0</v>
      </c>
      <c r="FI67" s="85">
        <f>IF(FI24&lt;=Condition!$E$16,0,IF(FI24&lt;=Condition!$F$16,Condition!$D$16,IF(FI24&lt;=Condition!$F$17,Condition!$D$17,IF(FI24&lt;=Condition!$F$18,Condition!$D$18,IF(FI24&gt;Condition!$E$19,Condition!$D$19,"")))))</f>
        <v>0</v>
      </c>
      <c r="FJ67" s="85">
        <f>IF(FJ24&lt;=Condition!$E$16,0,IF(FJ24&lt;=Condition!$F$16,Condition!$D$16,IF(FJ24&lt;=Condition!$F$17,Condition!$D$17,IF(FJ24&lt;=Condition!$F$18,Condition!$D$18,IF(FJ24&gt;Condition!$E$19,Condition!$D$19,"")))))</f>
        <v>0</v>
      </c>
      <c r="FK67" s="85">
        <f>IF(FK24&lt;=Condition!$E$16,0,IF(FK24&lt;=Condition!$F$16,Condition!$D$16,IF(FK24&lt;=Condition!$F$17,Condition!$D$17,IF(FK24&lt;=Condition!$F$18,Condition!$D$18,IF(FK24&gt;Condition!$E$19,Condition!$D$19,"")))))</f>
        <v>0</v>
      </c>
      <c r="FL67" s="85">
        <f>IF(FL24&lt;=Condition!$E$16,0,IF(FL24&lt;=Condition!$F$16,Condition!$D$16,IF(FL24&lt;=Condition!$F$17,Condition!$D$17,IF(FL24&lt;=Condition!$F$18,Condition!$D$18,IF(FL24&gt;Condition!$E$19,Condition!$D$19,"")))))</f>
        <v>0</v>
      </c>
      <c r="FM67" s="85">
        <f>IF(FM24&lt;=Condition!$E$16,0,IF(FM24&lt;=Condition!$F$16,Condition!$D$16,IF(FM24&lt;=Condition!$F$17,Condition!$D$17,IF(FM24&lt;=Condition!$F$18,Condition!$D$18,IF(FM24&gt;Condition!$E$19,Condition!$D$19,"")))))</f>
        <v>0</v>
      </c>
      <c r="FN67" s="85">
        <f>IF(FN24&lt;=Condition!$E$16,0,IF(FN24&lt;=Condition!$F$16,Condition!$D$16,IF(FN24&lt;=Condition!$F$17,Condition!$D$17,IF(FN24&lt;=Condition!$F$18,Condition!$D$18,IF(FN24&gt;Condition!$E$19,Condition!$D$19,"")))))</f>
        <v>0</v>
      </c>
      <c r="FO67" s="85">
        <f>IF(FO24&lt;=Condition!$E$16,0,IF(FO24&lt;=Condition!$F$16,Condition!$D$16,IF(FO24&lt;=Condition!$F$17,Condition!$D$17,IF(FO24&lt;=Condition!$F$18,Condition!$D$18,IF(FO24&gt;Condition!$E$19,Condition!$D$19,"")))))</f>
        <v>0</v>
      </c>
      <c r="FP67" s="85">
        <f>IF(FP24&lt;=Condition!$E$16,0,IF(FP24&lt;=Condition!$F$16,Condition!$D$16,IF(FP24&lt;=Condition!$F$17,Condition!$D$17,IF(FP24&lt;=Condition!$F$18,Condition!$D$18,IF(FP24&gt;Condition!$E$19,Condition!$D$19,"")))))</f>
        <v>0</v>
      </c>
      <c r="FQ67" s="85">
        <f>IF(FQ24&lt;=Condition!$E$16,0,IF(FQ24&lt;=Condition!$F$16,Condition!$D$16,IF(FQ24&lt;=Condition!$F$17,Condition!$D$17,IF(FQ24&lt;=Condition!$F$18,Condition!$D$18,IF(FQ24&gt;Condition!$E$19,Condition!$D$19,"")))))</f>
        <v>0</v>
      </c>
      <c r="FR67" s="85">
        <f>IF(FR24&lt;=Condition!$E$16,0,IF(FR24&lt;=Condition!$F$16,Condition!$D$16,IF(FR24&lt;=Condition!$F$17,Condition!$D$17,IF(FR24&lt;=Condition!$F$18,Condition!$D$18,IF(FR24&gt;Condition!$E$19,Condition!$D$19,"")))))</f>
        <v>0</v>
      </c>
      <c r="FS67" s="85">
        <f>IF(FS24&lt;=Condition!$E$16,0,IF(FS24&lt;=Condition!$F$16,Condition!$D$16,IF(FS24&lt;=Condition!$F$17,Condition!$D$17,IF(FS24&lt;=Condition!$F$18,Condition!$D$18,IF(FS24&gt;Condition!$E$19,Condition!$D$19,"")))))</f>
        <v>0</v>
      </c>
      <c r="FT67" s="85">
        <f>IF(FT24&lt;=Condition!$E$16,0,IF(FT24&lt;=Condition!$F$16,Condition!$D$16,IF(FT24&lt;=Condition!$F$17,Condition!$D$17,IF(FT24&lt;=Condition!$F$18,Condition!$D$18,IF(FT24&gt;Condition!$E$19,Condition!$D$19,"")))))</f>
        <v>0</v>
      </c>
      <c r="FU67" s="85">
        <f>IF(FU24&lt;=Condition!$E$16,0,IF(FU24&lt;=Condition!$F$16,Condition!$D$16,IF(FU24&lt;=Condition!$F$17,Condition!$D$17,IF(FU24&lt;=Condition!$F$18,Condition!$D$18,IF(FU24&gt;Condition!$E$19,Condition!$D$19,"")))))</f>
        <v>0</v>
      </c>
      <c r="FV67" s="85">
        <f>IF(FV24&lt;=Condition!$E$16,0,IF(FV24&lt;=Condition!$F$16,Condition!$D$16,IF(FV24&lt;=Condition!$F$17,Condition!$D$17,IF(FV24&lt;=Condition!$F$18,Condition!$D$18,IF(FV24&gt;Condition!$E$19,Condition!$D$19,"")))))</f>
        <v>0</v>
      </c>
      <c r="FW67" s="85">
        <f>IF(FW24&lt;=Condition!$E$16,0,IF(FW24&lt;=Condition!$F$16,Condition!$D$16,IF(FW24&lt;=Condition!$F$17,Condition!$D$17,IF(FW24&lt;=Condition!$F$18,Condition!$D$18,IF(FW24&gt;Condition!$E$19,Condition!$D$19,"")))))</f>
        <v>0</v>
      </c>
      <c r="FX67" s="85">
        <f>IF(FX24&lt;=Condition!$E$16,0,IF(FX24&lt;=Condition!$F$16,Condition!$D$16,IF(FX24&lt;=Condition!$F$17,Condition!$D$17,IF(FX24&lt;=Condition!$F$18,Condition!$D$18,IF(FX24&gt;Condition!$E$19,Condition!$D$19,"")))))</f>
        <v>0</v>
      </c>
      <c r="FY67" s="85">
        <f>IF(FY24&lt;=Condition!$E$16,0,IF(FY24&lt;=Condition!$F$16,Condition!$D$16,IF(FY24&lt;=Condition!$F$17,Condition!$D$17,IF(FY24&lt;=Condition!$F$18,Condition!$D$18,IF(FY24&gt;Condition!$E$19,Condition!$D$19,"")))))</f>
        <v>0</v>
      </c>
      <c r="FZ67" s="85">
        <f>IF(FZ24&lt;=Condition!$E$16,0,IF(FZ24&lt;=Condition!$F$16,Condition!$D$16,IF(FZ24&lt;=Condition!$F$17,Condition!$D$17,IF(FZ24&lt;=Condition!$F$18,Condition!$D$18,IF(FZ24&gt;Condition!$E$19,Condition!$D$19,"")))))</f>
        <v>0</v>
      </c>
      <c r="GA67" s="85">
        <f>IF(GA24&lt;=Condition!$E$16,0,IF(GA24&lt;=Condition!$F$16,Condition!$D$16,IF(GA24&lt;=Condition!$F$17,Condition!$D$17,IF(GA24&lt;=Condition!$F$18,Condition!$D$18,IF(GA24&gt;Condition!$E$19,Condition!$D$19,"")))))</f>
        <v>0</v>
      </c>
      <c r="GB67" s="85">
        <f>IF(GB24&lt;=Condition!$E$16,0,IF(GB24&lt;=Condition!$F$16,Condition!$D$16,IF(GB24&lt;=Condition!$F$17,Condition!$D$17,IF(GB24&lt;=Condition!$F$18,Condition!$D$18,IF(GB24&gt;Condition!$E$19,Condition!$D$19,"")))))</f>
        <v>0</v>
      </c>
      <c r="GC67" s="85">
        <f>IF(GC24&lt;=Condition!$E$16,0,IF(GC24&lt;=Condition!$F$16,Condition!$D$16,IF(GC24&lt;=Condition!$F$17,Condition!$D$17,IF(GC24&lt;=Condition!$F$18,Condition!$D$18,IF(GC24&gt;Condition!$E$19,Condition!$D$19,"")))))</f>
        <v>0</v>
      </c>
      <c r="GD67" s="85">
        <f>IF(GD24&lt;=Condition!$E$16,0,IF(GD24&lt;=Condition!$F$16,Condition!$D$16,IF(GD24&lt;=Condition!$F$17,Condition!$D$17,IF(GD24&lt;=Condition!$F$18,Condition!$D$18,IF(GD24&gt;Condition!$E$19,Condition!$D$19,"")))))</f>
        <v>0</v>
      </c>
      <c r="GE67" s="85">
        <f>IF(GE24&lt;=Condition!$E$16,0,IF(GE24&lt;=Condition!$F$16,Condition!$D$16,IF(GE24&lt;=Condition!$F$17,Condition!$D$17,IF(GE24&lt;=Condition!$F$18,Condition!$D$18,IF(GE24&gt;Condition!$E$19,Condition!$D$19,"")))))</f>
        <v>0</v>
      </c>
      <c r="GF67" s="85">
        <f>IF(GF24&lt;=Condition!$E$16,0,IF(GF24&lt;=Condition!$F$16,Condition!$D$16,IF(GF24&lt;=Condition!$F$17,Condition!$D$17,IF(GF24&lt;=Condition!$F$18,Condition!$D$18,IF(GF24&gt;Condition!$E$19,Condition!$D$19,"")))))</f>
        <v>0</v>
      </c>
      <c r="GG67" s="85">
        <f>IF(GG24&lt;=Condition!$E$16,0,IF(GG24&lt;=Condition!$F$16,Condition!$D$16,IF(GG24&lt;=Condition!$F$17,Condition!$D$17,IF(GG24&lt;=Condition!$F$18,Condition!$D$18,IF(GG24&gt;Condition!$E$19,Condition!$D$19,"")))))</f>
        <v>0</v>
      </c>
      <c r="GH67" s="85">
        <f>IF(GH24&lt;=Condition!$E$16,0,IF(GH24&lt;=Condition!$F$16,Condition!$D$16,IF(GH24&lt;=Condition!$F$17,Condition!$D$17,IF(GH24&lt;=Condition!$F$18,Condition!$D$18,IF(GH24&gt;Condition!$E$19,Condition!$D$19,"")))))</f>
        <v>0</v>
      </c>
      <c r="GI67" s="85">
        <f>IF(GI24&lt;=Condition!$E$16,0,IF(GI24&lt;=Condition!$F$16,Condition!$D$16,IF(GI24&lt;=Condition!$F$17,Condition!$D$17,IF(GI24&lt;=Condition!$F$18,Condition!$D$18,IF(GI24&gt;Condition!$E$19,Condition!$D$19,"")))))</f>
        <v>0</v>
      </c>
      <c r="GJ67" s="85">
        <f>IF(GJ24&lt;=Condition!$E$16,0,IF(GJ24&lt;=Condition!$F$16,Condition!$D$16,IF(GJ24&lt;=Condition!$F$17,Condition!$D$17,IF(GJ24&lt;=Condition!$F$18,Condition!$D$18,IF(GJ24&gt;Condition!$E$19,Condition!$D$19,"")))))</f>
        <v>0</v>
      </c>
      <c r="GK67" s="85">
        <f>IF(GK24&lt;=Condition!$E$16,0,IF(GK24&lt;=Condition!$F$16,Condition!$D$16,IF(GK24&lt;=Condition!$F$17,Condition!$D$17,IF(GK24&lt;=Condition!$F$18,Condition!$D$18,IF(GK24&gt;Condition!$E$19,Condition!$D$19,"")))))</f>
        <v>0</v>
      </c>
      <c r="GL67" s="85">
        <f>IF(GL24&lt;=Condition!$E$16,0,IF(GL24&lt;=Condition!$F$16,Condition!$D$16,IF(GL24&lt;=Condition!$F$17,Condition!$D$17,IF(GL24&lt;=Condition!$F$18,Condition!$D$18,IF(GL24&gt;Condition!$E$19,Condition!$D$19,"")))))</f>
        <v>0</v>
      </c>
      <c r="GM67" s="85">
        <f>IF(GM24&lt;=Condition!$E$16,0,IF(GM24&lt;=Condition!$F$16,Condition!$D$16,IF(GM24&lt;=Condition!$F$17,Condition!$D$17,IF(GM24&lt;=Condition!$F$18,Condition!$D$18,IF(GM24&gt;Condition!$E$19,Condition!$D$19,"")))))</f>
        <v>0</v>
      </c>
      <c r="GN67" s="85">
        <f>IF(GN24&lt;=Condition!$E$16,0,IF(GN24&lt;=Condition!$F$16,Condition!$D$16,IF(GN24&lt;=Condition!$F$17,Condition!$D$17,IF(GN24&lt;=Condition!$F$18,Condition!$D$18,IF(GN24&gt;Condition!$E$19,Condition!$D$19,"")))))</f>
        <v>0</v>
      </c>
      <c r="GO67" s="85">
        <f>IF(GO24&lt;=Condition!$E$16,0,IF(GO24&lt;=Condition!$F$16,Condition!$D$16,IF(GO24&lt;=Condition!$F$17,Condition!$D$17,IF(GO24&lt;=Condition!$F$18,Condition!$D$18,IF(GO24&gt;Condition!$E$19,Condition!$D$19,"")))))</f>
        <v>0</v>
      </c>
      <c r="GP67" s="85">
        <f>IF(GP24&lt;=Condition!$E$16,0,IF(GP24&lt;=Condition!$F$16,Condition!$D$16,IF(GP24&lt;=Condition!$F$17,Condition!$D$17,IF(GP24&lt;=Condition!$F$18,Condition!$D$18,IF(GP24&gt;Condition!$E$19,Condition!$D$19,"")))))</f>
        <v>0</v>
      </c>
      <c r="GQ67" s="85">
        <f>IF(GQ24&lt;=Condition!$E$16,0,IF(GQ24&lt;=Condition!$F$16,Condition!$D$16,IF(GQ24&lt;=Condition!$F$17,Condition!$D$17,IF(GQ24&lt;=Condition!$F$18,Condition!$D$18,IF(GQ24&gt;Condition!$E$19,Condition!$D$19,"")))))</f>
        <v>0</v>
      </c>
      <c r="GR67" s="85">
        <f>IF(GR24&lt;=Condition!$E$16,0,IF(GR24&lt;=Condition!$F$16,Condition!$D$16,IF(GR24&lt;=Condition!$F$17,Condition!$D$17,IF(GR24&lt;=Condition!$F$18,Condition!$D$18,IF(GR24&gt;Condition!$E$19,Condition!$D$19,"")))))</f>
        <v>0</v>
      </c>
      <c r="GS67" s="85">
        <f>IF(GS24&lt;=Condition!$E$16,0,IF(GS24&lt;=Condition!$F$16,Condition!$D$16,IF(GS24&lt;=Condition!$F$17,Condition!$D$17,IF(GS24&lt;=Condition!$F$18,Condition!$D$18,IF(GS24&gt;Condition!$E$19,Condition!$D$19,"")))))</f>
        <v>0</v>
      </c>
      <c r="GT67" s="85">
        <f>IF(GT24&lt;=Condition!$E$16,0,IF(GT24&lt;=Condition!$F$16,Condition!$D$16,IF(GT24&lt;=Condition!$F$17,Condition!$D$17,IF(GT24&lt;=Condition!$F$18,Condition!$D$18,IF(GT24&gt;Condition!$E$19,Condition!$D$19,"")))))</f>
        <v>0</v>
      </c>
      <c r="GU67" s="85">
        <f>IF(GU24&lt;=Condition!$E$16,0,IF(GU24&lt;=Condition!$F$16,Condition!$D$16,IF(GU24&lt;=Condition!$F$17,Condition!$D$17,IF(GU24&lt;=Condition!$F$18,Condition!$D$18,IF(GU24&gt;Condition!$E$19,Condition!$D$19,"")))))</f>
        <v>0</v>
      </c>
      <c r="GV67" s="85">
        <f>IF(GV24&lt;=Condition!$E$16,0,IF(GV24&lt;=Condition!$F$16,Condition!$D$16,IF(GV24&lt;=Condition!$F$17,Condition!$D$17,IF(GV24&lt;=Condition!$F$18,Condition!$D$18,IF(GV24&gt;Condition!$E$19,Condition!$D$19,"")))))</f>
        <v>0</v>
      </c>
      <c r="GW67" s="85">
        <f>IF(GW24&lt;=Condition!$E$16,0,IF(GW24&lt;=Condition!$F$16,Condition!$D$16,IF(GW24&lt;=Condition!$F$17,Condition!$D$17,IF(GW24&lt;=Condition!$F$18,Condition!$D$18,IF(GW24&gt;Condition!$E$19,Condition!$D$19,"")))))</f>
        <v>0</v>
      </c>
      <c r="GX67" s="85">
        <f>IF(GX24&lt;=Condition!$E$16,0,IF(GX24&lt;=Condition!$F$16,Condition!$D$16,IF(GX24&lt;=Condition!$F$17,Condition!$D$17,IF(GX24&lt;=Condition!$F$18,Condition!$D$18,IF(GX24&gt;Condition!$E$19,Condition!$D$19,"")))))</f>
        <v>0</v>
      </c>
      <c r="GY67" s="85">
        <f>IF(GY24&lt;=Condition!$E$16,0,IF(GY24&lt;=Condition!$F$16,Condition!$D$16,IF(GY24&lt;=Condition!$F$17,Condition!$D$17,IF(GY24&lt;=Condition!$F$18,Condition!$D$18,IF(GY24&gt;Condition!$E$19,Condition!$D$19,"")))))</f>
        <v>0</v>
      </c>
      <c r="GZ67" s="85">
        <f>IF(GZ24&lt;=Condition!$E$16,0,IF(GZ24&lt;=Condition!$F$16,Condition!$D$16,IF(GZ24&lt;=Condition!$F$17,Condition!$D$17,IF(GZ24&lt;=Condition!$F$18,Condition!$D$18,IF(GZ24&gt;Condition!$E$19,Condition!$D$19,"")))))</f>
        <v>0</v>
      </c>
      <c r="HA67" s="85">
        <f>IF(HA24&lt;=Condition!$E$16,0,IF(HA24&lt;=Condition!$F$16,Condition!$D$16,IF(HA24&lt;=Condition!$F$17,Condition!$D$17,IF(HA24&lt;=Condition!$F$18,Condition!$D$18,IF(HA24&gt;Condition!$E$19,Condition!$D$19,"")))))</f>
        <v>0</v>
      </c>
      <c r="HB67" s="85">
        <f>IF(HB24&lt;=Condition!$E$16,0,IF(HB24&lt;=Condition!$F$16,Condition!$D$16,IF(HB24&lt;=Condition!$F$17,Condition!$D$17,IF(HB24&lt;=Condition!$F$18,Condition!$D$18,IF(HB24&gt;Condition!$E$19,Condition!$D$19,"")))))</f>
        <v>0</v>
      </c>
      <c r="HC67" s="85">
        <f>IF(HC24&lt;=Condition!$E$16,0,IF(HC24&lt;=Condition!$F$16,Condition!$D$16,IF(HC24&lt;=Condition!$F$17,Condition!$D$17,IF(HC24&lt;=Condition!$F$18,Condition!$D$18,IF(HC24&gt;Condition!$E$19,Condition!$D$19,"")))))</f>
        <v>0</v>
      </c>
      <c r="HD67" s="85">
        <f>IF(HD24&lt;=Condition!$E$16,0,IF(HD24&lt;=Condition!$F$16,Condition!$D$16,IF(HD24&lt;=Condition!$F$17,Condition!$D$17,IF(HD24&lt;=Condition!$F$18,Condition!$D$18,IF(HD24&gt;Condition!$E$19,Condition!$D$19,"")))))</f>
        <v>0</v>
      </c>
      <c r="HE67" s="85">
        <f>IF(HE24&lt;=Condition!$E$16,0,IF(HE24&lt;=Condition!$F$16,Condition!$D$16,IF(HE24&lt;=Condition!$F$17,Condition!$D$17,IF(HE24&lt;=Condition!$F$18,Condition!$D$18,IF(HE24&gt;Condition!$E$19,Condition!$D$19,"")))))</f>
        <v>0</v>
      </c>
      <c r="HF67" s="85">
        <f>IF(HF24&lt;=Condition!$E$16,0,IF(HF24&lt;=Condition!$F$16,Condition!$D$16,IF(HF24&lt;=Condition!$F$17,Condition!$D$17,IF(HF24&lt;=Condition!$F$18,Condition!$D$18,IF(HF24&gt;Condition!$E$19,Condition!$D$19,"")))))</f>
        <v>0</v>
      </c>
      <c r="HG67" s="85">
        <f>IF(HG24&lt;=Condition!$E$16,0,IF(HG24&lt;=Condition!$F$16,Condition!$D$16,IF(HG24&lt;=Condition!$F$17,Condition!$D$17,IF(HG24&lt;=Condition!$F$18,Condition!$D$18,IF(HG24&gt;Condition!$E$19,Condition!$D$19,"")))))</f>
        <v>0</v>
      </c>
      <c r="HH67" s="85">
        <f>IF(HH24&lt;=Condition!$E$16,0,IF(HH24&lt;=Condition!$F$16,Condition!$D$16,IF(HH24&lt;=Condition!$F$17,Condition!$D$17,IF(HH24&lt;=Condition!$F$18,Condition!$D$18,IF(HH24&gt;Condition!$E$19,Condition!$D$19,"")))))</f>
        <v>0</v>
      </c>
      <c r="HI67" s="85">
        <f>IF(HI24&lt;=Condition!$E$16,0,IF(HI24&lt;=Condition!$F$16,Condition!$D$16,IF(HI24&lt;=Condition!$F$17,Condition!$D$17,IF(HI24&lt;=Condition!$F$18,Condition!$D$18,IF(HI24&gt;Condition!$E$19,Condition!$D$19,"")))))</f>
        <v>0</v>
      </c>
      <c r="HJ67" s="85">
        <f>IF(HJ24&lt;=Condition!$E$16,0,IF(HJ24&lt;=Condition!$F$16,Condition!$D$16,IF(HJ24&lt;=Condition!$F$17,Condition!$D$17,IF(HJ24&lt;=Condition!$F$18,Condition!$D$18,IF(HJ24&gt;Condition!$E$19,Condition!$D$19,"")))))</f>
        <v>0</v>
      </c>
      <c r="HK67" s="85">
        <f>IF(HK24&lt;=Condition!$E$16,0,IF(HK24&lt;=Condition!$F$16,Condition!$D$16,IF(HK24&lt;=Condition!$F$17,Condition!$D$17,IF(HK24&lt;=Condition!$F$18,Condition!$D$18,IF(HK24&gt;Condition!$E$19,Condition!$D$19,"")))))</f>
        <v>0</v>
      </c>
      <c r="HL67" s="85">
        <f>IF(HL24&lt;=Condition!$E$16,0,IF(HL24&lt;=Condition!$F$16,Condition!$D$16,IF(HL24&lt;=Condition!$F$17,Condition!$D$17,IF(HL24&lt;=Condition!$F$18,Condition!$D$18,IF(HL24&gt;Condition!$E$19,Condition!$D$19,"")))))</f>
        <v>0</v>
      </c>
      <c r="HM67" s="85">
        <f>IF(HM24&lt;=Condition!$E$16,0,IF(HM24&lt;=Condition!$F$16,Condition!$D$16,IF(HM24&lt;=Condition!$F$17,Condition!$D$17,IF(HM24&lt;=Condition!$F$18,Condition!$D$18,IF(HM24&gt;Condition!$E$19,Condition!$D$19,"")))))</f>
        <v>0</v>
      </c>
      <c r="HN67" s="85">
        <f>IF(HN24&lt;=Condition!$E$16,0,IF(HN24&lt;=Condition!$F$16,Condition!$D$16,IF(HN24&lt;=Condition!$F$17,Condition!$D$17,IF(HN24&lt;=Condition!$F$18,Condition!$D$18,IF(HN24&gt;Condition!$E$19,Condition!$D$19,"")))))</f>
        <v>0</v>
      </c>
      <c r="HO67" s="85">
        <f>IF(HO24&lt;=Condition!$E$16,0,IF(HO24&lt;=Condition!$F$16,Condition!$D$16,IF(HO24&lt;=Condition!$F$17,Condition!$D$17,IF(HO24&lt;=Condition!$F$18,Condition!$D$18,IF(HO24&gt;Condition!$E$19,Condition!$D$19,"")))))</f>
        <v>0</v>
      </c>
      <c r="HP67" s="85">
        <f>IF(HP24&lt;=Condition!$E$16,0,IF(HP24&lt;=Condition!$F$16,Condition!$D$16,IF(HP24&lt;=Condition!$F$17,Condition!$D$17,IF(HP24&lt;=Condition!$F$18,Condition!$D$18,IF(HP24&gt;Condition!$E$19,Condition!$D$19,"")))))</f>
        <v>0</v>
      </c>
      <c r="HQ67" s="85">
        <f>IF(HQ24&lt;=Condition!$E$16,0,IF(HQ24&lt;=Condition!$F$16,Condition!$D$16,IF(HQ24&lt;=Condition!$F$17,Condition!$D$17,IF(HQ24&lt;=Condition!$F$18,Condition!$D$18,IF(HQ24&gt;Condition!$E$19,Condition!$D$19,"")))))</f>
        <v>0</v>
      </c>
      <c r="HR67" s="85">
        <f>IF(HR24&lt;=Condition!$E$16,0,IF(HR24&lt;=Condition!$F$16,Condition!$D$16,IF(HR24&lt;=Condition!$F$17,Condition!$D$17,IF(HR24&lt;=Condition!$F$18,Condition!$D$18,IF(HR24&gt;Condition!$E$19,Condition!$D$19,"")))))</f>
        <v>0</v>
      </c>
      <c r="HS67" s="85">
        <f>IF(HS24&lt;=Condition!$E$16,0,IF(HS24&lt;=Condition!$F$16,Condition!$D$16,IF(HS24&lt;=Condition!$F$17,Condition!$D$17,IF(HS24&lt;=Condition!$F$18,Condition!$D$18,IF(HS24&gt;Condition!$E$19,Condition!$D$19,"")))))</f>
        <v>0</v>
      </c>
      <c r="HT67" s="85">
        <f>IF(HT24&lt;=Condition!$E$16,0,IF(HT24&lt;=Condition!$F$16,Condition!$D$16,IF(HT24&lt;=Condition!$F$17,Condition!$D$17,IF(HT24&lt;=Condition!$F$18,Condition!$D$18,IF(HT24&gt;Condition!$E$19,Condition!$D$19,"")))))</f>
        <v>0</v>
      </c>
      <c r="HU67" s="85">
        <f>IF(HU24&lt;=Condition!$E$16,0,IF(HU24&lt;=Condition!$F$16,Condition!$D$16,IF(HU24&lt;=Condition!$F$17,Condition!$D$17,IF(HU24&lt;=Condition!$F$18,Condition!$D$18,IF(HU24&gt;Condition!$E$19,Condition!$D$19,"")))))</f>
        <v>0</v>
      </c>
      <c r="HV67" s="85">
        <f>IF(HV24&lt;=Condition!$E$16,0,IF(HV24&lt;=Condition!$F$16,Condition!$D$16,IF(HV24&lt;=Condition!$F$17,Condition!$D$17,IF(HV24&lt;=Condition!$F$18,Condition!$D$18,IF(HV24&gt;Condition!$E$19,Condition!$D$19,"")))))</f>
        <v>0</v>
      </c>
      <c r="HW67" s="85">
        <f>IF(HW24&lt;=Condition!$E$16,0,IF(HW24&lt;=Condition!$F$16,Condition!$D$16,IF(HW24&lt;=Condition!$F$17,Condition!$D$17,IF(HW24&lt;=Condition!$F$18,Condition!$D$18,IF(HW24&gt;Condition!$E$19,Condition!$D$19,"")))))</f>
        <v>0</v>
      </c>
      <c r="HX67" s="85">
        <f>IF(HX24&lt;=Condition!$E$16,0,IF(HX24&lt;=Condition!$F$16,Condition!$D$16,IF(HX24&lt;=Condition!$F$17,Condition!$D$17,IF(HX24&lt;=Condition!$F$18,Condition!$D$18,IF(HX24&gt;Condition!$E$19,Condition!$D$19,"")))))</f>
        <v>0</v>
      </c>
      <c r="HY67" s="85">
        <f>IF(HY24&lt;=Condition!$E$16,0,IF(HY24&lt;=Condition!$F$16,Condition!$D$16,IF(HY24&lt;=Condition!$F$17,Condition!$D$17,IF(HY24&lt;=Condition!$F$18,Condition!$D$18,IF(HY24&gt;Condition!$E$19,Condition!$D$19,"")))))</f>
        <v>0</v>
      </c>
      <c r="HZ67" s="85">
        <f>IF(HZ24&lt;=Condition!$E$16,0,IF(HZ24&lt;=Condition!$F$16,Condition!$D$16,IF(HZ24&lt;=Condition!$F$17,Condition!$D$17,IF(HZ24&lt;=Condition!$F$18,Condition!$D$18,IF(HZ24&gt;Condition!$E$19,Condition!$D$19,"")))))</f>
        <v>0</v>
      </c>
      <c r="IA67" s="85">
        <f>IF(IA24&lt;=Condition!$E$16,0,IF(IA24&lt;=Condition!$F$16,Condition!$D$16,IF(IA24&lt;=Condition!$F$17,Condition!$D$17,IF(IA24&lt;=Condition!$F$18,Condition!$D$18,IF(IA24&gt;Condition!$E$19,Condition!$D$19,"")))))</f>
        <v>0</v>
      </c>
      <c r="IB67" s="85">
        <f>IF(IB24&lt;=Condition!$E$16,0,IF(IB24&lt;=Condition!$F$16,Condition!$D$16,IF(IB24&lt;=Condition!$F$17,Condition!$D$17,IF(IB24&lt;=Condition!$F$18,Condition!$D$18,IF(IB24&gt;Condition!$E$19,Condition!$D$19,"")))))</f>
        <v>0</v>
      </c>
      <c r="IC67" s="85">
        <f>IF(IC24&lt;=Condition!$E$16,0,IF(IC24&lt;=Condition!$F$16,Condition!$D$16,IF(IC24&lt;=Condition!$F$17,Condition!$D$17,IF(IC24&lt;=Condition!$F$18,Condition!$D$18,IF(IC24&gt;Condition!$E$19,Condition!$D$19,"")))))</f>
        <v>0</v>
      </c>
      <c r="ID67" s="85">
        <f>IF(ID24&lt;=Condition!$E$16,0,IF(ID24&lt;=Condition!$F$16,Condition!$D$16,IF(ID24&lt;=Condition!$F$17,Condition!$D$17,IF(ID24&lt;=Condition!$F$18,Condition!$D$18,IF(ID24&gt;Condition!$E$19,Condition!$D$19,"")))))</f>
        <v>0</v>
      </c>
      <c r="IE67" s="85">
        <f>IF(IE24&lt;=Condition!$E$16,0,IF(IE24&lt;=Condition!$F$16,Condition!$D$16,IF(IE24&lt;=Condition!$F$17,Condition!$D$17,IF(IE24&lt;=Condition!$F$18,Condition!$D$18,IF(IE24&gt;Condition!$E$19,Condition!$D$19,"")))))</f>
        <v>0</v>
      </c>
      <c r="IF67" s="85">
        <f>IF(IF24&lt;=Condition!$E$16,0,IF(IF24&lt;=Condition!$F$16,Condition!$D$16,IF(IF24&lt;=Condition!$F$17,Condition!$D$17,IF(IF24&lt;=Condition!$F$18,Condition!$D$18,IF(IF24&gt;Condition!$E$19,Condition!$D$19,"")))))</f>
        <v>0</v>
      </c>
      <c r="IG67" s="85">
        <f>IF(IG24&lt;=Condition!$E$16,0,IF(IG24&lt;=Condition!$F$16,Condition!$D$16,IF(IG24&lt;=Condition!$F$17,Condition!$D$17,IF(IG24&lt;=Condition!$F$18,Condition!$D$18,IF(IG24&gt;Condition!$E$19,Condition!$D$19,"")))))</f>
        <v>0</v>
      </c>
      <c r="IH67" s="85">
        <f>IF(IH24&lt;=Condition!$E$16,0,IF(IH24&lt;=Condition!$F$16,Condition!$D$16,IF(IH24&lt;=Condition!$F$17,Condition!$D$17,IF(IH24&lt;=Condition!$F$18,Condition!$D$18,IF(IH24&gt;Condition!$E$19,Condition!$D$19,"")))))</f>
        <v>0</v>
      </c>
      <c r="II67" s="85">
        <f>IF(II24&lt;=Condition!$E$16,0,IF(II24&lt;=Condition!$F$16,Condition!$D$16,IF(II24&lt;=Condition!$F$17,Condition!$D$17,IF(II24&lt;=Condition!$F$18,Condition!$D$18,IF(II24&gt;Condition!$E$19,Condition!$D$19,"")))))</f>
        <v>0</v>
      </c>
      <c r="IJ67" s="85">
        <f>IF(IJ24&lt;=Condition!$E$16,0,IF(IJ24&lt;=Condition!$F$16,Condition!$D$16,IF(IJ24&lt;=Condition!$F$17,Condition!$D$17,IF(IJ24&lt;=Condition!$F$18,Condition!$D$18,IF(IJ24&gt;Condition!$E$19,Condition!$D$19,"")))))</f>
        <v>0</v>
      </c>
      <c r="IK67" s="85">
        <f>IF(IK24&lt;=Condition!$E$16,0,IF(IK24&lt;=Condition!$F$16,Condition!$D$16,IF(IK24&lt;=Condition!$F$17,Condition!$D$17,IF(IK24&lt;=Condition!$F$18,Condition!$D$18,IF(IK24&gt;Condition!$E$19,Condition!$D$19,"")))))</f>
        <v>0</v>
      </c>
      <c r="IL67" s="85">
        <f>IF(IL24&lt;=Condition!$E$16,0,IF(IL24&lt;=Condition!$F$16,Condition!$D$16,IF(IL24&lt;=Condition!$F$17,Condition!$D$17,IF(IL24&lt;=Condition!$F$18,Condition!$D$18,IF(IL24&gt;Condition!$E$19,Condition!$D$19,"")))))</f>
        <v>0</v>
      </c>
      <c r="IM67" s="85">
        <f>IF(IM24&lt;=Condition!$E$16,0,IF(IM24&lt;=Condition!$F$16,Condition!$D$16,IF(IM24&lt;=Condition!$F$17,Condition!$D$17,IF(IM24&lt;=Condition!$F$18,Condition!$D$18,IF(IM24&gt;Condition!$E$19,Condition!$D$19,"")))))</f>
        <v>0</v>
      </c>
      <c r="IN67" s="85">
        <f>IF(IN24&lt;=Condition!$E$16,0,IF(IN24&lt;=Condition!$F$16,Condition!$D$16,IF(IN24&lt;=Condition!$F$17,Condition!$D$17,IF(IN24&lt;=Condition!$F$18,Condition!$D$18,IF(IN24&gt;Condition!$E$19,Condition!$D$19,"")))))</f>
        <v>0</v>
      </c>
      <c r="IO67" s="85">
        <f>IF(IO24&lt;=Condition!$E$16,0,IF(IO24&lt;=Condition!$F$16,Condition!$D$16,IF(IO24&lt;=Condition!$F$17,Condition!$D$17,IF(IO24&lt;=Condition!$F$18,Condition!$D$18,IF(IO24&gt;Condition!$E$19,Condition!$D$19,"")))))</f>
        <v>0</v>
      </c>
      <c r="IP67" s="85">
        <f>IF(IP24&lt;=Condition!$E$16,0,IF(IP24&lt;=Condition!$F$16,Condition!$D$16,IF(IP24&lt;=Condition!$F$17,Condition!$D$17,IF(IP24&lt;=Condition!$F$18,Condition!$D$18,IF(IP24&gt;Condition!$E$19,Condition!$D$19,"")))))</f>
        <v>0</v>
      </c>
      <c r="IQ67" s="85">
        <f>IF(IQ24&lt;=Condition!$E$16,0,IF(IQ24&lt;=Condition!$F$16,Condition!$D$16,IF(IQ24&lt;=Condition!$F$17,Condition!$D$17,IF(IQ24&lt;=Condition!$F$18,Condition!$D$18,IF(IQ24&gt;Condition!$E$19,Condition!$D$19,"")))))</f>
        <v>0</v>
      </c>
      <c r="IR67" s="85">
        <f>IF(IR24&lt;=Condition!$E$16,0,IF(IR24&lt;=Condition!$F$16,Condition!$D$16,IF(IR24&lt;=Condition!$F$17,Condition!$D$17,IF(IR24&lt;=Condition!$F$18,Condition!$D$18,IF(IR24&gt;Condition!$E$19,Condition!$D$19,"")))))</f>
        <v>0</v>
      </c>
      <c r="IS67" s="85">
        <f>IF(IS24&lt;=Condition!$E$16,0,IF(IS24&lt;=Condition!$F$16,Condition!$D$16,IF(IS24&lt;=Condition!$F$17,Condition!$D$17,IF(IS24&lt;=Condition!$F$18,Condition!$D$18,IF(IS24&gt;Condition!$E$19,Condition!$D$19,"")))))</f>
        <v>0</v>
      </c>
      <c r="IT67" s="85">
        <f>IF(IT24&lt;=Condition!$E$16,0,IF(IT24&lt;=Condition!$F$16,Condition!$D$16,IF(IT24&lt;=Condition!$F$17,Condition!$D$17,IF(IT24&lt;=Condition!$F$18,Condition!$D$18,IF(IT24&gt;Condition!$E$19,Condition!$D$19,"")))))</f>
        <v>0</v>
      </c>
      <c r="IU67" s="85">
        <f>IF(IU24&lt;=Condition!$E$16,0,IF(IU24&lt;=Condition!$F$16,Condition!$D$16,IF(IU24&lt;=Condition!$F$17,Condition!$D$17,IF(IU24&lt;=Condition!$F$18,Condition!$D$18,IF(IU24&gt;Condition!$E$19,Condition!$D$19,"")))))</f>
        <v>0</v>
      </c>
      <c r="IV67" s="85">
        <f>IF(IV24&lt;=Condition!$E$16,0,IF(IV24&lt;=Condition!$F$16,Condition!$D$16,IF(IV24&lt;=Condition!$F$17,Condition!$D$17,IF(IV24&lt;=Condition!$F$18,Condition!$D$18,IF(IV24&gt;Condition!$E$19,Condition!$D$19,"")))))</f>
        <v>0</v>
      </c>
      <c r="IW67" s="85">
        <f>IF(IW24&lt;=Condition!$E$16,0,IF(IW24&lt;=Condition!$F$16,Condition!$D$16,IF(IW24&lt;=Condition!$F$17,Condition!$D$17,IF(IW24&lt;=Condition!$F$18,Condition!$D$18,IF(IW24&gt;Condition!$E$19,Condition!$D$19,"")))))</f>
        <v>0</v>
      </c>
      <c r="IX67" s="85">
        <f>IF(IX24&lt;=Condition!$E$16,0,IF(IX24&lt;=Condition!$F$16,Condition!$D$16,IF(IX24&lt;=Condition!$F$17,Condition!$D$17,IF(IX24&lt;=Condition!$F$18,Condition!$D$18,IF(IX24&gt;Condition!$E$19,Condition!$D$19,"")))))</f>
        <v>0</v>
      </c>
      <c r="IY67" s="85">
        <f>IF(IY24&lt;=Condition!$E$16,0,IF(IY24&lt;=Condition!$F$16,Condition!$D$16,IF(IY24&lt;=Condition!$F$17,Condition!$D$17,IF(IY24&lt;=Condition!$F$18,Condition!$D$18,IF(IY24&gt;Condition!$E$19,Condition!$D$19,"")))))</f>
        <v>0</v>
      </c>
      <c r="IZ67" s="85">
        <f>IF(IZ24&lt;=Condition!$E$16,0,IF(IZ24&lt;=Condition!$F$16,Condition!$D$16,IF(IZ24&lt;=Condition!$F$17,Condition!$D$17,IF(IZ24&lt;=Condition!$F$18,Condition!$D$18,IF(IZ24&gt;Condition!$E$19,Condition!$D$19,"")))))</f>
        <v>0</v>
      </c>
      <c r="JA67" s="85">
        <f>IF(JA24&lt;=Condition!$E$16,0,IF(JA24&lt;=Condition!$F$16,Condition!$D$16,IF(JA24&lt;=Condition!$F$17,Condition!$D$17,IF(JA24&lt;=Condition!$F$18,Condition!$D$18,IF(JA24&gt;Condition!$E$19,Condition!$D$19,"")))))</f>
        <v>0</v>
      </c>
      <c r="JB67" s="85">
        <f>IF(JB24&lt;=Condition!$E$16,0,IF(JB24&lt;=Condition!$F$16,Condition!$D$16,IF(JB24&lt;=Condition!$F$17,Condition!$D$17,IF(JB24&lt;=Condition!$F$18,Condition!$D$18,IF(JB24&gt;Condition!$E$19,Condition!$D$19,"")))))</f>
        <v>0</v>
      </c>
      <c r="JC67" s="85">
        <f>IF(JC24&lt;=Condition!$E$16,0,IF(JC24&lt;=Condition!$F$16,Condition!$D$16,IF(JC24&lt;=Condition!$F$17,Condition!$D$17,IF(JC24&lt;=Condition!$F$18,Condition!$D$18,IF(JC24&gt;Condition!$E$19,Condition!$D$19,"")))))</f>
        <v>0</v>
      </c>
      <c r="JD67" s="85">
        <f>IF(JD24&lt;=Condition!$E$16,0,IF(JD24&lt;=Condition!$F$16,Condition!$D$16,IF(JD24&lt;=Condition!$F$17,Condition!$D$17,IF(JD24&lt;=Condition!$F$18,Condition!$D$18,IF(JD24&gt;Condition!$E$19,Condition!$D$19,"")))))</f>
        <v>0</v>
      </c>
      <c r="JE67" s="85">
        <f>IF(JE24&lt;=Condition!$E$16,0,IF(JE24&lt;=Condition!$F$16,Condition!$D$16,IF(JE24&lt;=Condition!$F$17,Condition!$D$17,IF(JE24&lt;=Condition!$F$18,Condition!$D$18,IF(JE24&gt;Condition!$E$19,Condition!$D$19,"")))))</f>
        <v>0</v>
      </c>
      <c r="JF67" s="85">
        <f>IF(JF24&lt;=Condition!$E$16,0,IF(JF24&lt;=Condition!$F$16,Condition!$D$16,IF(JF24&lt;=Condition!$F$17,Condition!$D$17,IF(JF24&lt;=Condition!$F$18,Condition!$D$18,IF(JF24&gt;Condition!$E$19,Condition!$D$19,"")))))</f>
        <v>0</v>
      </c>
      <c r="JG67" s="85">
        <f>IF(JG24&lt;=Condition!$E$16,0,IF(JG24&lt;=Condition!$F$16,Condition!$D$16,IF(JG24&lt;=Condition!$F$17,Condition!$D$17,IF(JG24&lt;=Condition!$F$18,Condition!$D$18,IF(JG24&gt;Condition!$E$19,Condition!$D$19,"")))))</f>
        <v>0</v>
      </c>
      <c r="JH67" s="85">
        <f>IF(JH24&lt;=Condition!$E$16,0,IF(JH24&lt;=Condition!$F$16,Condition!$D$16,IF(JH24&lt;=Condition!$F$17,Condition!$D$17,IF(JH24&lt;=Condition!$F$18,Condition!$D$18,IF(JH24&gt;Condition!$E$19,Condition!$D$19,"")))))</f>
        <v>0</v>
      </c>
      <c r="JI67" s="85">
        <f>IF(JI24&lt;=Condition!$E$16,0,IF(JI24&lt;=Condition!$F$16,Condition!$D$16,IF(JI24&lt;=Condition!$F$17,Condition!$D$17,IF(JI24&lt;=Condition!$F$18,Condition!$D$18,IF(JI24&gt;Condition!$E$19,Condition!$D$19,"")))))</f>
        <v>0</v>
      </c>
      <c r="JJ67" s="85">
        <f>IF(JJ24&lt;=Condition!$E$16,0,IF(JJ24&lt;=Condition!$F$16,Condition!$D$16,IF(JJ24&lt;=Condition!$F$17,Condition!$D$17,IF(JJ24&lt;=Condition!$F$18,Condition!$D$18,IF(JJ24&gt;Condition!$E$19,Condition!$D$19,"")))))</f>
        <v>0</v>
      </c>
      <c r="JK67" s="85">
        <f>IF(JK24&lt;=Condition!$E$16,0,IF(JK24&lt;=Condition!$F$16,Condition!$D$16,IF(JK24&lt;=Condition!$F$17,Condition!$D$17,IF(JK24&lt;=Condition!$F$18,Condition!$D$18,IF(JK24&gt;Condition!$E$19,Condition!$D$19,"")))))</f>
        <v>0</v>
      </c>
      <c r="JL67" s="85">
        <f>IF(JL24&lt;=Condition!$E$16,0,IF(JL24&lt;=Condition!$F$16,Condition!$D$16,IF(JL24&lt;=Condition!$F$17,Condition!$D$17,IF(JL24&lt;=Condition!$F$18,Condition!$D$18,IF(JL24&gt;Condition!$E$19,Condition!$D$19,"")))))</f>
        <v>0</v>
      </c>
      <c r="JM67" s="85">
        <f>IF(JM24&lt;=Condition!$E$16,0,IF(JM24&lt;=Condition!$F$16,Condition!$D$16,IF(JM24&lt;=Condition!$F$17,Condition!$D$17,IF(JM24&lt;=Condition!$F$18,Condition!$D$18,IF(JM24&gt;Condition!$E$19,Condition!$D$19,"")))))</f>
        <v>0</v>
      </c>
      <c r="JN67" s="85">
        <f>IF(JN24&lt;=Condition!$E$16,0,IF(JN24&lt;=Condition!$F$16,Condition!$D$16,IF(JN24&lt;=Condition!$F$17,Condition!$D$17,IF(JN24&lt;=Condition!$F$18,Condition!$D$18,IF(JN24&gt;Condition!$E$19,Condition!$D$19,"")))))</f>
        <v>0</v>
      </c>
      <c r="JO67" s="85">
        <f>IF(JO24&lt;=Condition!$E$16,0,IF(JO24&lt;=Condition!$F$16,Condition!$D$16,IF(JO24&lt;=Condition!$F$17,Condition!$D$17,IF(JO24&lt;=Condition!$F$18,Condition!$D$18,IF(JO24&gt;Condition!$E$19,Condition!$D$19,"")))))</f>
        <v>0</v>
      </c>
      <c r="JP67" s="85">
        <f>IF(JP24&lt;=Condition!$E$16,0,IF(JP24&lt;=Condition!$F$16,Condition!$D$16,IF(JP24&lt;=Condition!$F$17,Condition!$D$17,IF(JP24&lt;=Condition!$F$18,Condition!$D$18,IF(JP24&gt;Condition!$E$19,Condition!$D$19,"")))))</f>
        <v>0</v>
      </c>
      <c r="JQ67" s="85">
        <f>IF(JQ24&lt;=Condition!$E$16,0,IF(JQ24&lt;=Condition!$F$16,Condition!$D$16,IF(JQ24&lt;=Condition!$F$17,Condition!$D$17,IF(JQ24&lt;=Condition!$F$18,Condition!$D$18,IF(JQ24&gt;Condition!$E$19,Condition!$D$19,"")))))</f>
        <v>0</v>
      </c>
      <c r="JR67" s="85">
        <f>IF(JR24&lt;=Condition!$E$16,0,IF(JR24&lt;=Condition!$F$16,Condition!$D$16,IF(JR24&lt;=Condition!$F$17,Condition!$D$17,IF(JR24&lt;=Condition!$F$18,Condition!$D$18,IF(JR24&gt;Condition!$E$19,Condition!$D$19,"")))))</f>
        <v>0</v>
      </c>
      <c r="JS67" s="85">
        <f>IF(JS24&lt;=Condition!$E$16,0,IF(JS24&lt;=Condition!$F$16,Condition!$D$16,IF(JS24&lt;=Condition!$F$17,Condition!$D$17,IF(JS24&lt;=Condition!$F$18,Condition!$D$18,IF(JS24&gt;Condition!$E$19,Condition!$D$19,"")))))</f>
        <v>0</v>
      </c>
      <c r="JT67" s="85">
        <f>IF(JT24&lt;=Condition!$E$16,0,IF(JT24&lt;=Condition!$F$16,Condition!$D$16,IF(JT24&lt;=Condition!$F$17,Condition!$D$17,IF(JT24&lt;=Condition!$F$18,Condition!$D$18,IF(JT24&gt;Condition!$E$19,Condition!$D$19,"")))))</f>
        <v>0</v>
      </c>
      <c r="JU67" s="85">
        <f>IF(JU24&lt;=Condition!$E$16,0,IF(JU24&lt;=Condition!$F$16,Condition!$D$16,IF(JU24&lt;=Condition!$F$17,Condition!$D$17,IF(JU24&lt;=Condition!$F$18,Condition!$D$18,IF(JU24&gt;Condition!$E$19,Condition!$D$19,"")))))</f>
        <v>0</v>
      </c>
      <c r="JV67" s="85">
        <f>IF(JV24&lt;=Condition!$E$16,0,IF(JV24&lt;=Condition!$F$16,Condition!$D$16,IF(JV24&lt;=Condition!$F$17,Condition!$D$17,IF(JV24&lt;=Condition!$F$18,Condition!$D$18,IF(JV24&gt;Condition!$E$19,Condition!$D$19,"")))))</f>
        <v>0</v>
      </c>
      <c r="JW67" s="85">
        <f>IF(JW24&lt;=Condition!$E$16,0,IF(JW24&lt;=Condition!$F$16,Condition!$D$16,IF(JW24&lt;=Condition!$F$17,Condition!$D$17,IF(JW24&lt;=Condition!$F$18,Condition!$D$18,IF(JW24&gt;Condition!$E$19,Condition!$D$19,"")))))</f>
        <v>0</v>
      </c>
      <c r="JX67" s="85">
        <f>IF(JX24&lt;=Condition!$E$16,0,IF(JX24&lt;=Condition!$F$16,Condition!$D$16,IF(JX24&lt;=Condition!$F$17,Condition!$D$17,IF(JX24&lt;=Condition!$F$18,Condition!$D$18,IF(JX24&gt;Condition!$E$19,Condition!$D$19,"")))))</f>
        <v>0</v>
      </c>
      <c r="JY67" s="85">
        <f>IF(JY24&lt;=Condition!$E$16,0,IF(JY24&lt;=Condition!$F$16,Condition!$D$16,IF(JY24&lt;=Condition!$F$17,Condition!$D$17,IF(JY24&lt;=Condition!$F$18,Condition!$D$18,IF(JY24&gt;Condition!$E$19,Condition!$D$19,"")))))</f>
        <v>0</v>
      </c>
      <c r="JZ67" s="85">
        <f>IF(JZ24&lt;=Condition!$E$16,0,IF(JZ24&lt;=Condition!$F$16,Condition!$D$16,IF(JZ24&lt;=Condition!$F$17,Condition!$D$17,IF(JZ24&lt;=Condition!$F$18,Condition!$D$18,IF(JZ24&gt;Condition!$E$19,Condition!$D$19,"")))))</f>
        <v>0</v>
      </c>
      <c r="KA67" s="85">
        <f>IF(KA24&lt;=Condition!$E$16,0,IF(KA24&lt;=Condition!$F$16,Condition!$D$16,IF(KA24&lt;=Condition!$F$17,Condition!$D$17,IF(KA24&lt;=Condition!$F$18,Condition!$D$18,IF(KA24&gt;Condition!$E$19,Condition!$D$19,"")))))</f>
        <v>0</v>
      </c>
      <c r="KB67" s="85">
        <f>IF(KB24&lt;=Condition!$E$16,0,IF(KB24&lt;=Condition!$F$16,Condition!$D$16,IF(KB24&lt;=Condition!$F$17,Condition!$D$17,IF(KB24&lt;=Condition!$F$18,Condition!$D$18,IF(KB24&gt;Condition!$E$19,Condition!$D$19,"")))))</f>
        <v>0</v>
      </c>
      <c r="KC67" s="85">
        <f>IF(KC24&lt;=Condition!$E$16,0,IF(KC24&lt;=Condition!$F$16,Condition!$D$16,IF(KC24&lt;=Condition!$F$17,Condition!$D$17,IF(KC24&lt;=Condition!$F$18,Condition!$D$18,IF(KC24&gt;Condition!$E$19,Condition!$D$19,"")))))</f>
        <v>0</v>
      </c>
      <c r="KD67" s="85">
        <f>IF(KD24&lt;=Condition!$E$16,0,IF(KD24&lt;=Condition!$F$16,Condition!$D$16,IF(KD24&lt;=Condition!$F$17,Condition!$D$17,IF(KD24&lt;=Condition!$F$18,Condition!$D$18,IF(KD24&gt;Condition!$E$19,Condition!$D$19,"")))))</f>
        <v>0</v>
      </c>
      <c r="KE67" s="85">
        <f>IF(KE24&lt;=Condition!$E$16,0,IF(KE24&lt;=Condition!$F$16,Condition!$D$16,IF(KE24&lt;=Condition!$F$17,Condition!$D$17,IF(KE24&lt;=Condition!$F$18,Condition!$D$18,IF(KE24&gt;Condition!$E$19,Condition!$D$19,"")))))</f>
        <v>0</v>
      </c>
      <c r="KF67" s="85">
        <f>IF(KF24&lt;=Condition!$E$16,0,IF(KF24&lt;=Condition!$F$16,Condition!$D$16,IF(KF24&lt;=Condition!$F$17,Condition!$D$17,IF(KF24&lt;=Condition!$F$18,Condition!$D$18,IF(KF24&gt;Condition!$E$19,Condition!$D$19,"")))))</f>
        <v>0</v>
      </c>
      <c r="KG67" s="85">
        <f>IF(KG24&lt;=Condition!$E$16,0,IF(KG24&lt;=Condition!$F$16,Condition!$D$16,IF(KG24&lt;=Condition!$F$17,Condition!$D$17,IF(KG24&lt;=Condition!$F$18,Condition!$D$18,IF(KG24&gt;Condition!$E$19,Condition!$D$19,"")))))</f>
        <v>0</v>
      </c>
      <c r="KH67" s="85">
        <f>IF(KH24&lt;=Condition!$E$16,0,IF(KH24&lt;=Condition!$F$16,Condition!$D$16,IF(KH24&lt;=Condition!$F$17,Condition!$D$17,IF(KH24&lt;=Condition!$F$18,Condition!$D$18,IF(KH24&gt;Condition!$E$19,Condition!$D$19,"")))))</f>
        <v>0</v>
      </c>
      <c r="KI67" s="85">
        <f>IF(KI24&lt;=Condition!$E$16,0,IF(KI24&lt;=Condition!$F$16,Condition!$D$16,IF(KI24&lt;=Condition!$F$17,Condition!$D$17,IF(KI24&lt;=Condition!$F$18,Condition!$D$18,IF(KI24&gt;Condition!$E$19,Condition!$D$19,"")))))</f>
        <v>0</v>
      </c>
    </row>
    <row r="68" spans="2:295" x14ac:dyDescent="0.25">
      <c r="B68" s="15">
        <f t="shared" ref="B68:E68" si="23">B25</f>
        <v>13</v>
      </c>
      <c r="C68" s="25" t="str">
        <f t="shared" si="23"/>
        <v>DSL-DHK</v>
      </c>
      <c r="D68" s="25" t="str">
        <f t="shared" si="23"/>
        <v>Md. Sujon Hossain</v>
      </c>
      <c r="E68" s="26">
        <f t="shared" si="23"/>
        <v>6078</v>
      </c>
      <c r="F68" s="112">
        <f t="shared" si="4"/>
        <v>9600</v>
      </c>
      <c r="G68" s="112">
        <f t="shared" si="5"/>
        <v>0</v>
      </c>
      <c r="H68" s="85">
        <f>IF(H25&lt;=Condition!$E$16,0,IF(H25&lt;=Condition!$F$16,Condition!$D$16,IF(H25&lt;=Condition!$F$17,Condition!$D$17,IF(H25&lt;=Condition!$F$18,Condition!$D$18,IF(H25&gt;Condition!$E$19,Condition!$D$19,"")))))</f>
        <v>400</v>
      </c>
      <c r="I68" s="85">
        <f>IF(I25&lt;=Condition!$E$16,0,IF(I25&lt;=Condition!$F$16,Condition!$D$16,IF(I25&lt;=Condition!$F$17,Condition!$D$17,IF(I25&lt;=Condition!$F$18,Condition!$D$18,IF(I25&gt;Condition!$E$19,Condition!$D$19,"")))))</f>
        <v>0</v>
      </c>
      <c r="J68" s="85">
        <f>IF(J25&lt;=Condition!$E$16,0,IF(J25&lt;=Condition!$F$16,Condition!$D$16,IF(J25&lt;=Condition!$F$17,Condition!$D$17,IF(J25&lt;=Condition!$F$18,Condition!$D$18,IF(J25&gt;Condition!$E$19,Condition!$D$19,"")))))</f>
        <v>400</v>
      </c>
      <c r="K68" s="85">
        <f>IF(K25&lt;=Condition!$E$16,0,IF(K25&lt;=Condition!$F$16,Condition!$D$16,IF(K25&lt;=Condition!$F$17,Condition!$D$17,IF(K25&lt;=Condition!$F$18,Condition!$D$18,IF(K25&gt;Condition!$E$19,Condition!$D$19,"")))))</f>
        <v>0</v>
      </c>
      <c r="L68" s="85">
        <f>IF(L25&lt;=Condition!$E$16,0,IF(L25&lt;=Condition!$F$16,Condition!$D$16,IF(L25&lt;=Condition!$F$17,Condition!$D$17,IF(L25&lt;=Condition!$F$18,Condition!$D$18,IF(L25&gt;Condition!$E$19,Condition!$D$19,"")))))</f>
        <v>400</v>
      </c>
      <c r="M68" s="85">
        <f>IF(M25&lt;=Condition!$E$16,0,IF(M25&lt;=Condition!$F$16,Condition!$D$16,IF(M25&lt;=Condition!$F$17,Condition!$D$17,IF(M25&lt;=Condition!$F$18,Condition!$D$18,IF(M25&gt;Condition!$E$19,Condition!$D$19,"")))))</f>
        <v>0</v>
      </c>
      <c r="N68" s="85">
        <f>IF(N25&lt;=Condition!$E$16,0,IF(N25&lt;=Condition!$F$16,Condition!$D$16,IF(N25&lt;=Condition!$F$17,Condition!$D$17,IF(N25&lt;=Condition!$F$18,Condition!$D$18,IF(N25&gt;Condition!$E$19,Condition!$D$19,"")))))</f>
        <v>400</v>
      </c>
      <c r="O68" s="85">
        <f>IF(O25&lt;=Condition!$E$16,0,IF(O25&lt;=Condition!$F$16,Condition!$D$16,IF(O25&lt;=Condition!$F$17,Condition!$D$17,IF(O25&lt;=Condition!$F$18,Condition!$D$18,IF(O25&gt;Condition!$E$19,Condition!$D$19,"")))))</f>
        <v>0</v>
      </c>
      <c r="P68" s="85">
        <f>IF(P25&lt;=Condition!$E$16,0,IF(P25&lt;=Condition!$F$16,Condition!$D$16,IF(P25&lt;=Condition!$F$17,Condition!$D$17,IF(P25&lt;=Condition!$F$18,Condition!$D$18,IF(P25&gt;Condition!$E$19,Condition!$D$19,"")))))</f>
        <v>400</v>
      </c>
      <c r="Q68" s="85">
        <f>IF(Q25&lt;=Condition!$E$16,0,IF(Q25&lt;=Condition!$F$16,Condition!$D$16,IF(Q25&lt;=Condition!$F$17,Condition!$D$17,IF(Q25&lt;=Condition!$F$18,Condition!$D$18,IF(Q25&gt;Condition!$E$19,Condition!$D$19,"")))))</f>
        <v>0</v>
      </c>
      <c r="R68" s="85">
        <f>IF(R25&lt;=Condition!$E$16,0,IF(R25&lt;=Condition!$F$16,Condition!$D$16,IF(R25&lt;=Condition!$F$17,Condition!$D$17,IF(R25&lt;=Condition!$F$18,Condition!$D$18,IF(R25&gt;Condition!$E$19,Condition!$D$19,"")))))</f>
        <v>400</v>
      </c>
      <c r="S68" s="85">
        <f>IF(S25&lt;=Condition!$E$16,0,IF(S25&lt;=Condition!$F$16,Condition!$D$16,IF(S25&lt;=Condition!$F$17,Condition!$D$17,IF(S25&lt;=Condition!$F$18,Condition!$D$18,IF(S25&gt;Condition!$E$19,Condition!$D$19,"")))))</f>
        <v>0</v>
      </c>
      <c r="T68" s="85">
        <f>IF(T25&lt;=Condition!$E$16,0,IF(T25&lt;=Condition!$F$16,Condition!$D$16,IF(T25&lt;=Condition!$F$17,Condition!$D$17,IF(T25&lt;=Condition!$F$18,Condition!$D$18,IF(T25&gt;Condition!$E$19,Condition!$D$19,"")))))</f>
        <v>400</v>
      </c>
      <c r="U68" s="85">
        <f>IF(U25&lt;=Condition!$E$16,0,IF(U25&lt;=Condition!$F$16,Condition!$D$16,IF(U25&lt;=Condition!$F$17,Condition!$D$17,IF(U25&lt;=Condition!$F$18,Condition!$D$18,IF(U25&gt;Condition!$E$19,Condition!$D$19,"")))))</f>
        <v>0</v>
      </c>
      <c r="V68" s="85">
        <f>IF(V25&lt;=Condition!$E$16,0,IF(V25&lt;=Condition!$F$16,Condition!$D$16,IF(V25&lt;=Condition!$F$17,Condition!$D$17,IF(V25&lt;=Condition!$F$18,Condition!$D$18,IF(V25&gt;Condition!$E$19,Condition!$D$19,"")))))</f>
        <v>400</v>
      </c>
      <c r="W68" s="85">
        <f>IF(W25&lt;=Condition!$E$16,0,IF(W25&lt;=Condition!$F$16,Condition!$D$16,IF(W25&lt;=Condition!$F$17,Condition!$D$17,IF(W25&lt;=Condition!$F$18,Condition!$D$18,IF(W25&gt;Condition!$E$19,Condition!$D$19,"")))))</f>
        <v>0</v>
      </c>
      <c r="X68" s="85">
        <f>IF(X25&lt;=Condition!$E$16,0,IF(X25&lt;=Condition!$F$16,Condition!$D$16,IF(X25&lt;=Condition!$F$17,Condition!$D$17,IF(X25&lt;=Condition!$F$18,Condition!$D$18,IF(X25&gt;Condition!$E$19,Condition!$D$19,"")))))</f>
        <v>400</v>
      </c>
      <c r="Y68" s="85">
        <f>IF(Y25&lt;=Condition!$E$16,0,IF(Y25&lt;=Condition!$F$16,Condition!$D$16,IF(Y25&lt;=Condition!$F$17,Condition!$D$17,IF(Y25&lt;=Condition!$F$18,Condition!$D$18,IF(Y25&gt;Condition!$E$19,Condition!$D$19,"")))))</f>
        <v>0</v>
      </c>
      <c r="Z68" s="85">
        <f>IF(Z25&lt;=Condition!$E$16,0,IF(Z25&lt;=Condition!$F$16,Condition!$D$16,IF(Z25&lt;=Condition!$F$17,Condition!$D$17,IF(Z25&lt;=Condition!$F$18,Condition!$D$18,IF(Z25&gt;Condition!$E$19,Condition!$D$19,"")))))</f>
        <v>400</v>
      </c>
      <c r="AA68" s="85">
        <f>IF(AA25&lt;=Condition!$E$16,0,IF(AA25&lt;=Condition!$F$16,Condition!$D$16,IF(AA25&lt;=Condition!$F$17,Condition!$D$17,IF(AA25&lt;=Condition!$F$18,Condition!$D$18,IF(AA25&gt;Condition!$E$19,Condition!$D$19,"")))))</f>
        <v>0</v>
      </c>
      <c r="AB68" s="85">
        <f>IF(AB25&lt;=Condition!$E$16,0,IF(AB25&lt;=Condition!$F$16,Condition!$D$16,IF(AB25&lt;=Condition!$F$17,Condition!$D$17,IF(AB25&lt;=Condition!$F$18,Condition!$D$18,IF(AB25&gt;Condition!$E$19,Condition!$D$19,"")))))</f>
        <v>400</v>
      </c>
      <c r="AC68" s="85">
        <f>IF(AC25&lt;=Condition!$E$16,0,IF(AC25&lt;=Condition!$F$16,Condition!$D$16,IF(AC25&lt;=Condition!$F$17,Condition!$D$17,IF(AC25&lt;=Condition!$F$18,Condition!$D$18,IF(AC25&gt;Condition!$E$19,Condition!$D$19,"")))))</f>
        <v>0</v>
      </c>
      <c r="AD68" s="85">
        <f>IF(AD25&lt;=Condition!$E$16,0,IF(AD25&lt;=Condition!$F$16,Condition!$D$16,IF(AD25&lt;=Condition!$F$17,Condition!$D$17,IF(AD25&lt;=Condition!$F$18,Condition!$D$18,IF(AD25&gt;Condition!$E$19,Condition!$D$19,"")))))</f>
        <v>400</v>
      </c>
      <c r="AE68" s="85">
        <f>IF(AE25&lt;=Condition!$E$16,0,IF(AE25&lt;=Condition!$F$16,Condition!$D$16,IF(AE25&lt;=Condition!$F$17,Condition!$D$17,IF(AE25&lt;=Condition!$F$18,Condition!$D$18,IF(AE25&gt;Condition!$E$19,Condition!$D$19,"")))))</f>
        <v>0</v>
      </c>
      <c r="AF68" s="85">
        <f>IF(AF25&lt;=Condition!$E$16,0,IF(AF25&lt;=Condition!$F$16,Condition!$D$16,IF(AF25&lt;=Condition!$F$17,Condition!$D$17,IF(AF25&lt;=Condition!$F$18,Condition!$D$18,IF(AF25&gt;Condition!$E$19,Condition!$D$19,"")))))</f>
        <v>400</v>
      </c>
      <c r="AG68" s="85">
        <f>IF(AG25&lt;=Condition!$E$16,0,IF(AG25&lt;=Condition!$F$16,Condition!$D$16,IF(AG25&lt;=Condition!$F$17,Condition!$D$17,IF(AG25&lt;=Condition!$F$18,Condition!$D$18,IF(AG25&gt;Condition!$E$19,Condition!$D$19,"")))))</f>
        <v>0</v>
      </c>
      <c r="AH68" s="85">
        <f>IF(AH25&lt;=Condition!$E$16,0,IF(AH25&lt;=Condition!$F$16,Condition!$D$16,IF(AH25&lt;=Condition!$F$17,Condition!$D$17,IF(AH25&lt;=Condition!$F$18,Condition!$D$18,IF(AH25&gt;Condition!$E$19,Condition!$D$19,"")))))</f>
        <v>400</v>
      </c>
      <c r="AI68" s="85">
        <f>IF(AI25&lt;=Condition!$E$16,0,IF(AI25&lt;=Condition!$F$16,Condition!$D$16,IF(AI25&lt;=Condition!$F$17,Condition!$D$17,IF(AI25&lt;=Condition!$F$18,Condition!$D$18,IF(AI25&gt;Condition!$E$19,Condition!$D$19,"")))))</f>
        <v>0</v>
      </c>
      <c r="AJ68" s="85">
        <f>IF(AJ25&lt;=Condition!$E$16,0,IF(AJ25&lt;=Condition!$F$16,Condition!$D$16,IF(AJ25&lt;=Condition!$F$17,Condition!$D$17,IF(AJ25&lt;=Condition!$F$18,Condition!$D$18,IF(AJ25&gt;Condition!$E$19,Condition!$D$19,"")))))</f>
        <v>400</v>
      </c>
      <c r="AK68" s="85">
        <f>IF(AK25&lt;=Condition!$E$16,0,IF(AK25&lt;=Condition!$F$16,Condition!$D$16,IF(AK25&lt;=Condition!$F$17,Condition!$D$17,IF(AK25&lt;=Condition!$F$18,Condition!$D$18,IF(AK25&gt;Condition!$E$19,Condition!$D$19,"")))))</f>
        <v>0</v>
      </c>
      <c r="AL68" s="85">
        <f>IF(AL25&lt;=Condition!$E$16,0,IF(AL25&lt;=Condition!$F$16,Condition!$D$16,IF(AL25&lt;=Condition!$F$17,Condition!$D$17,IF(AL25&lt;=Condition!$F$18,Condition!$D$18,IF(AL25&gt;Condition!$E$19,Condition!$D$19,"")))))</f>
        <v>400</v>
      </c>
      <c r="AM68" s="85">
        <f>IF(AM25&lt;=Condition!$E$16,0,IF(AM25&lt;=Condition!$F$16,Condition!$D$16,IF(AM25&lt;=Condition!$F$17,Condition!$D$17,IF(AM25&lt;=Condition!$F$18,Condition!$D$18,IF(AM25&gt;Condition!$E$19,Condition!$D$19,"")))))</f>
        <v>0</v>
      </c>
      <c r="AN68" s="85">
        <f>IF(AN25&lt;=Condition!$E$16,0,IF(AN25&lt;=Condition!$F$16,Condition!$D$16,IF(AN25&lt;=Condition!$F$17,Condition!$D$17,IF(AN25&lt;=Condition!$F$18,Condition!$D$18,IF(AN25&gt;Condition!$E$19,Condition!$D$19,"")))))</f>
        <v>400</v>
      </c>
      <c r="AO68" s="85">
        <f>IF(AO25&lt;=Condition!$E$16,0,IF(AO25&lt;=Condition!$F$16,Condition!$D$16,IF(AO25&lt;=Condition!$F$17,Condition!$D$17,IF(AO25&lt;=Condition!$F$18,Condition!$D$18,IF(AO25&gt;Condition!$E$19,Condition!$D$19,"")))))</f>
        <v>0</v>
      </c>
      <c r="AP68" s="85">
        <f>IF(AP25&lt;=Condition!$E$16,0,IF(AP25&lt;=Condition!$F$16,Condition!$D$16,IF(AP25&lt;=Condition!$F$17,Condition!$D$17,IF(AP25&lt;=Condition!$F$18,Condition!$D$18,IF(AP25&gt;Condition!$E$19,Condition!$D$19,"")))))</f>
        <v>400</v>
      </c>
      <c r="AQ68" s="85">
        <f>IF(AQ25&lt;=Condition!$E$16,0,IF(AQ25&lt;=Condition!$F$16,Condition!$D$16,IF(AQ25&lt;=Condition!$F$17,Condition!$D$17,IF(AQ25&lt;=Condition!$F$18,Condition!$D$18,IF(AQ25&gt;Condition!$E$19,Condition!$D$19,"")))))</f>
        <v>0</v>
      </c>
      <c r="AR68" s="85">
        <f>IF(AR25&lt;=Condition!$E$16,0,IF(AR25&lt;=Condition!$F$16,Condition!$D$16,IF(AR25&lt;=Condition!$F$17,Condition!$D$17,IF(AR25&lt;=Condition!$F$18,Condition!$D$18,IF(AR25&gt;Condition!$E$19,Condition!$D$19,"")))))</f>
        <v>400</v>
      </c>
      <c r="AS68" s="85">
        <f>IF(AS25&lt;=Condition!$E$16,0,IF(AS25&lt;=Condition!$F$16,Condition!$D$16,IF(AS25&lt;=Condition!$F$17,Condition!$D$17,IF(AS25&lt;=Condition!$F$18,Condition!$D$18,IF(AS25&gt;Condition!$E$19,Condition!$D$19,"")))))</f>
        <v>0</v>
      </c>
      <c r="AT68" s="85">
        <f>IF(AT25&lt;=Condition!$E$16,0,IF(AT25&lt;=Condition!$F$16,Condition!$D$16,IF(AT25&lt;=Condition!$F$17,Condition!$D$17,IF(AT25&lt;=Condition!$F$18,Condition!$D$18,IF(AT25&gt;Condition!$E$19,Condition!$D$19,"")))))</f>
        <v>400</v>
      </c>
      <c r="AU68" s="85">
        <f>IF(AU25&lt;=Condition!$E$16,0,IF(AU25&lt;=Condition!$F$16,Condition!$D$16,IF(AU25&lt;=Condition!$F$17,Condition!$D$17,IF(AU25&lt;=Condition!$F$18,Condition!$D$18,IF(AU25&gt;Condition!$E$19,Condition!$D$19,"")))))</f>
        <v>0</v>
      </c>
      <c r="AV68" s="85">
        <f>IF(AV25&lt;=Condition!$E$16,0,IF(AV25&lt;=Condition!$F$16,Condition!$D$16,IF(AV25&lt;=Condition!$F$17,Condition!$D$17,IF(AV25&lt;=Condition!$F$18,Condition!$D$18,IF(AV25&gt;Condition!$E$19,Condition!$D$19,"")))))</f>
        <v>400</v>
      </c>
      <c r="AW68" s="85">
        <f>IF(AW25&lt;=Condition!$E$16,0,IF(AW25&lt;=Condition!$F$16,Condition!$D$16,IF(AW25&lt;=Condition!$F$17,Condition!$D$17,IF(AW25&lt;=Condition!$F$18,Condition!$D$18,IF(AW25&gt;Condition!$E$19,Condition!$D$19,"")))))</f>
        <v>0</v>
      </c>
      <c r="AX68" s="85">
        <f>IF(AX25&lt;=Condition!$E$16,0,IF(AX25&lt;=Condition!$F$16,Condition!$D$16,IF(AX25&lt;=Condition!$F$17,Condition!$D$17,IF(AX25&lt;=Condition!$F$18,Condition!$D$18,IF(AX25&gt;Condition!$E$19,Condition!$D$19,"")))))</f>
        <v>400</v>
      </c>
      <c r="AY68" s="85">
        <f>IF(AY25&lt;=Condition!$E$16,0,IF(AY25&lt;=Condition!$F$16,Condition!$D$16,IF(AY25&lt;=Condition!$F$17,Condition!$D$17,IF(AY25&lt;=Condition!$F$18,Condition!$D$18,IF(AY25&gt;Condition!$E$19,Condition!$D$19,"")))))</f>
        <v>0</v>
      </c>
      <c r="AZ68" s="85">
        <f>IF(AZ25&lt;=Condition!$E$16,0,IF(AZ25&lt;=Condition!$F$16,Condition!$D$16,IF(AZ25&lt;=Condition!$F$17,Condition!$D$17,IF(AZ25&lt;=Condition!$F$18,Condition!$D$18,IF(AZ25&gt;Condition!$E$19,Condition!$D$19,"")))))</f>
        <v>400</v>
      </c>
      <c r="BA68" s="85">
        <f>IF(BA25&lt;=Condition!$E$16,0,IF(BA25&lt;=Condition!$F$16,Condition!$D$16,IF(BA25&lt;=Condition!$F$17,Condition!$D$17,IF(BA25&lt;=Condition!$F$18,Condition!$D$18,IF(BA25&gt;Condition!$E$19,Condition!$D$19,"")))))</f>
        <v>0</v>
      </c>
      <c r="BB68" s="85">
        <f>IF(BB25&lt;=Condition!$E$16,0,IF(BB25&lt;=Condition!$F$16,Condition!$D$16,IF(BB25&lt;=Condition!$F$17,Condition!$D$17,IF(BB25&lt;=Condition!$F$18,Condition!$D$18,IF(BB25&gt;Condition!$E$19,Condition!$D$19,"")))))</f>
        <v>400</v>
      </c>
      <c r="BC68" s="85">
        <f>IF(BC25&lt;=Condition!$E$16,0,IF(BC25&lt;=Condition!$F$16,Condition!$D$16,IF(BC25&lt;=Condition!$F$17,Condition!$D$17,IF(BC25&lt;=Condition!$F$18,Condition!$D$18,IF(BC25&gt;Condition!$E$19,Condition!$D$19,"")))))</f>
        <v>0</v>
      </c>
      <c r="BD68" s="85">
        <f>IF(BD25&lt;=Condition!$E$16,0,IF(BD25&lt;=Condition!$F$16,Condition!$D$16,IF(BD25&lt;=Condition!$F$17,Condition!$D$17,IF(BD25&lt;=Condition!$F$18,Condition!$D$18,IF(BD25&gt;Condition!$E$19,Condition!$D$19,"")))))</f>
        <v>0</v>
      </c>
      <c r="BE68" s="85">
        <f>IF(BE25&lt;=Condition!$E$16,0,IF(BE25&lt;=Condition!$F$16,Condition!$D$16,IF(BE25&lt;=Condition!$F$17,Condition!$D$17,IF(BE25&lt;=Condition!$F$18,Condition!$D$18,IF(BE25&gt;Condition!$E$19,Condition!$D$19,"")))))</f>
        <v>0</v>
      </c>
      <c r="BF68" s="85">
        <f>IF(BF25&lt;=Condition!$E$16,0,IF(BF25&lt;=Condition!$F$16,Condition!$D$16,IF(BF25&lt;=Condition!$F$17,Condition!$D$17,IF(BF25&lt;=Condition!$F$18,Condition!$D$18,IF(BF25&gt;Condition!$E$19,Condition!$D$19,"")))))</f>
        <v>0</v>
      </c>
      <c r="BG68" s="85">
        <f>IF(BG25&lt;=Condition!$E$16,0,IF(BG25&lt;=Condition!$F$16,Condition!$D$16,IF(BG25&lt;=Condition!$F$17,Condition!$D$17,IF(BG25&lt;=Condition!$F$18,Condition!$D$18,IF(BG25&gt;Condition!$E$19,Condition!$D$19,"")))))</f>
        <v>0</v>
      </c>
      <c r="BH68" s="85">
        <f>IF(BH25&lt;=Condition!$E$16,0,IF(BH25&lt;=Condition!$F$16,Condition!$D$16,IF(BH25&lt;=Condition!$F$17,Condition!$D$17,IF(BH25&lt;=Condition!$F$18,Condition!$D$18,IF(BH25&gt;Condition!$E$19,Condition!$D$19,"")))))</f>
        <v>0</v>
      </c>
      <c r="BI68" s="85">
        <f>IF(BI25&lt;=Condition!$E$16,0,IF(BI25&lt;=Condition!$F$16,Condition!$D$16,IF(BI25&lt;=Condition!$F$17,Condition!$D$17,IF(BI25&lt;=Condition!$F$18,Condition!$D$18,IF(BI25&gt;Condition!$E$19,Condition!$D$19,"")))))</f>
        <v>0</v>
      </c>
      <c r="BJ68" s="85">
        <f>IF(BJ25&lt;=Condition!$E$16,0,IF(BJ25&lt;=Condition!$F$16,Condition!$D$16,IF(BJ25&lt;=Condition!$F$17,Condition!$D$17,IF(BJ25&lt;=Condition!$F$18,Condition!$D$18,IF(BJ25&gt;Condition!$E$19,Condition!$D$19,"")))))</f>
        <v>0</v>
      </c>
      <c r="BK68" s="85">
        <f>IF(BK25&lt;=Condition!$E$16,0,IF(BK25&lt;=Condition!$F$16,Condition!$D$16,IF(BK25&lt;=Condition!$F$17,Condition!$D$17,IF(BK25&lt;=Condition!$F$18,Condition!$D$18,IF(BK25&gt;Condition!$E$19,Condition!$D$19,"")))))</f>
        <v>0</v>
      </c>
      <c r="BL68" s="85">
        <f>IF(BL25&lt;=Condition!$E$16,0,IF(BL25&lt;=Condition!$F$16,Condition!$D$16,IF(BL25&lt;=Condition!$F$17,Condition!$D$17,IF(BL25&lt;=Condition!$F$18,Condition!$D$18,IF(BL25&gt;Condition!$E$19,Condition!$D$19,"")))))</f>
        <v>0</v>
      </c>
      <c r="BM68" s="85">
        <f>IF(BM25&lt;=Condition!$E$16,0,IF(BM25&lt;=Condition!$F$16,Condition!$D$16,IF(BM25&lt;=Condition!$F$17,Condition!$D$17,IF(BM25&lt;=Condition!$F$18,Condition!$D$18,IF(BM25&gt;Condition!$E$19,Condition!$D$19,"")))))</f>
        <v>0</v>
      </c>
      <c r="BN68" s="85">
        <f>IF(BN25&lt;=Condition!$E$16,0,IF(BN25&lt;=Condition!$F$16,Condition!$D$16,IF(BN25&lt;=Condition!$F$17,Condition!$D$17,IF(BN25&lt;=Condition!$F$18,Condition!$D$18,IF(BN25&gt;Condition!$E$19,Condition!$D$19,"")))))</f>
        <v>0</v>
      </c>
      <c r="BO68" s="85">
        <f>IF(BO25&lt;=Condition!$E$16,0,IF(BO25&lt;=Condition!$F$16,Condition!$D$16,IF(BO25&lt;=Condition!$F$17,Condition!$D$17,IF(BO25&lt;=Condition!$F$18,Condition!$D$18,IF(BO25&gt;Condition!$E$19,Condition!$D$19,"")))))</f>
        <v>0</v>
      </c>
      <c r="BP68" s="85">
        <f>IF(BP25&lt;=Condition!$E$16,0,IF(BP25&lt;=Condition!$F$16,Condition!$D$16,IF(BP25&lt;=Condition!$F$17,Condition!$D$17,IF(BP25&lt;=Condition!$F$18,Condition!$D$18,IF(BP25&gt;Condition!$E$19,Condition!$D$19,"")))))</f>
        <v>0</v>
      </c>
      <c r="BQ68" s="85">
        <f>IF(BQ25&lt;=Condition!$E$16,0,IF(BQ25&lt;=Condition!$F$16,Condition!$D$16,IF(BQ25&lt;=Condition!$F$17,Condition!$D$17,IF(BQ25&lt;=Condition!$F$18,Condition!$D$18,IF(BQ25&gt;Condition!$E$19,Condition!$D$19,"")))))</f>
        <v>0</v>
      </c>
      <c r="BR68" s="85">
        <f>IF(BR25&lt;=Condition!$E$16,0,IF(BR25&lt;=Condition!$F$16,Condition!$D$16,IF(BR25&lt;=Condition!$F$17,Condition!$D$17,IF(BR25&lt;=Condition!$F$18,Condition!$D$18,IF(BR25&gt;Condition!$E$19,Condition!$D$19,"")))))</f>
        <v>0</v>
      </c>
      <c r="BS68" s="85">
        <f>IF(BS25&lt;=Condition!$E$16,0,IF(BS25&lt;=Condition!$F$16,Condition!$D$16,IF(BS25&lt;=Condition!$F$17,Condition!$D$17,IF(BS25&lt;=Condition!$F$18,Condition!$D$18,IF(BS25&gt;Condition!$E$19,Condition!$D$19,"")))))</f>
        <v>0</v>
      </c>
      <c r="BT68" s="85">
        <f>IF(BT25&lt;=Condition!$E$16,0,IF(BT25&lt;=Condition!$F$16,Condition!$D$16,IF(BT25&lt;=Condition!$F$17,Condition!$D$17,IF(BT25&lt;=Condition!$F$18,Condition!$D$18,IF(BT25&gt;Condition!$E$19,Condition!$D$19,"")))))</f>
        <v>0</v>
      </c>
      <c r="BU68" s="85">
        <f>IF(BU25&lt;=Condition!$E$16,0,IF(BU25&lt;=Condition!$F$16,Condition!$D$16,IF(BU25&lt;=Condition!$F$17,Condition!$D$17,IF(BU25&lt;=Condition!$F$18,Condition!$D$18,IF(BU25&gt;Condition!$E$19,Condition!$D$19,"")))))</f>
        <v>0</v>
      </c>
      <c r="BV68" s="85">
        <f>IF(BV25&lt;=Condition!$E$16,0,IF(BV25&lt;=Condition!$F$16,Condition!$D$16,IF(BV25&lt;=Condition!$F$17,Condition!$D$17,IF(BV25&lt;=Condition!$F$18,Condition!$D$18,IF(BV25&gt;Condition!$E$19,Condition!$D$19,"")))))</f>
        <v>0</v>
      </c>
      <c r="BW68" s="85">
        <f>IF(BW25&lt;=Condition!$E$16,0,IF(BW25&lt;=Condition!$F$16,Condition!$D$16,IF(BW25&lt;=Condition!$F$17,Condition!$D$17,IF(BW25&lt;=Condition!$F$18,Condition!$D$18,IF(BW25&gt;Condition!$E$19,Condition!$D$19,"")))))</f>
        <v>0</v>
      </c>
      <c r="BX68" s="85">
        <f>IF(BX25&lt;=Condition!$E$16,0,IF(BX25&lt;=Condition!$F$16,Condition!$D$16,IF(BX25&lt;=Condition!$F$17,Condition!$D$17,IF(BX25&lt;=Condition!$F$18,Condition!$D$18,IF(BX25&gt;Condition!$E$19,Condition!$D$19,"")))))</f>
        <v>0</v>
      </c>
      <c r="BY68" s="85">
        <f>IF(BY25&lt;=Condition!$E$16,0,IF(BY25&lt;=Condition!$F$16,Condition!$D$16,IF(BY25&lt;=Condition!$F$17,Condition!$D$17,IF(BY25&lt;=Condition!$F$18,Condition!$D$18,IF(BY25&gt;Condition!$E$19,Condition!$D$19,"")))))</f>
        <v>0</v>
      </c>
      <c r="BZ68" s="85">
        <f>IF(BZ25&lt;=Condition!$E$16,0,IF(BZ25&lt;=Condition!$F$16,Condition!$D$16,IF(BZ25&lt;=Condition!$F$17,Condition!$D$17,IF(BZ25&lt;=Condition!$F$18,Condition!$D$18,IF(BZ25&gt;Condition!$E$19,Condition!$D$19,"")))))</f>
        <v>0</v>
      </c>
      <c r="CA68" s="85">
        <f>IF(CA25&lt;=Condition!$E$16,0,IF(CA25&lt;=Condition!$F$16,Condition!$D$16,IF(CA25&lt;=Condition!$F$17,Condition!$D$17,IF(CA25&lt;=Condition!$F$18,Condition!$D$18,IF(CA25&gt;Condition!$E$19,Condition!$D$19,"")))))</f>
        <v>0</v>
      </c>
      <c r="CB68" s="85">
        <f>IF(CB25&lt;=Condition!$E$16,0,IF(CB25&lt;=Condition!$F$16,Condition!$D$16,IF(CB25&lt;=Condition!$F$17,Condition!$D$17,IF(CB25&lt;=Condition!$F$18,Condition!$D$18,IF(CB25&gt;Condition!$E$19,Condition!$D$19,"")))))</f>
        <v>0</v>
      </c>
      <c r="CC68" s="85">
        <f>IF(CC25&lt;=Condition!$E$16,0,IF(CC25&lt;=Condition!$F$16,Condition!$D$16,IF(CC25&lt;=Condition!$F$17,Condition!$D$17,IF(CC25&lt;=Condition!$F$18,Condition!$D$18,IF(CC25&gt;Condition!$E$19,Condition!$D$19,"")))))</f>
        <v>0</v>
      </c>
      <c r="CD68" s="85">
        <f>IF(CD25&lt;=Condition!$E$16,0,IF(CD25&lt;=Condition!$F$16,Condition!$D$16,IF(CD25&lt;=Condition!$F$17,Condition!$D$17,IF(CD25&lt;=Condition!$F$18,Condition!$D$18,IF(CD25&gt;Condition!$E$19,Condition!$D$19,"")))))</f>
        <v>0</v>
      </c>
      <c r="CE68" s="85">
        <f>IF(CE25&lt;=Condition!$E$16,0,IF(CE25&lt;=Condition!$F$16,Condition!$D$16,IF(CE25&lt;=Condition!$F$17,Condition!$D$17,IF(CE25&lt;=Condition!$F$18,Condition!$D$18,IF(CE25&gt;Condition!$E$19,Condition!$D$19,"")))))</f>
        <v>0</v>
      </c>
      <c r="CF68" s="85">
        <f>IF(CF25&lt;=Condition!$E$16,0,IF(CF25&lt;=Condition!$F$16,Condition!$D$16,IF(CF25&lt;=Condition!$F$17,Condition!$D$17,IF(CF25&lt;=Condition!$F$18,Condition!$D$18,IF(CF25&gt;Condition!$E$19,Condition!$D$19,"")))))</f>
        <v>0</v>
      </c>
      <c r="CG68" s="85">
        <f>IF(CG25&lt;=Condition!$E$16,0,IF(CG25&lt;=Condition!$F$16,Condition!$D$16,IF(CG25&lt;=Condition!$F$17,Condition!$D$17,IF(CG25&lt;=Condition!$F$18,Condition!$D$18,IF(CG25&gt;Condition!$E$19,Condition!$D$19,"")))))</f>
        <v>0</v>
      </c>
      <c r="CH68" s="85">
        <f>IF(CH25&lt;=Condition!$E$16,0,IF(CH25&lt;=Condition!$F$16,Condition!$D$16,IF(CH25&lt;=Condition!$F$17,Condition!$D$17,IF(CH25&lt;=Condition!$F$18,Condition!$D$18,IF(CH25&gt;Condition!$E$19,Condition!$D$19,"")))))</f>
        <v>0</v>
      </c>
      <c r="CI68" s="85">
        <f>IF(CI25&lt;=Condition!$E$16,0,IF(CI25&lt;=Condition!$F$16,Condition!$D$16,IF(CI25&lt;=Condition!$F$17,Condition!$D$17,IF(CI25&lt;=Condition!$F$18,Condition!$D$18,IF(CI25&gt;Condition!$E$19,Condition!$D$19,"")))))</f>
        <v>0</v>
      </c>
      <c r="CJ68" s="85">
        <f>IF(CJ25&lt;=Condition!$E$16,0,IF(CJ25&lt;=Condition!$F$16,Condition!$D$16,IF(CJ25&lt;=Condition!$F$17,Condition!$D$17,IF(CJ25&lt;=Condition!$F$18,Condition!$D$18,IF(CJ25&gt;Condition!$E$19,Condition!$D$19,"")))))</f>
        <v>0</v>
      </c>
      <c r="CK68" s="85">
        <f>IF(CK25&lt;=Condition!$E$16,0,IF(CK25&lt;=Condition!$F$16,Condition!$D$16,IF(CK25&lt;=Condition!$F$17,Condition!$D$17,IF(CK25&lt;=Condition!$F$18,Condition!$D$18,IF(CK25&gt;Condition!$E$19,Condition!$D$19,"")))))</f>
        <v>0</v>
      </c>
      <c r="CL68" s="85">
        <f>IF(CL25&lt;=Condition!$E$16,0,IF(CL25&lt;=Condition!$F$16,Condition!$D$16,IF(CL25&lt;=Condition!$F$17,Condition!$D$17,IF(CL25&lt;=Condition!$F$18,Condition!$D$18,IF(CL25&gt;Condition!$E$19,Condition!$D$19,"")))))</f>
        <v>0</v>
      </c>
      <c r="CM68" s="85">
        <f>IF(CM25&lt;=Condition!$E$16,0,IF(CM25&lt;=Condition!$F$16,Condition!$D$16,IF(CM25&lt;=Condition!$F$17,Condition!$D$17,IF(CM25&lt;=Condition!$F$18,Condition!$D$18,IF(CM25&gt;Condition!$E$19,Condition!$D$19,"")))))</f>
        <v>0</v>
      </c>
      <c r="CN68" s="85">
        <f>IF(CN25&lt;=Condition!$E$16,0,IF(CN25&lt;=Condition!$F$16,Condition!$D$16,IF(CN25&lt;=Condition!$F$17,Condition!$D$17,IF(CN25&lt;=Condition!$F$18,Condition!$D$18,IF(CN25&gt;Condition!$E$19,Condition!$D$19,"")))))</f>
        <v>0</v>
      </c>
      <c r="CO68" s="85">
        <f>IF(CO25&lt;=Condition!$E$16,0,IF(CO25&lt;=Condition!$F$16,Condition!$D$16,IF(CO25&lt;=Condition!$F$17,Condition!$D$17,IF(CO25&lt;=Condition!$F$18,Condition!$D$18,IF(CO25&gt;Condition!$E$19,Condition!$D$19,"")))))</f>
        <v>0</v>
      </c>
      <c r="CP68" s="85">
        <f>IF(CP25&lt;=Condition!$E$16,0,IF(CP25&lt;=Condition!$F$16,Condition!$D$16,IF(CP25&lt;=Condition!$F$17,Condition!$D$17,IF(CP25&lt;=Condition!$F$18,Condition!$D$18,IF(CP25&gt;Condition!$E$19,Condition!$D$19,"")))))</f>
        <v>0</v>
      </c>
      <c r="CQ68" s="85">
        <f>IF(CQ25&lt;=Condition!$E$16,0,IF(CQ25&lt;=Condition!$F$16,Condition!$D$16,IF(CQ25&lt;=Condition!$F$17,Condition!$D$17,IF(CQ25&lt;=Condition!$F$18,Condition!$D$18,IF(CQ25&gt;Condition!$E$19,Condition!$D$19,"")))))</f>
        <v>0</v>
      </c>
      <c r="CR68" s="85">
        <f>IF(CR25&lt;=Condition!$E$16,0,IF(CR25&lt;=Condition!$F$16,Condition!$D$16,IF(CR25&lt;=Condition!$F$17,Condition!$D$17,IF(CR25&lt;=Condition!$F$18,Condition!$D$18,IF(CR25&gt;Condition!$E$19,Condition!$D$19,"")))))</f>
        <v>0</v>
      </c>
      <c r="CS68" s="85">
        <f>IF(CS25&lt;=Condition!$E$16,0,IF(CS25&lt;=Condition!$F$16,Condition!$D$16,IF(CS25&lt;=Condition!$F$17,Condition!$D$17,IF(CS25&lt;=Condition!$F$18,Condition!$D$18,IF(CS25&gt;Condition!$E$19,Condition!$D$19,"")))))</f>
        <v>0</v>
      </c>
      <c r="CT68" s="85">
        <f>IF(CT25&lt;=Condition!$E$16,0,IF(CT25&lt;=Condition!$F$16,Condition!$D$16,IF(CT25&lt;=Condition!$F$17,Condition!$D$17,IF(CT25&lt;=Condition!$F$18,Condition!$D$18,IF(CT25&gt;Condition!$E$19,Condition!$D$19,"")))))</f>
        <v>0</v>
      </c>
      <c r="CU68" s="85">
        <f>IF(CU25&lt;=Condition!$E$16,0,IF(CU25&lt;=Condition!$F$16,Condition!$D$16,IF(CU25&lt;=Condition!$F$17,Condition!$D$17,IF(CU25&lt;=Condition!$F$18,Condition!$D$18,IF(CU25&gt;Condition!$E$19,Condition!$D$19,"")))))</f>
        <v>0</v>
      </c>
      <c r="CV68" s="85">
        <f>IF(CV25&lt;=Condition!$E$16,0,IF(CV25&lt;=Condition!$F$16,Condition!$D$16,IF(CV25&lt;=Condition!$F$17,Condition!$D$17,IF(CV25&lt;=Condition!$F$18,Condition!$D$18,IF(CV25&gt;Condition!$E$19,Condition!$D$19,"")))))</f>
        <v>0</v>
      </c>
      <c r="CW68" s="85">
        <f>IF(CW25&lt;=Condition!$E$16,0,IF(CW25&lt;=Condition!$F$16,Condition!$D$16,IF(CW25&lt;=Condition!$F$17,Condition!$D$17,IF(CW25&lt;=Condition!$F$18,Condition!$D$18,IF(CW25&gt;Condition!$E$19,Condition!$D$19,"")))))</f>
        <v>0</v>
      </c>
      <c r="CX68" s="85">
        <f>IF(CX25&lt;=Condition!$E$16,0,IF(CX25&lt;=Condition!$F$16,Condition!$D$16,IF(CX25&lt;=Condition!$F$17,Condition!$D$17,IF(CX25&lt;=Condition!$F$18,Condition!$D$18,IF(CX25&gt;Condition!$E$19,Condition!$D$19,"")))))</f>
        <v>0</v>
      </c>
      <c r="CY68" s="85">
        <f>IF(CY25&lt;=Condition!$E$16,0,IF(CY25&lt;=Condition!$F$16,Condition!$D$16,IF(CY25&lt;=Condition!$F$17,Condition!$D$17,IF(CY25&lt;=Condition!$F$18,Condition!$D$18,IF(CY25&gt;Condition!$E$19,Condition!$D$19,"")))))</f>
        <v>0</v>
      </c>
      <c r="CZ68" s="85">
        <f>IF(CZ25&lt;=Condition!$E$16,0,IF(CZ25&lt;=Condition!$F$16,Condition!$D$16,IF(CZ25&lt;=Condition!$F$17,Condition!$D$17,IF(CZ25&lt;=Condition!$F$18,Condition!$D$18,IF(CZ25&gt;Condition!$E$19,Condition!$D$19,"")))))</f>
        <v>0</v>
      </c>
      <c r="DA68" s="85">
        <f>IF(DA25&lt;=Condition!$E$16,0,IF(DA25&lt;=Condition!$F$16,Condition!$D$16,IF(DA25&lt;=Condition!$F$17,Condition!$D$17,IF(DA25&lt;=Condition!$F$18,Condition!$D$18,IF(DA25&gt;Condition!$E$19,Condition!$D$19,"")))))</f>
        <v>0</v>
      </c>
      <c r="DB68" s="85">
        <f>IF(DB25&lt;=Condition!$E$16,0,IF(DB25&lt;=Condition!$F$16,Condition!$D$16,IF(DB25&lt;=Condition!$F$17,Condition!$D$17,IF(DB25&lt;=Condition!$F$18,Condition!$D$18,IF(DB25&gt;Condition!$E$19,Condition!$D$19,"")))))</f>
        <v>0</v>
      </c>
      <c r="DC68" s="85">
        <f>IF(DC25&lt;=Condition!$E$16,0,IF(DC25&lt;=Condition!$F$16,Condition!$D$16,IF(DC25&lt;=Condition!$F$17,Condition!$D$17,IF(DC25&lt;=Condition!$F$18,Condition!$D$18,IF(DC25&gt;Condition!$E$19,Condition!$D$19,"")))))</f>
        <v>0</v>
      </c>
      <c r="DD68" s="85">
        <f>IF(DD25&lt;=Condition!$E$16,0,IF(DD25&lt;=Condition!$F$16,Condition!$D$16,IF(DD25&lt;=Condition!$F$17,Condition!$D$17,IF(DD25&lt;=Condition!$F$18,Condition!$D$18,IF(DD25&gt;Condition!$E$19,Condition!$D$19,"")))))</f>
        <v>0</v>
      </c>
      <c r="DE68" s="85">
        <f>IF(DE25&lt;=Condition!$E$16,0,IF(DE25&lt;=Condition!$F$16,Condition!$D$16,IF(DE25&lt;=Condition!$F$17,Condition!$D$17,IF(DE25&lt;=Condition!$F$18,Condition!$D$18,IF(DE25&gt;Condition!$E$19,Condition!$D$19,"")))))</f>
        <v>0</v>
      </c>
      <c r="DF68" s="85">
        <f>IF(DF25&lt;=Condition!$E$16,0,IF(DF25&lt;=Condition!$F$16,Condition!$D$16,IF(DF25&lt;=Condition!$F$17,Condition!$D$17,IF(DF25&lt;=Condition!$F$18,Condition!$D$18,IF(DF25&gt;Condition!$E$19,Condition!$D$19,"")))))</f>
        <v>0</v>
      </c>
      <c r="DG68" s="85">
        <f>IF(DG25&lt;=Condition!$E$16,0,IF(DG25&lt;=Condition!$F$16,Condition!$D$16,IF(DG25&lt;=Condition!$F$17,Condition!$D$17,IF(DG25&lt;=Condition!$F$18,Condition!$D$18,IF(DG25&gt;Condition!$E$19,Condition!$D$19,"")))))</f>
        <v>0</v>
      </c>
      <c r="DH68" s="85">
        <f>IF(DH25&lt;=Condition!$E$16,0,IF(DH25&lt;=Condition!$F$16,Condition!$D$16,IF(DH25&lt;=Condition!$F$17,Condition!$D$17,IF(DH25&lt;=Condition!$F$18,Condition!$D$18,IF(DH25&gt;Condition!$E$19,Condition!$D$19,"")))))</f>
        <v>0</v>
      </c>
      <c r="DI68" s="85">
        <f>IF(DI25&lt;=Condition!$E$16,0,IF(DI25&lt;=Condition!$F$16,Condition!$D$16,IF(DI25&lt;=Condition!$F$17,Condition!$D$17,IF(DI25&lt;=Condition!$F$18,Condition!$D$18,IF(DI25&gt;Condition!$E$19,Condition!$D$19,"")))))</f>
        <v>0</v>
      </c>
      <c r="DJ68" s="85">
        <f>IF(DJ25&lt;=Condition!$E$16,0,IF(DJ25&lt;=Condition!$F$16,Condition!$D$16,IF(DJ25&lt;=Condition!$F$17,Condition!$D$17,IF(DJ25&lt;=Condition!$F$18,Condition!$D$18,IF(DJ25&gt;Condition!$E$19,Condition!$D$19,"")))))</f>
        <v>0</v>
      </c>
      <c r="DK68" s="85">
        <f>IF(DK25&lt;=Condition!$E$16,0,IF(DK25&lt;=Condition!$F$16,Condition!$D$16,IF(DK25&lt;=Condition!$F$17,Condition!$D$17,IF(DK25&lt;=Condition!$F$18,Condition!$D$18,IF(DK25&gt;Condition!$E$19,Condition!$D$19,"")))))</f>
        <v>0</v>
      </c>
      <c r="DL68" s="85">
        <f>IF(DL25&lt;=Condition!$E$16,0,IF(DL25&lt;=Condition!$F$16,Condition!$D$16,IF(DL25&lt;=Condition!$F$17,Condition!$D$17,IF(DL25&lt;=Condition!$F$18,Condition!$D$18,IF(DL25&gt;Condition!$E$19,Condition!$D$19,"")))))</f>
        <v>0</v>
      </c>
      <c r="DM68" s="85">
        <f>IF(DM25&lt;=Condition!$E$16,0,IF(DM25&lt;=Condition!$F$16,Condition!$D$16,IF(DM25&lt;=Condition!$F$17,Condition!$D$17,IF(DM25&lt;=Condition!$F$18,Condition!$D$18,IF(DM25&gt;Condition!$E$19,Condition!$D$19,"")))))</f>
        <v>0</v>
      </c>
      <c r="DN68" s="85">
        <f>IF(DN25&lt;=Condition!$E$16,0,IF(DN25&lt;=Condition!$F$16,Condition!$D$16,IF(DN25&lt;=Condition!$F$17,Condition!$D$17,IF(DN25&lt;=Condition!$F$18,Condition!$D$18,IF(DN25&gt;Condition!$E$19,Condition!$D$19,"")))))</f>
        <v>0</v>
      </c>
      <c r="DO68" s="85">
        <f>IF(DO25&lt;=Condition!$E$16,0,IF(DO25&lt;=Condition!$F$16,Condition!$D$16,IF(DO25&lt;=Condition!$F$17,Condition!$D$17,IF(DO25&lt;=Condition!$F$18,Condition!$D$18,IF(DO25&gt;Condition!$E$19,Condition!$D$19,"")))))</f>
        <v>0</v>
      </c>
      <c r="DP68" s="85">
        <f>IF(DP25&lt;=Condition!$E$16,0,IF(DP25&lt;=Condition!$F$16,Condition!$D$16,IF(DP25&lt;=Condition!$F$17,Condition!$D$17,IF(DP25&lt;=Condition!$F$18,Condition!$D$18,IF(DP25&gt;Condition!$E$19,Condition!$D$19,"")))))</f>
        <v>0</v>
      </c>
      <c r="DQ68" s="85">
        <f>IF(DQ25&lt;=Condition!$E$16,0,IF(DQ25&lt;=Condition!$F$16,Condition!$D$16,IF(DQ25&lt;=Condition!$F$17,Condition!$D$17,IF(DQ25&lt;=Condition!$F$18,Condition!$D$18,IF(DQ25&gt;Condition!$E$19,Condition!$D$19,"")))))</f>
        <v>0</v>
      </c>
      <c r="DR68" s="85">
        <f>IF(DR25&lt;=Condition!$E$16,0,IF(DR25&lt;=Condition!$F$16,Condition!$D$16,IF(DR25&lt;=Condition!$F$17,Condition!$D$17,IF(DR25&lt;=Condition!$F$18,Condition!$D$18,IF(DR25&gt;Condition!$E$19,Condition!$D$19,"")))))</f>
        <v>0</v>
      </c>
      <c r="DS68" s="85">
        <f>IF(DS25&lt;=Condition!$E$16,0,IF(DS25&lt;=Condition!$F$16,Condition!$D$16,IF(DS25&lt;=Condition!$F$17,Condition!$D$17,IF(DS25&lt;=Condition!$F$18,Condition!$D$18,IF(DS25&gt;Condition!$E$19,Condition!$D$19,"")))))</f>
        <v>0</v>
      </c>
      <c r="DT68" s="85">
        <f>IF(DT25&lt;=Condition!$E$16,0,IF(DT25&lt;=Condition!$F$16,Condition!$D$16,IF(DT25&lt;=Condition!$F$17,Condition!$D$17,IF(DT25&lt;=Condition!$F$18,Condition!$D$18,IF(DT25&gt;Condition!$E$19,Condition!$D$19,"")))))</f>
        <v>0</v>
      </c>
      <c r="DU68" s="85">
        <f>IF(DU25&lt;=Condition!$E$16,0,IF(DU25&lt;=Condition!$F$16,Condition!$D$16,IF(DU25&lt;=Condition!$F$17,Condition!$D$17,IF(DU25&lt;=Condition!$F$18,Condition!$D$18,IF(DU25&gt;Condition!$E$19,Condition!$D$19,"")))))</f>
        <v>0</v>
      </c>
      <c r="DV68" s="85">
        <f>IF(DV25&lt;=Condition!$E$16,0,IF(DV25&lt;=Condition!$F$16,Condition!$D$16,IF(DV25&lt;=Condition!$F$17,Condition!$D$17,IF(DV25&lt;=Condition!$F$18,Condition!$D$18,IF(DV25&gt;Condition!$E$19,Condition!$D$19,"")))))</f>
        <v>0</v>
      </c>
      <c r="DW68" s="85">
        <f>IF(DW25&lt;=Condition!$E$16,0,IF(DW25&lt;=Condition!$F$16,Condition!$D$16,IF(DW25&lt;=Condition!$F$17,Condition!$D$17,IF(DW25&lt;=Condition!$F$18,Condition!$D$18,IF(DW25&gt;Condition!$E$19,Condition!$D$19,"")))))</f>
        <v>0</v>
      </c>
      <c r="DX68" s="85">
        <f>IF(DX25&lt;=Condition!$E$16,0,IF(DX25&lt;=Condition!$F$16,Condition!$D$16,IF(DX25&lt;=Condition!$F$17,Condition!$D$17,IF(DX25&lt;=Condition!$F$18,Condition!$D$18,IF(DX25&gt;Condition!$E$19,Condition!$D$19,"")))))</f>
        <v>0</v>
      </c>
      <c r="DY68" s="85">
        <f>IF(DY25&lt;=Condition!$E$16,0,IF(DY25&lt;=Condition!$F$16,Condition!$D$16,IF(DY25&lt;=Condition!$F$17,Condition!$D$17,IF(DY25&lt;=Condition!$F$18,Condition!$D$18,IF(DY25&gt;Condition!$E$19,Condition!$D$19,"")))))</f>
        <v>0</v>
      </c>
      <c r="DZ68" s="85">
        <f>IF(DZ25&lt;=Condition!$E$16,0,IF(DZ25&lt;=Condition!$F$16,Condition!$D$16,IF(DZ25&lt;=Condition!$F$17,Condition!$D$17,IF(DZ25&lt;=Condition!$F$18,Condition!$D$18,IF(DZ25&gt;Condition!$E$19,Condition!$D$19,"")))))</f>
        <v>0</v>
      </c>
      <c r="EA68" s="85">
        <f>IF(EA25&lt;=Condition!$E$16,0,IF(EA25&lt;=Condition!$F$16,Condition!$D$16,IF(EA25&lt;=Condition!$F$17,Condition!$D$17,IF(EA25&lt;=Condition!$F$18,Condition!$D$18,IF(EA25&gt;Condition!$E$19,Condition!$D$19,"")))))</f>
        <v>0</v>
      </c>
      <c r="EB68" s="85">
        <f>IF(EB25&lt;=Condition!$E$16,0,IF(EB25&lt;=Condition!$F$16,Condition!$D$16,IF(EB25&lt;=Condition!$F$17,Condition!$D$17,IF(EB25&lt;=Condition!$F$18,Condition!$D$18,IF(EB25&gt;Condition!$E$19,Condition!$D$19,"")))))</f>
        <v>0</v>
      </c>
      <c r="EC68" s="85">
        <f>IF(EC25&lt;=Condition!$E$16,0,IF(EC25&lt;=Condition!$F$16,Condition!$D$16,IF(EC25&lt;=Condition!$F$17,Condition!$D$17,IF(EC25&lt;=Condition!$F$18,Condition!$D$18,IF(EC25&gt;Condition!$E$19,Condition!$D$19,"")))))</f>
        <v>0</v>
      </c>
      <c r="ED68" s="85">
        <f>IF(ED25&lt;=Condition!$E$16,0,IF(ED25&lt;=Condition!$F$16,Condition!$D$16,IF(ED25&lt;=Condition!$F$17,Condition!$D$17,IF(ED25&lt;=Condition!$F$18,Condition!$D$18,IF(ED25&gt;Condition!$E$19,Condition!$D$19,"")))))</f>
        <v>0</v>
      </c>
      <c r="EE68" s="85">
        <f>IF(EE25&lt;=Condition!$E$16,0,IF(EE25&lt;=Condition!$F$16,Condition!$D$16,IF(EE25&lt;=Condition!$F$17,Condition!$D$17,IF(EE25&lt;=Condition!$F$18,Condition!$D$18,IF(EE25&gt;Condition!$E$19,Condition!$D$19,"")))))</f>
        <v>0</v>
      </c>
      <c r="EF68" s="85">
        <f>IF(EF25&lt;=Condition!$E$16,0,IF(EF25&lt;=Condition!$F$16,Condition!$D$16,IF(EF25&lt;=Condition!$F$17,Condition!$D$17,IF(EF25&lt;=Condition!$F$18,Condition!$D$18,IF(EF25&gt;Condition!$E$19,Condition!$D$19,"")))))</f>
        <v>0</v>
      </c>
      <c r="EG68" s="85">
        <f>IF(EG25&lt;=Condition!$E$16,0,IF(EG25&lt;=Condition!$F$16,Condition!$D$16,IF(EG25&lt;=Condition!$F$17,Condition!$D$17,IF(EG25&lt;=Condition!$F$18,Condition!$D$18,IF(EG25&gt;Condition!$E$19,Condition!$D$19,"")))))</f>
        <v>0</v>
      </c>
      <c r="EH68" s="85">
        <f>IF(EH25&lt;=Condition!$E$16,0,IF(EH25&lt;=Condition!$F$16,Condition!$D$16,IF(EH25&lt;=Condition!$F$17,Condition!$D$17,IF(EH25&lt;=Condition!$F$18,Condition!$D$18,IF(EH25&gt;Condition!$E$19,Condition!$D$19,"")))))</f>
        <v>0</v>
      </c>
      <c r="EI68" s="85">
        <f>IF(EI25&lt;=Condition!$E$16,0,IF(EI25&lt;=Condition!$F$16,Condition!$D$16,IF(EI25&lt;=Condition!$F$17,Condition!$D$17,IF(EI25&lt;=Condition!$F$18,Condition!$D$18,IF(EI25&gt;Condition!$E$19,Condition!$D$19,"")))))</f>
        <v>0</v>
      </c>
      <c r="EJ68" s="85">
        <f>IF(EJ25&lt;=Condition!$E$16,0,IF(EJ25&lt;=Condition!$F$16,Condition!$D$16,IF(EJ25&lt;=Condition!$F$17,Condition!$D$17,IF(EJ25&lt;=Condition!$F$18,Condition!$D$18,IF(EJ25&gt;Condition!$E$19,Condition!$D$19,"")))))</f>
        <v>0</v>
      </c>
      <c r="EK68" s="85">
        <f>IF(EK25&lt;=Condition!$E$16,0,IF(EK25&lt;=Condition!$F$16,Condition!$D$16,IF(EK25&lt;=Condition!$F$17,Condition!$D$17,IF(EK25&lt;=Condition!$F$18,Condition!$D$18,IF(EK25&gt;Condition!$E$19,Condition!$D$19,"")))))</f>
        <v>0</v>
      </c>
      <c r="EL68" s="85">
        <f>IF(EL25&lt;=Condition!$E$16,0,IF(EL25&lt;=Condition!$F$16,Condition!$D$16,IF(EL25&lt;=Condition!$F$17,Condition!$D$17,IF(EL25&lt;=Condition!$F$18,Condition!$D$18,IF(EL25&gt;Condition!$E$19,Condition!$D$19,"")))))</f>
        <v>0</v>
      </c>
      <c r="EM68" s="85">
        <f>IF(EM25&lt;=Condition!$E$16,0,IF(EM25&lt;=Condition!$F$16,Condition!$D$16,IF(EM25&lt;=Condition!$F$17,Condition!$D$17,IF(EM25&lt;=Condition!$F$18,Condition!$D$18,IF(EM25&gt;Condition!$E$19,Condition!$D$19,"")))))</f>
        <v>0</v>
      </c>
      <c r="EN68" s="85">
        <f>IF(EN25&lt;=Condition!$E$16,0,IF(EN25&lt;=Condition!$F$16,Condition!$D$16,IF(EN25&lt;=Condition!$F$17,Condition!$D$17,IF(EN25&lt;=Condition!$F$18,Condition!$D$18,IF(EN25&gt;Condition!$E$19,Condition!$D$19,"")))))</f>
        <v>0</v>
      </c>
      <c r="EO68" s="85">
        <f>IF(EO25&lt;=Condition!$E$16,0,IF(EO25&lt;=Condition!$F$16,Condition!$D$16,IF(EO25&lt;=Condition!$F$17,Condition!$D$17,IF(EO25&lt;=Condition!$F$18,Condition!$D$18,IF(EO25&gt;Condition!$E$19,Condition!$D$19,"")))))</f>
        <v>0</v>
      </c>
      <c r="EP68" s="85">
        <f>IF(EP25&lt;=Condition!$E$16,0,IF(EP25&lt;=Condition!$F$16,Condition!$D$16,IF(EP25&lt;=Condition!$F$17,Condition!$D$17,IF(EP25&lt;=Condition!$F$18,Condition!$D$18,IF(EP25&gt;Condition!$E$19,Condition!$D$19,"")))))</f>
        <v>0</v>
      </c>
      <c r="EQ68" s="85">
        <f>IF(EQ25&lt;=Condition!$E$16,0,IF(EQ25&lt;=Condition!$F$16,Condition!$D$16,IF(EQ25&lt;=Condition!$F$17,Condition!$D$17,IF(EQ25&lt;=Condition!$F$18,Condition!$D$18,IF(EQ25&gt;Condition!$E$19,Condition!$D$19,"")))))</f>
        <v>0</v>
      </c>
      <c r="ER68" s="85">
        <f>IF(ER25&lt;=Condition!$E$16,0,IF(ER25&lt;=Condition!$F$16,Condition!$D$16,IF(ER25&lt;=Condition!$F$17,Condition!$D$17,IF(ER25&lt;=Condition!$F$18,Condition!$D$18,IF(ER25&gt;Condition!$E$19,Condition!$D$19,"")))))</f>
        <v>0</v>
      </c>
      <c r="ES68" s="85">
        <f>IF(ES25&lt;=Condition!$E$16,0,IF(ES25&lt;=Condition!$F$16,Condition!$D$16,IF(ES25&lt;=Condition!$F$17,Condition!$D$17,IF(ES25&lt;=Condition!$F$18,Condition!$D$18,IF(ES25&gt;Condition!$E$19,Condition!$D$19,"")))))</f>
        <v>0</v>
      </c>
      <c r="ET68" s="85">
        <f>IF(ET25&lt;=Condition!$E$16,0,IF(ET25&lt;=Condition!$F$16,Condition!$D$16,IF(ET25&lt;=Condition!$F$17,Condition!$D$17,IF(ET25&lt;=Condition!$F$18,Condition!$D$18,IF(ET25&gt;Condition!$E$19,Condition!$D$19,"")))))</f>
        <v>0</v>
      </c>
      <c r="EU68" s="85">
        <f>IF(EU25&lt;=Condition!$E$16,0,IF(EU25&lt;=Condition!$F$16,Condition!$D$16,IF(EU25&lt;=Condition!$F$17,Condition!$D$17,IF(EU25&lt;=Condition!$F$18,Condition!$D$18,IF(EU25&gt;Condition!$E$19,Condition!$D$19,"")))))</f>
        <v>0</v>
      </c>
      <c r="EV68" s="85">
        <f>IF(EV25&lt;=Condition!$E$16,0,IF(EV25&lt;=Condition!$F$16,Condition!$D$16,IF(EV25&lt;=Condition!$F$17,Condition!$D$17,IF(EV25&lt;=Condition!$F$18,Condition!$D$18,IF(EV25&gt;Condition!$E$19,Condition!$D$19,"")))))</f>
        <v>0</v>
      </c>
      <c r="EW68" s="85">
        <f>IF(EW25&lt;=Condition!$E$16,0,IF(EW25&lt;=Condition!$F$16,Condition!$D$16,IF(EW25&lt;=Condition!$F$17,Condition!$D$17,IF(EW25&lt;=Condition!$F$18,Condition!$D$18,IF(EW25&gt;Condition!$E$19,Condition!$D$19,"")))))</f>
        <v>0</v>
      </c>
      <c r="EX68" s="85">
        <f>IF(EX25&lt;=Condition!$E$16,0,IF(EX25&lt;=Condition!$F$16,Condition!$D$16,IF(EX25&lt;=Condition!$F$17,Condition!$D$17,IF(EX25&lt;=Condition!$F$18,Condition!$D$18,IF(EX25&gt;Condition!$E$19,Condition!$D$19,"")))))</f>
        <v>0</v>
      </c>
      <c r="EY68" s="85">
        <f>IF(EY25&lt;=Condition!$E$16,0,IF(EY25&lt;=Condition!$F$16,Condition!$D$16,IF(EY25&lt;=Condition!$F$17,Condition!$D$17,IF(EY25&lt;=Condition!$F$18,Condition!$D$18,IF(EY25&gt;Condition!$E$19,Condition!$D$19,"")))))</f>
        <v>0</v>
      </c>
      <c r="EZ68" s="85">
        <f>IF(EZ25&lt;=Condition!$E$16,0,IF(EZ25&lt;=Condition!$F$16,Condition!$D$16,IF(EZ25&lt;=Condition!$F$17,Condition!$D$17,IF(EZ25&lt;=Condition!$F$18,Condition!$D$18,IF(EZ25&gt;Condition!$E$19,Condition!$D$19,"")))))</f>
        <v>0</v>
      </c>
      <c r="FA68" s="85">
        <f>IF(FA25&lt;=Condition!$E$16,0,IF(FA25&lt;=Condition!$F$16,Condition!$D$16,IF(FA25&lt;=Condition!$F$17,Condition!$D$17,IF(FA25&lt;=Condition!$F$18,Condition!$D$18,IF(FA25&gt;Condition!$E$19,Condition!$D$19,"")))))</f>
        <v>0</v>
      </c>
      <c r="FB68" s="85">
        <f>IF(FB25&lt;=Condition!$E$16,0,IF(FB25&lt;=Condition!$F$16,Condition!$D$16,IF(FB25&lt;=Condition!$F$17,Condition!$D$17,IF(FB25&lt;=Condition!$F$18,Condition!$D$18,IF(FB25&gt;Condition!$E$19,Condition!$D$19,"")))))</f>
        <v>0</v>
      </c>
      <c r="FC68" s="85">
        <f>IF(FC25&lt;=Condition!$E$16,0,IF(FC25&lt;=Condition!$F$16,Condition!$D$16,IF(FC25&lt;=Condition!$F$17,Condition!$D$17,IF(FC25&lt;=Condition!$F$18,Condition!$D$18,IF(FC25&gt;Condition!$E$19,Condition!$D$19,"")))))</f>
        <v>0</v>
      </c>
      <c r="FD68" s="85">
        <f>IF(FD25&lt;=Condition!$E$16,0,IF(FD25&lt;=Condition!$F$16,Condition!$D$16,IF(FD25&lt;=Condition!$F$17,Condition!$D$17,IF(FD25&lt;=Condition!$F$18,Condition!$D$18,IF(FD25&gt;Condition!$E$19,Condition!$D$19,"")))))</f>
        <v>0</v>
      </c>
      <c r="FE68" s="85">
        <f>IF(FE25&lt;=Condition!$E$16,0,IF(FE25&lt;=Condition!$F$16,Condition!$D$16,IF(FE25&lt;=Condition!$F$17,Condition!$D$17,IF(FE25&lt;=Condition!$F$18,Condition!$D$18,IF(FE25&gt;Condition!$E$19,Condition!$D$19,"")))))</f>
        <v>0</v>
      </c>
      <c r="FF68" s="85">
        <f>IF(FF25&lt;=Condition!$E$16,0,IF(FF25&lt;=Condition!$F$16,Condition!$D$16,IF(FF25&lt;=Condition!$F$17,Condition!$D$17,IF(FF25&lt;=Condition!$F$18,Condition!$D$18,IF(FF25&gt;Condition!$E$19,Condition!$D$19,"")))))</f>
        <v>0</v>
      </c>
      <c r="FG68" s="85">
        <f>IF(FG25&lt;=Condition!$E$16,0,IF(FG25&lt;=Condition!$F$16,Condition!$D$16,IF(FG25&lt;=Condition!$F$17,Condition!$D$17,IF(FG25&lt;=Condition!$F$18,Condition!$D$18,IF(FG25&gt;Condition!$E$19,Condition!$D$19,"")))))</f>
        <v>0</v>
      </c>
      <c r="FH68" s="85">
        <f>IF(FH25&lt;=Condition!$E$16,0,IF(FH25&lt;=Condition!$F$16,Condition!$D$16,IF(FH25&lt;=Condition!$F$17,Condition!$D$17,IF(FH25&lt;=Condition!$F$18,Condition!$D$18,IF(FH25&gt;Condition!$E$19,Condition!$D$19,"")))))</f>
        <v>0</v>
      </c>
      <c r="FI68" s="85">
        <f>IF(FI25&lt;=Condition!$E$16,0,IF(FI25&lt;=Condition!$F$16,Condition!$D$16,IF(FI25&lt;=Condition!$F$17,Condition!$D$17,IF(FI25&lt;=Condition!$F$18,Condition!$D$18,IF(FI25&gt;Condition!$E$19,Condition!$D$19,"")))))</f>
        <v>0</v>
      </c>
      <c r="FJ68" s="85">
        <f>IF(FJ25&lt;=Condition!$E$16,0,IF(FJ25&lt;=Condition!$F$16,Condition!$D$16,IF(FJ25&lt;=Condition!$F$17,Condition!$D$17,IF(FJ25&lt;=Condition!$F$18,Condition!$D$18,IF(FJ25&gt;Condition!$E$19,Condition!$D$19,"")))))</f>
        <v>0</v>
      </c>
      <c r="FK68" s="85">
        <f>IF(FK25&lt;=Condition!$E$16,0,IF(FK25&lt;=Condition!$F$16,Condition!$D$16,IF(FK25&lt;=Condition!$F$17,Condition!$D$17,IF(FK25&lt;=Condition!$F$18,Condition!$D$18,IF(FK25&gt;Condition!$E$19,Condition!$D$19,"")))))</f>
        <v>0</v>
      </c>
      <c r="FL68" s="85">
        <f>IF(FL25&lt;=Condition!$E$16,0,IF(FL25&lt;=Condition!$F$16,Condition!$D$16,IF(FL25&lt;=Condition!$F$17,Condition!$D$17,IF(FL25&lt;=Condition!$F$18,Condition!$D$18,IF(FL25&gt;Condition!$E$19,Condition!$D$19,"")))))</f>
        <v>0</v>
      </c>
      <c r="FM68" s="85">
        <f>IF(FM25&lt;=Condition!$E$16,0,IF(FM25&lt;=Condition!$F$16,Condition!$D$16,IF(FM25&lt;=Condition!$F$17,Condition!$D$17,IF(FM25&lt;=Condition!$F$18,Condition!$D$18,IF(FM25&gt;Condition!$E$19,Condition!$D$19,"")))))</f>
        <v>0</v>
      </c>
      <c r="FN68" s="85">
        <f>IF(FN25&lt;=Condition!$E$16,0,IF(FN25&lt;=Condition!$F$16,Condition!$D$16,IF(FN25&lt;=Condition!$F$17,Condition!$D$17,IF(FN25&lt;=Condition!$F$18,Condition!$D$18,IF(FN25&gt;Condition!$E$19,Condition!$D$19,"")))))</f>
        <v>0</v>
      </c>
      <c r="FO68" s="85">
        <f>IF(FO25&lt;=Condition!$E$16,0,IF(FO25&lt;=Condition!$F$16,Condition!$D$16,IF(FO25&lt;=Condition!$F$17,Condition!$D$17,IF(FO25&lt;=Condition!$F$18,Condition!$D$18,IF(FO25&gt;Condition!$E$19,Condition!$D$19,"")))))</f>
        <v>0</v>
      </c>
      <c r="FP68" s="85">
        <f>IF(FP25&lt;=Condition!$E$16,0,IF(FP25&lt;=Condition!$F$16,Condition!$D$16,IF(FP25&lt;=Condition!$F$17,Condition!$D$17,IF(FP25&lt;=Condition!$F$18,Condition!$D$18,IF(FP25&gt;Condition!$E$19,Condition!$D$19,"")))))</f>
        <v>0</v>
      </c>
      <c r="FQ68" s="85">
        <f>IF(FQ25&lt;=Condition!$E$16,0,IF(FQ25&lt;=Condition!$F$16,Condition!$D$16,IF(FQ25&lt;=Condition!$F$17,Condition!$D$17,IF(FQ25&lt;=Condition!$F$18,Condition!$D$18,IF(FQ25&gt;Condition!$E$19,Condition!$D$19,"")))))</f>
        <v>0</v>
      </c>
      <c r="FR68" s="85">
        <f>IF(FR25&lt;=Condition!$E$16,0,IF(FR25&lt;=Condition!$F$16,Condition!$D$16,IF(FR25&lt;=Condition!$F$17,Condition!$D$17,IF(FR25&lt;=Condition!$F$18,Condition!$D$18,IF(FR25&gt;Condition!$E$19,Condition!$D$19,"")))))</f>
        <v>0</v>
      </c>
      <c r="FS68" s="85">
        <f>IF(FS25&lt;=Condition!$E$16,0,IF(FS25&lt;=Condition!$F$16,Condition!$D$16,IF(FS25&lt;=Condition!$F$17,Condition!$D$17,IF(FS25&lt;=Condition!$F$18,Condition!$D$18,IF(FS25&gt;Condition!$E$19,Condition!$D$19,"")))))</f>
        <v>0</v>
      </c>
      <c r="FT68" s="85">
        <f>IF(FT25&lt;=Condition!$E$16,0,IF(FT25&lt;=Condition!$F$16,Condition!$D$16,IF(FT25&lt;=Condition!$F$17,Condition!$D$17,IF(FT25&lt;=Condition!$F$18,Condition!$D$18,IF(FT25&gt;Condition!$E$19,Condition!$D$19,"")))))</f>
        <v>0</v>
      </c>
      <c r="FU68" s="85">
        <f>IF(FU25&lt;=Condition!$E$16,0,IF(FU25&lt;=Condition!$F$16,Condition!$D$16,IF(FU25&lt;=Condition!$F$17,Condition!$D$17,IF(FU25&lt;=Condition!$F$18,Condition!$D$18,IF(FU25&gt;Condition!$E$19,Condition!$D$19,"")))))</f>
        <v>0</v>
      </c>
      <c r="FV68" s="85">
        <f>IF(FV25&lt;=Condition!$E$16,0,IF(FV25&lt;=Condition!$F$16,Condition!$D$16,IF(FV25&lt;=Condition!$F$17,Condition!$D$17,IF(FV25&lt;=Condition!$F$18,Condition!$D$18,IF(FV25&gt;Condition!$E$19,Condition!$D$19,"")))))</f>
        <v>0</v>
      </c>
      <c r="FW68" s="85">
        <f>IF(FW25&lt;=Condition!$E$16,0,IF(FW25&lt;=Condition!$F$16,Condition!$D$16,IF(FW25&lt;=Condition!$F$17,Condition!$D$17,IF(FW25&lt;=Condition!$F$18,Condition!$D$18,IF(FW25&gt;Condition!$E$19,Condition!$D$19,"")))))</f>
        <v>0</v>
      </c>
      <c r="FX68" s="85">
        <f>IF(FX25&lt;=Condition!$E$16,0,IF(FX25&lt;=Condition!$F$16,Condition!$D$16,IF(FX25&lt;=Condition!$F$17,Condition!$D$17,IF(FX25&lt;=Condition!$F$18,Condition!$D$18,IF(FX25&gt;Condition!$E$19,Condition!$D$19,"")))))</f>
        <v>0</v>
      </c>
      <c r="FY68" s="85">
        <f>IF(FY25&lt;=Condition!$E$16,0,IF(FY25&lt;=Condition!$F$16,Condition!$D$16,IF(FY25&lt;=Condition!$F$17,Condition!$D$17,IF(FY25&lt;=Condition!$F$18,Condition!$D$18,IF(FY25&gt;Condition!$E$19,Condition!$D$19,"")))))</f>
        <v>0</v>
      </c>
      <c r="FZ68" s="85">
        <f>IF(FZ25&lt;=Condition!$E$16,0,IF(FZ25&lt;=Condition!$F$16,Condition!$D$16,IF(FZ25&lt;=Condition!$F$17,Condition!$D$17,IF(FZ25&lt;=Condition!$F$18,Condition!$D$18,IF(FZ25&gt;Condition!$E$19,Condition!$D$19,"")))))</f>
        <v>0</v>
      </c>
      <c r="GA68" s="85">
        <f>IF(GA25&lt;=Condition!$E$16,0,IF(GA25&lt;=Condition!$F$16,Condition!$D$16,IF(GA25&lt;=Condition!$F$17,Condition!$D$17,IF(GA25&lt;=Condition!$F$18,Condition!$D$18,IF(GA25&gt;Condition!$E$19,Condition!$D$19,"")))))</f>
        <v>0</v>
      </c>
      <c r="GB68" s="85">
        <f>IF(GB25&lt;=Condition!$E$16,0,IF(GB25&lt;=Condition!$F$16,Condition!$D$16,IF(GB25&lt;=Condition!$F$17,Condition!$D$17,IF(GB25&lt;=Condition!$F$18,Condition!$D$18,IF(GB25&gt;Condition!$E$19,Condition!$D$19,"")))))</f>
        <v>0</v>
      </c>
      <c r="GC68" s="85">
        <f>IF(GC25&lt;=Condition!$E$16,0,IF(GC25&lt;=Condition!$F$16,Condition!$D$16,IF(GC25&lt;=Condition!$F$17,Condition!$D$17,IF(GC25&lt;=Condition!$F$18,Condition!$D$18,IF(GC25&gt;Condition!$E$19,Condition!$D$19,"")))))</f>
        <v>0</v>
      </c>
      <c r="GD68" s="85">
        <f>IF(GD25&lt;=Condition!$E$16,0,IF(GD25&lt;=Condition!$F$16,Condition!$D$16,IF(GD25&lt;=Condition!$F$17,Condition!$D$17,IF(GD25&lt;=Condition!$F$18,Condition!$D$18,IF(GD25&gt;Condition!$E$19,Condition!$D$19,"")))))</f>
        <v>0</v>
      </c>
      <c r="GE68" s="85">
        <f>IF(GE25&lt;=Condition!$E$16,0,IF(GE25&lt;=Condition!$F$16,Condition!$D$16,IF(GE25&lt;=Condition!$F$17,Condition!$D$17,IF(GE25&lt;=Condition!$F$18,Condition!$D$18,IF(GE25&gt;Condition!$E$19,Condition!$D$19,"")))))</f>
        <v>0</v>
      </c>
      <c r="GF68" s="85">
        <f>IF(GF25&lt;=Condition!$E$16,0,IF(GF25&lt;=Condition!$F$16,Condition!$D$16,IF(GF25&lt;=Condition!$F$17,Condition!$D$17,IF(GF25&lt;=Condition!$F$18,Condition!$D$18,IF(GF25&gt;Condition!$E$19,Condition!$D$19,"")))))</f>
        <v>0</v>
      </c>
      <c r="GG68" s="85">
        <f>IF(GG25&lt;=Condition!$E$16,0,IF(GG25&lt;=Condition!$F$16,Condition!$D$16,IF(GG25&lt;=Condition!$F$17,Condition!$D$17,IF(GG25&lt;=Condition!$F$18,Condition!$D$18,IF(GG25&gt;Condition!$E$19,Condition!$D$19,"")))))</f>
        <v>0</v>
      </c>
      <c r="GH68" s="85">
        <f>IF(GH25&lt;=Condition!$E$16,0,IF(GH25&lt;=Condition!$F$16,Condition!$D$16,IF(GH25&lt;=Condition!$F$17,Condition!$D$17,IF(GH25&lt;=Condition!$F$18,Condition!$D$18,IF(GH25&gt;Condition!$E$19,Condition!$D$19,"")))))</f>
        <v>0</v>
      </c>
      <c r="GI68" s="85">
        <f>IF(GI25&lt;=Condition!$E$16,0,IF(GI25&lt;=Condition!$F$16,Condition!$D$16,IF(GI25&lt;=Condition!$F$17,Condition!$D$17,IF(GI25&lt;=Condition!$F$18,Condition!$D$18,IF(GI25&gt;Condition!$E$19,Condition!$D$19,"")))))</f>
        <v>0</v>
      </c>
      <c r="GJ68" s="85">
        <f>IF(GJ25&lt;=Condition!$E$16,0,IF(GJ25&lt;=Condition!$F$16,Condition!$D$16,IF(GJ25&lt;=Condition!$F$17,Condition!$D$17,IF(GJ25&lt;=Condition!$F$18,Condition!$D$18,IF(GJ25&gt;Condition!$E$19,Condition!$D$19,"")))))</f>
        <v>0</v>
      </c>
      <c r="GK68" s="85">
        <f>IF(GK25&lt;=Condition!$E$16,0,IF(GK25&lt;=Condition!$F$16,Condition!$D$16,IF(GK25&lt;=Condition!$F$17,Condition!$D$17,IF(GK25&lt;=Condition!$F$18,Condition!$D$18,IF(GK25&gt;Condition!$E$19,Condition!$D$19,"")))))</f>
        <v>0</v>
      </c>
      <c r="GL68" s="85">
        <f>IF(GL25&lt;=Condition!$E$16,0,IF(GL25&lt;=Condition!$F$16,Condition!$D$16,IF(GL25&lt;=Condition!$F$17,Condition!$D$17,IF(GL25&lt;=Condition!$F$18,Condition!$D$18,IF(GL25&gt;Condition!$E$19,Condition!$D$19,"")))))</f>
        <v>0</v>
      </c>
      <c r="GM68" s="85">
        <f>IF(GM25&lt;=Condition!$E$16,0,IF(GM25&lt;=Condition!$F$16,Condition!$D$16,IF(GM25&lt;=Condition!$F$17,Condition!$D$17,IF(GM25&lt;=Condition!$F$18,Condition!$D$18,IF(GM25&gt;Condition!$E$19,Condition!$D$19,"")))))</f>
        <v>0</v>
      </c>
      <c r="GN68" s="85">
        <f>IF(GN25&lt;=Condition!$E$16,0,IF(GN25&lt;=Condition!$F$16,Condition!$D$16,IF(GN25&lt;=Condition!$F$17,Condition!$D$17,IF(GN25&lt;=Condition!$F$18,Condition!$D$18,IF(GN25&gt;Condition!$E$19,Condition!$D$19,"")))))</f>
        <v>0</v>
      </c>
      <c r="GO68" s="85">
        <f>IF(GO25&lt;=Condition!$E$16,0,IF(GO25&lt;=Condition!$F$16,Condition!$D$16,IF(GO25&lt;=Condition!$F$17,Condition!$D$17,IF(GO25&lt;=Condition!$F$18,Condition!$D$18,IF(GO25&gt;Condition!$E$19,Condition!$D$19,"")))))</f>
        <v>0</v>
      </c>
      <c r="GP68" s="85">
        <f>IF(GP25&lt;=Condition!$E$16,0,IF(GP25&lt;=Condition!$F$16,Condition!$D$16,IF(GP25&lt;=Condition!$F$17,Condition!$D$17,IF(GP25&lt;=Condition!$F$18,Condition!$D$18,IF(GP25&gt;Condition!$E$19,Condition!$D$19,"")))))</f>
        <v>0</v>
      </c>
      <c r="GQ68" s="85">
        <f>IF(GQ25&lt;=Condition!$E$16,0,IF(GQ25&lt;=Condition!$F$16,Condition!$D$16,IF(GQ25&lt;=Condition!$F$17,Condition!$D$17,IF(GQ25&lt;=Condition!$F$18,Condition!$D$18,IF(GQ25&gt;Condition!$E$19,Condition!$D$19,"")))))</f>
        <v>0</v>
      </c>
      <c r="GR68" s="85">
        <f>IF(GR25&lt;=Condition!$E$16,0,IF(GR25&lt;=Condition!$F$16,Condition!$D$16,IF(GR25&lt;=Condition!$F$17,Condition!$D$17,IF(GR25&lt;=Condition!$F$18,Condition!$D$18,IF(GR25&gt;Condition!$E$19,Condition!$D$19,"")))))</f>
        <v>0</v>
      </c>
      <c r="GS68" s="85">
        <f>IF(GS25&lt;=Condition!$E$16,0,IF(GS25&lt;=Condition!$F$16,Condition!$D$16,IF(GS25&lt;=Condition!$F$17,Condition!$D$17,IF(GS25&lt;=Condition!$F$18,Condition!$D$18,IF(GS25&gt;Condition!$E$19,Condition!$D$19,"")))))</f>
        <v>0</v>
      </c>
      <c r="GT68" s="85">
        <f>IF(GT25&lt;=Condition!$E$16,0,IF(GT25&lt;=Condition!$F$16,Condition!$D$16,IF(GT25&lt;=Condition!$F$17,Condition!$D$17,IF(GT25&lt;=Condition!$F$18,Condition!$D$18,IF(GT25&gt;Condition!$E$19,Condition!$D$19,"")))))</f>
        <v>0</v>
      </c>
      <c r="GU68" s="85">
        <f>IF(GU25&lt;=Condition!$E$16,0,IF(GU25&lt;=Condition!$F$16,Condition!$D$16,IF(GU25&lt;=Condition!$F$17,Condition!$D$17,IF(GU25&lt;=Condition!$F$18,Condition!$D$18,IF(GU25&gt;Condition!$E$19,Condition!$D$19,"")))))</f>
        <v>0</v>
      </c>
      <c r="GV68" s="85">
        <f>IF(GV25&lt;=Condition!$E$16,0,IF(GV25&lt;=Condition!$F$16,Condition!$D$16,IF(GV25&lt;=Condition!$F$17,Condition!$D$17,IF(GV25&lt;=Condition!$F$18,Condition!$D$18,IF(GV25&gt;Condition!$E$19,Condition!$D$19,"")))))</f>
        <v>0</v>
      </c>
      <c r="GW68" s="85">
        <f>IF(GW25&lt;=Condition!$E$16,0,IF(GW25&lt;=Condition!$F$16,Condition!$D$16,IF(GW25&lt;=Condition!$F$17,Condition!$D$17,IF(GW25&lt;=Condition!$F$18,Condition!$D$18,IF(GW25&gt;Condition!$E$19,Condition!$D$19,"")))))</f>
        <v>0</v>
      </c>
      <c r="GX68" s="85">
        <f>IF(GX25&lt;=Condition!$E$16,0,IF(GX25&lt;=Condition!$F$16,Condition!$D$16,IF(GX25&lt;=Condition!$F$17,Condition!$D$17,IF(GX25&lt;=Condition!$F$18,Condition!$D$18,IF(GX25&gt;Condition!$E$19,Condition!$D$19,"")))))</f>
        <v>0</v>
      </c>
      <c r="GY68" s="85">
        <f>IF(GY25&lt;=Condition!$E$16,0,IF(GY25&lt;=Condition!$F$16,Condition!$D$16,IF(GY25&lt;=Condition!$F$17,Condition!$D$17,IF(GY25&lt;=Condition!$F$18,Condition!$D$18,IF(GY25&gt;Condition!$E$19,Condition!$D$19,"")))))</f>
        <v>0</v>
      </c>
      <c r="GZ68" s="85">
        <f>IF(GZ25&lt;=Condition!$E$16,0,IF(GZ25&lt;=Condition!$F$16,Condition!$D$16,IF(GZ25&lt;=Condition!$F$17,Condition!$D$17,IF(GZ25&lt;=Condition!$F$18,Condition!$D$18,IF(GZ25&gt;Condition!$E$19,Condition!$D$19,"")))))</f>
        <v>0</v>
      </c>
      <c r="HA68" s="85">
        <f>IF(HA25&lt;=Condition!$E$16,0,IF(HA25&lt;=Condition!$F$16,Condition!$D$16,IF(HA25&lt;=Condition!$F$17,Condition!$D$17,IF(HA25&lt;=Condition!$F$18,Condition!$D$18,IF(HA25&gt;Condition!$E$19,Condition!$D$19,"")))))</f>
        <v>0</v>
      </c>
      <c r="HB68" s="85">
        <f>IF(HB25&lt;=Condition!$E$16,0,IF(HB25&lt;=Condition!$F$16,Condition!$D$16,IF(HB25&lt;=Condition!$F$17,Condition!$D$17,IF(HB25&lt;=Condition!$F$18,Condition!$D$18,IF(HB25&gt;Condition!$E$19,Condition!$D$19,"")))))</f>
        <v>0</v>
      </c>
      <c r="HC68" s="85">
        <f>IF(HC25&lt;=Condition!$E$16,0,IF(HC25&lt;=Condition!$F$16,Condition!$D$16,IF(HC25&lt;=Condition!$F$17,Condition!$D$17,IF(HC25&lt;=Condition!$F$18,Condition!$D$18,IF(HC25&gt;Condition!$E$19,Condition!$D$19,"")))))</f>
        <v>0</v>
      </c>
      <c r="HD68" s="85">
        <f>IF(HD25&lt;=Condition!$E$16,0,IF(HD25&lt;=Condition!$F$16,Condition!$D$16,IF(HD25&lt;=Condition!$F$17,Condition!$D$17,IF(HD25&lt;=Condition!$F$18,Condition!$D$18,IF(HD25&gt;Condition!$E$19,Condition!$D$19,"")))))</f>
        <v>0</v>
      </c>
      <c r="HE68" s="85">
        <f>IF(HE25&lt;=Condition!$E$16,0,IF(HE25&lt;=Condition!$F$16,Condition!$D$16,IF(HE25&lt;=Condition!$F$17,Condition!$D$17,IF(HE25&lt;=Condition!$F$18,Condition!$D$18,IF(HE25&gt;Condition!$E$19,Condition!$D$19,"")))))</f>
        <v>0</v>
      </c>
      <c r="HF68" s="85">
        <f>IF(HF25&lt;=Condition!$E$16,0,IF(HF25&lt;=Condition!$F$16,Condition!$D$16,IF(HF25&lt;=Condition!$F$17,Condition!$D$17,IF(HF25&lt;=Condition!$F$18,Condition!$D$18,IF(HF25&gt;Condition!$E$19,Condition!$D$19,"")))))</f>
        <v>0</v>
      </c>
      <c r="HG68" s="85">
        <f>IF(HG25&lt;=Condition!$E$16,0,IF(HG25&lt;=Condition!$F$16,Condition!$D$16,IF(HG25&lt;=Condition!$F$17,Condition!$D$17,IF(HG25&lt;=Condition!$F$18,Condition!$D$18,IF(HG25&gt;Condition!$E$19,Condition!$D$19,"")))))</f>
        <v>0</v>
      </c>
      <c r="HH68" s="85">
        <f>IF(HH25&lt;=Condition!$E$16,0,IF(HH25&lt;=Condition!$F$16,Condition!$D$16,IF(HH25&lt;=Condition!$F$17,Condition!$D$17,IF(HH25&lt;=Condition!$F$18,Condition!$D$18,IF(HH25&gt;Condition!$E$19,Condition!$D$19,"")))))</f>
        <v>0</v>
      </c>
      <c r="HI68" s="85">
        <f>IF(HI25&lt;=Condition!$E$16,0,IF(HI25&lt;=Condition!$F$16,Condition!$D$16,IF(HI25&lt;=Condition!$F$17,Condition!$D$17,IF(HI25&lt;=Condition!$F$18,Condition!$D$18,IF(HI25&gt;Condition!$E$19,Condition!$D$19,"")))))</f>
        <v>0</v>
      </c>
      <c r="HJ68" s="85">
        <f>IF(HJ25&lt;=Condition!$E$16,0,IF(HJ25&lt;=Condition!$F$16,Condition!$D$16,IF(HJ25&lt;=Condition!$F$17,Condition!$D$17,IF(HJ25&lt;=Condition!$F$18,Condition!$D$18,IF(HJ25&gt;Condition!$E$19,Condition!$D$19,"")))))</f>
        <v>0</v>
      </c>
      <c r="HK68" s="85">
        <f>IF(HK25&lt;=Condition!$E$16,0,IF(HK25&lt;=Condition!$F$16,Condition!$D$16,IF(HK25&lt;=Condition!$F$17,Condition!$D$17,IF(HK25&lt;=Condition!$F$18,Condition!$D$18,IF(HK25&gt;Condition!$E$19,Condition!$D$19,"")))))</f>
        <v>0</v>
      </c>
      <c r="HL68" s="85">
        <f>IF(HL25&lt;=Condition!$E$16,0,IF(HL25&lt;=Condition!$F$16,Condition!$D$16,IF(HL25&lt;=Condition!$F$17,Condition!$D$17,IF(HL25&lt;=Condition!$F$18,Condition!$D$18,IF(HL25&gt;Condition!$E$19,Condition!$D$19,"")))))</f>
        <v>0</v>
      </c>
      <c r="HM68" s="85">
        <f>IF(HM25&lt;=Condition!$E$16,0,IF(HM25&lt;=Condition!$F$16,Condition!$D$16,IF(HM25&lt;=Condition!$F$17,Condition!$D$17,IF(HM25&lt;=Condition!$F$18,Condition!$D$18,IF(HM25&gt;Condition!$E$19,Condition!$D$19,"")))))</f>
        <v>0</v>
      </c>
      <c r="HN68" s="85">
        <f>IF(HN25&lt;=Condition!$E$16,0,IF(HN25&lt;=Condition!$F$16,Condition!$D$16,IF(HN25&lt;=Condition!$F$17,Condition!$D$17,IF(HN25&lt;=Condition!$F$18,Condition!$D$18,IF(HN25&gt;Condition!$E$19,Condition!$D$19,"")))))</f>
        <v>0</v>
      </c>
      <c r="HO68" s="85">
        <f>IF(HO25&lt;=Condition!$E$16,0,IF(HO25&lt;=Condition!$F$16,Condition!$D$16,IF(HO25&lt;=Condition!$F$17,Condition!$D$17,IF(HO25&lt;=Condition!$F$18,Condition!$D$18,IF(HO25&gt;Condition!$E$19,Condition!$D$19,"")))))</f>
        <v>0</v>
      </c>
      <c r="HP68" s="85">
        <f>IF(HP25&lt;=Condition!$E$16,0,IF(HP25&lt;=Condition!$F$16,Condition!$D$16,IF(HP25&lt;=Condition!$F$17,Condition!$D$17,IF(HP25&lt;=Condition!$F$18,Condition!$D$18,IF(HP25&gt;Condition!$E$19,Condition!$D$19,"")))))</f>
        <v>0</v>
      </c>
      <c r="HQ68" s="85">
        <f>IF(HQ25&lt;=Condition!$E$16,0,IF(HQ25&lt;=Condition!$F$16,Condition!$D$16,IF(HQ25&lt;=Condition!$F$17,Condition!$D$17,IF(HQ25&lt;=Condition!$F$18,Condition!$D$18,IF(HQ25&gt;Condition!$E$19,Condition!$D$19,"")))))</f>
        <v>0</v>
      </c>
      <c r="HR68" s="85">
        <f>IF(HR25&lt;=Condition!$E$16,0,IF(HR25&lt;=Condition!$F$16,Condition!$D$16,IF(HR25&lt;=Condition!$F$17,Condition!$D$17,IF(HR25&lt;=Condition!$F$18,Condition!$D$18,IF(HR25&gt;Condition!$E$19,Condition!$D$19,"")))))</f>
        <v>0</v>
      </c>
      <c r="HS68" s="85">
        <f>IF(HS25&lt;=Condition!$E$16,0,IF(HS25&lt;=Condition!$F$16,Condition!$D$16,IF(HS25&lt;=Condition!$F$17,Condition!$D$17,IF(HS25&lt;=Condition!$F$18,Condition!$D$18,IF(HS25&gt;Condition!$E$19,Condition!$D$19,"")))))</f>
        <v>0</v>
      </c>
      <c r="HT68" s="85">
        <f>IF(HT25&lt;=Condition!$E$16,0,IF(HT25&lt;=Condition!$F$16,Condition!$D$16,IF(HT25&lt;=Condition!$F$17,Condition!$D$17,IF(HT25&lt;=Condition!$F$18,Condition!$D$18,IF(HT25&gt;Condition!$E$19,Condition!$D$19,"")))))</f>
        <v>0</v>
      </c>
      <c r="HU68" s="85">
        <f>IF(HU25&lt;=Condition!$E$16,0,IF(HU25&lt;=Condition!$F$16,Condition!$D$16,IF(HU25&lt;=Condition!$F$17,Condition!$D$17,IF(HU25&lt;=Condition!$F$18,Condition!$D$18,IF(HU25&gt;Condition!$E$19,Condition!$D$19,"")))))</f>
        <v>0</v>
      </c>
      <c r="HV68" s="85">
        <f>IF(HV25&lt;=Condition!$E$16,0,IF(HV25&lt;=Condition!$F$16,Condition!$D$16,IF(HV25&lt;=Condition!$F$17,Condition!$D$17,IF(HV25&lt;=Condition!$F$18,Condition!$D$18,IF(HV25&gt;Condition!$E$19,Condition!$D$19,"")))))</f>
        <v>0</v>
      </c>
      <c r="HW68" s="85">
        <f>IF(HW25&lt;=Condition!$E$16,0,IF(HW25&lt;=Condition!$F$16,Condition!$D$16,IF(HW25&lt;=Condition!$F$17,Condition!$D$17,IF(HW25&lt;=Condition!$F$18,Condition!$D$18,IF(HW25&gt;Condition!$E$19,Condition!$D$19,"")))))</f>
        <v>0</v>
      </c>
      <c r="HX68" s="85">
        <f>IF(HX25&lt;=Condition!$E$16,0,IF(HX25&lt;=Condition!$F$16,Condition!$D$16,IF(HX25&lt;=Condition!$F$17,Condition!$D$17,IF(HX25&lt;=Condition!$F$18,Condition!$D$18,IF(HX25&gt;Condition!$E$19,Condition!$D$19,"")))))</f>
        <v>0</v>
      </c>
      <c r="HY68" s="85">
        <f>IF(HY25&lt;=Condition!$E$16,0,IF(HY25&lt;=Condition!$F$16,Condition!$D$16,IF(HY25&lt;=Condition!$F$17,Condition!$D$17,IF(HY25&lt;=Condition!$F$18,Condition!$D$18,IF(HY25&gt;Condition!$E$19,Condition!$D$19,"")))))</f>
        <v>0</v>
      </c>
      <c r="HZ68" s="85">
        <f>IF(HZ25&lt;=Condition!$E$16,0,IF(HZ25&lt;=Condition!$F$16,Condition!$D$16,IF(HZ25&lt;=Condition!$F$17,Condition!$D$17,IF(HZ25&lt;=Condition!$F$18,Condition!$D$18,IF(HZ25&gt;Condition!$E$19,Condition!$D$19,"")))))</f>
        <v>0</v>
      </c>
      <c r="IA68" s="85">
        <f>IF(IA25&lt;=Condition!$E$16,0,IF(IA25&lt;=Condition!$F$16,Condition!$D$16,IF(IA25&lt;=Condition!$F$17,Condition!$D$17,IF(IA25&lt;=Condition!$F$18,Condition!$D$18,IF(IA25&gt;Condition!$E$19,Condition!$D$19,"")))))</f>
        <v>0</v>
      </c>
      <c r="IB68" s="85">
        <f>IF(IB25&lt;=Condition!$E$16,0,IF(IB25&lt;=Condition!$F$16,Condition!$D$16,IF(IB25&lt;=Condition!$F$17,Condition!$D$17,IF(IB25&lt;=Condition!$F$18,Condition!$D$18,IF(IB25&gt;Condition!$E$19,Condition!$D$19,"")))))</f>
        <v>0</v>
      </c>
      <c r="IC68" s="85">
        <f>IF(IC25&lt;=Condition!$E$16,0,IF(IC25&lt;=Condition!$F$16,Condition!$D$16,IF(IC25&lt;=Condition!$F$17,Condition!$D$17,IF(IC25&lt;=Condition!$F$18,Condition!$D$18,IF(IC25&gt;Condition!$E$19,Condition!$D$19,"")))))</f>
        <v>0</v>
      </c>
      <c r="ID68" s="85">
        <f>IF(ID25&lt;=Condition!$E$16,0,IF(ID25&lt;=Condition!$F$16,Condition!$D$16,IF(ID25&lt;=Condition!$F$17,Condition!$D$17,IF(ID25&lt;=Condition!$F$18,Condition!$D$18,IF(ID25&gt;Condition!$E$19,Condition!$D$19,"")))))</f>
        <v>0</v>
      </c>
      <c r="IE68" s="85">
        <f>IF(IE25&lt;=Condition!$E$16,0,IF(IE25&lt;=Condition!$F$16,Condition!$D$16,IF(IE25&lt;=Condition!$F$17,Condition!$D$17,IF(IE25&lt;=Condition!$F$18,Condition!$D$18,IF(IE25&gt;Condition!$E$19,Condition!$D$19,"")))))</f>
        <v>0</v>
      </c>
      <c r="IF68" s="85">
        <f>IF(IF25&lt;=Condition!$E$16,0,IF(IF25&lt;=Condition!$F$16,Condition!$D$16,IF(IF25&lt;=Condition!$F$17,Condition!$D$17,IF(IF25&lt;=Condition!$F$18,Condition!$D$18,IF(IF25&gt;Condition!$E$19,Condition!$D$19,"")))))</f>
        <v>0</v>
      </c>
      <c r="IG68" s="85">
        <f>IF(IG25&lt;=Condition!$E$16,0,IF(IG25&lt;=Condition!$F$16,Condition!$D$16,IF(IG25&lt;=Condition!$F$17,Condition!$D$17,IF(IG25&lt;=Condition!$F$18,Condition!$D$18,IF(IG25&gt;Condition!$E$19,Condition!$D$19,"")))))</f>
        <v>0</v>
      </c>
      <c r="IH68" s="85">
        <f>IF(IH25&lt;=Condition!$E$16,0,IF(IH25&lt;=Condition!$F$16,Condition!$D$16,IF(IH25&lt;=Condition!$F$17,Condition!$D$17,IF(IH25&lt;=Condition!$F$18,Condition!$D$18,IF(IH25&gt;Condition!$E$19,Condition!$D$19,"")))))</f>
        <v>0</v>
      </c>
      <c r="II68" s="85">
        <f>IF(II25&lt;=Condition!$E$16,0,IF(II25&lt;=Condition!$F$16,Condition!$D$16,IF(II25&lt;=Condition!$F$17,Condition!$D$17,IF(II25&lt;=Condition!$F$18,Condition!$D$18,IF(II25&gt;Condition!$E$19,Condition!$D$19,"")))))</f>
        <v>0</v>
      </c>
      <c r="IJ68" s="85">
        <f>IF(IJ25&lt;=Condition!$E$16,0,IF(IJ25&lt;=Condition!$F$16,Condition!$D$16,IF(IJ25&lt;=Condition!$F$17,Condition!$D$17,IF(IJ25&lt;=Condition!$F$18,Condition!$D$18,IF(IJ25&gt;Condition!$E$19,Condition!$D$19,"")))))</f>
        <v>0</v>
      </c>
      <c r="IK68" s="85">
        <f>IF(IK25&lt;=Condition!$E$16,0,IF(IK25&lt;=Condition!$F$16,Condition!$D$16,IF(IK25&lt;=Condition!$F$17,Condition!$D$17,IF(IK25&lt;=Condition!$F$18,Condition!$D$18,IF(IK25&gt;Condition!$E$19,Condition!$D$19,"")))))</f>
        <v>0</v>
      </c>
      <c r="IL68" s="85">
        <f>IF(IL25&lt;=Condition!$E$16,0,IF(IL25&lt;=Condition!$F$16,Condition!$D$16,IF(IL25&lt;=Condition!$F$17,Condition!$D$17,IF(IL25&lt;=Condition!$F$18,Condition!$D$18,IF(IL25&gt;Condition!$E$19,Condition!$D$19,"")))))</f>
        <v>0</v>
      </c>
      <c r="IM68" s="85">
        <f>IF(IM25&lt;=Condition!$E$16,0,IF(IM25&lt;=Condition!$F$16,Condition!$D$16,IF(IM25&lt;=Condition!$F$17,Condition!$D$17,IF(IM25&lt;=Condition!$F$18,Condition!$D$18,IF(IM25&gt;Condition!$E$19,Condition!$D$19,"")))))</f>
        <v>0</v>
      </c>
      <c r="IN68" s="85">
        <f>IF(IN25&lt;=Condition!$E$16,0,IF(IN25&lt;=Condition!$F$16,Condition!$D$16,IF(IN25&lt;=Condition!$F$17,Condition!$D$17,IF(IN25&lt;=Condition!$F$18,Condition!$D$18,IF(IN25&gt;Condition!$E$19,Condition!$D$19,"")))))</f>
        <v>0</v>
      </c>
      <c r="IO68" s="85">
        <f>IF(IO25&lt;=Condition!$E$16,0,IF(IO25&lt;=Condition!$F$16,Condition!$D$16,IF(IO25&lt;=Condition!$F$17,Condition!$D$17,IF(IO25&lt;=Condition!$F$18,Condition!$D$18,IF(IO25&gt;Condition!$E$19,Condition!$D$19,"")))))</f>
        <v>0</v>
      </c>
      <c r="IP68" s="85">
        <f>IF(IP25&lt;=Condition!$E$16,0,IF(IP25&lt;=Condition!$F$16,Condition!$D$16,IF(IP25&lt;=Condition!$F$17,Condition!$D$17,IF(IP25&lt;=Condition!$F$18,Condition!$D$18,IF(IP25&gt;Condition!$E$19,Condition!$D$19,"")))))</f>
        <v>0</v>
      </c>
      <c r="IQ68" s="85">
        <f>IF(IQ25&lt;=Condition!$E$16,0,IF(IQ25&lt;=Condition!$F$16,Condition!$D$16,IF(IQ25&lt;=Condition!$F$17,Condition!$D$17,IF(IQ25&lt;=Condition!$F$18,Condition!$D$18,IF(IQ25&gt;Condition!$E$19,Condition!$D$19,"")))))</f>
        <v>0</v>
      </c>
      <c r="IR68" s="85">
        <f>IF(IR25&lt;=Condition!$E$16,0,IF(IR25&lt;=Condition!$F$16,Condition!$D$16,IF(IR25&lt;=Condition!$F$17,Condition!$D$17,IF(IR25&lt;=Condition!$F$18,Condition!$D$18,IF(IR25&gt;Condition!$E$19,Condition!$D$19,"")))))</f>
        <v>0</v>
      </c>
      <c r="IS68" s="85">
        <f>IF(IS25&lt;=Condition!$E$16,0,IF(IS25&lt;=Condition!$F$16,Condition!$D$16,IF(IS25&lt;=Condition!$F$17,Condition!$D$17,IF(IS25&lt;=Condition!$F$18,Condition!$D$18,IF(IS25&gt;Condition!$E$19,Condition!$D$19,"")))))</f>
        <v>0</v>
      </c>
      <c r="IT68" s="85">
        <f>IF(IT25&lt;=Condition!$E$16,0,IF(IT25&lt;=Condition!$F$16,Condition!$D$16,IF(IT25&lt;=Condition!$F$17,Condition!$D$17,IF(IT25&lt;=Condition!$F$18,Condition!$D$18,IF(IT25&gt;Condition!$E$19,Condition!$D$19,"")))))</f>
        <v>0</v>
      </c>
      <c r="IU68" s="85">
        <f>IF(IU25&lt;=Condition!$E$16,0,IF(IU25&lt;=Condition!$F$16,Condition!$D$16,IF(IU25&lt;=Condition!$F$17,Condition!$D$17,IF(IU25&lt;=Condition!$F$18,Condition!$D$18,IF(IU25&gt;Condition!$E$19,Condition!$D$19,"")))))</f>
        <v>0</v>
      </c>
      <c r="IV68" s="85">
        <f>IF(IV25&lt;=Condition!$E$16,0,IF(IV25&lt;=Condition!$F$16,Condition!$D$16,IF(IV25&lt;=Condition!$F$17,Condition!$D$17,IF(IV25&lt;=Condition!$F$18,Condition!$D$18,IF(IV25&gt;Condition!$E$19,Condition!$D$19,"")))))</f>
        <v>0</v>
      </c>
      <c r="IW68" s="85">
        <f>IF(IW25&lt;=Condition!$E$16,0,IF(IW25&lt;=Condition!$F$16,Condition!$D$16,IF(IW25&lt;=Condition!$F$17,Condition!$D$17,IF(IW25&lt;=Condition!$F$18,Condition!$D$18,IF(IW25&gt;Condition!$E$19,Condition!$D$19,"")))))</f>
        <v>0</v>
      </c>
      <c r="IX68" s="85">
        <f>IF(IX25&lt;=Condition!$E$16,0,IF(IX25&lt;=Condition!$F$16,Condition!$D$16,IF(IX25&lt;=Condition!$F$17,Condition!$D$17,IF(IX25&lt;=Condition!$F$18,Condition!$D$18,IF(IX25&gt;Condition!$E$19,Condition!$D$19,"")))))</f>
        <v>0</v>
      </c>
      <c r="IY68" s="85">
        <f>IF(IY25&lt;=Condition!$E$16,0,IF(IY25&lt;=Condition!$F$16,Condition!$D$16,IF(IY25&lt;=Condition!$F$17,Condition!$D$17,IF(IY25&lt;=Condition!$F$18,Condition!$D$18,IF(IY25&gt;Condition!$E$19,Condition!$D$19,"")))))</f>
        <v>0</v>
      </c>
      <c r="IZ68" s="85">
        <f>IF(IZ25&lt;=Condition!$E$16,0,IF(IZ25&lt;=Condition!$F$16,Condition!$D$16,IF(IZ25&lt;=Condition!$F$17,Condition!$D$17,IF(IZ25&lt;=Condition!$F$18,Condition!$D$18,IF(IZ25&gt;Condition!$E$19,Condition!$D$19,"")))))</f>
        <v>0</v>
      </c>
      <c r="JA68" s="85">
        <f>IF(JA25&lt;=Condition!$E$16,0,IF(JA25&lt;=Condition!$F$16,Condition!$D$16,IF(JA25&lt;=Condition!$F$17,Condition!$D$17,IF(JA25&lt;=Condition!$F$18,Condition!$D$18,IF(JA25&gt;Condition!$E$19,Condition!$D$19,"")))))</f>
        <v>0</v>
      </c>
      <c r="JB68" s="85">
        <f>IF(JB25&lt;=Condition!$E$16,0,IF(JB25&lt;=Condition!$F$16,Condition!$D$16,IF(JB25&lt;=Condition!$F$17,Condition!$D$17,IF(JB25&lt;=Condition!$F$18,Condition!$D$18,IF(JB25&gt;Condition!$E$19,Condition!$D$19,"")))))</f>
        <v>0</v>
      </c>
      <c r="JC68" s="85">
        <f>IF(JC25&lt;=Condition!$E$16,0,IF(JC25&lt;=Condition!$F$16,Condition!$D$16,IF(JC25&lt;=Condition!$F$17,Condition!$D$17,IF(JC25&lt;=Condition!$F$18,Condition!$D$18,IF(JC25&gt;Condition!$E$19,Condition!$D$19,"")))))</f>
        <v>0</v>
      </c>
      <c r="JD68" s="85">
        <f>IF(JD25&lt;=Condition!$E$16,0,IF(JD25&lt;=Condition!$F$16,Condition!$D$16,IF(JD25&lt;=Condition!$F$17,Condition!$D$17,IF(JD25&lt;=Condition!$F$18,Condition!$D$18,IF(JD25&gt;Condition!$E$19,Condition!$D$19,"")))))</f>
        <v>0</v>
      </c>
      <c r="JE68" s="85">
        <f>IF(JE25&lt;=Condition!$E$16,0,IF(JE25&lt;=Condition!$F$16,Condition!$D$16,IF(JE25&lt;=Condition!$F$17,Condition!$D$17,IF(JE25&lt;=Condition!$F$18,Condition!$D$18,IF(JE25&gt;Condition!$E$19,Condition!$D$19,"")))))</f>
        <v>0</v>
      </c>
      <c r="JF68" s="85">
        <f>IF(JF25&lt;=Condition!$E$16,0,IF(JF25&lt;=Condition!$F$16,Condition!$D$16,IF(JF25&lt;=Condition!$F$17,Condition!$D$17,IF(JF25&lt;=Condition!$F$18,Condition!$D$18,IF(JF25&gt;Condition!$E$19,Condition!$D$19,"")))))</f>
        <v>0</v>
      </c>
      <c r="JG68" s="85">
        <f>IF(JG25&lt;=Condition!$E$16,0,IF(JG25&lt;=Condition!$F$16,Condition!$D$16,IF(JG25&lt;=Condition!$F$17,Condition!$D$17,IF(JG25&lt;=Condition!$F$18,Condition!$D$18,IF(JG25&gt;Condition!$E$19,Condition!$D$19,"")))))</f>
        <v>0</v>
      </c>
      <c r="JH68" s="85">
        <f>IF(JH25&lt;=Condition!$E$16,0,IF(JH25&lt;=Condition!$F$16,Condition!$D$16,IF(JH25&lt;=Condition!$F$17,Condition!$D$17,IF(JH25&lt;=Condition!$F$18,Condition!$D$18,IF(JH25&gt;Condition!$E$19,Condition!$D$19,"")))))</f>
        <v>0</v>
      </c>
      <c r="JI68" s="85">
        <f>IF(JI25&lt;=Condition!$E$16,0,IF(JI25&lt;=Condition!$F$16,Condition!$D$16,IF(JI25&lt;=Condition!$F$17,Condition!$D$17,IF(JI25&lt;=Condition!$F$18,Condition!$D$18,IF(JI25&gt;Condition!$E$19,Condition!$D$19,"")))))</f>
        <v>0</v>
      </c>
      <c r="JJ68" s="85">
        <f>IF(JJ25&lt;=Condition!$E$16,0,IF(JJ25&lt;=Condition!$F$16,Condition!$D$16,IF(JJ25&lt;=Condition!$F$17,Condition!$D$17,IF(JJ25&lt;=Condition!$F$18,Condition!$D$18,IF(JJ25&gt;Condition!$E$19,Condition!$D$19,"")))))</f>
        <v>0</v>
      </c>
      <c r="JK68" s="85">
        <f>IF(JK25&lt;=Condition!$E$16,0,IF(JK25&lt;=Condition!$F$16,Condition!$D$16,IF(JK25&lt;=Condition!$F$17,Condition!$D$17,IF(JK25&lt;=Condition!$F$18,Condition!$D$18,IF(JK25&gt;Condition!$E$19,Condition!$D$19,"")))))</f>
        <v>0</v>
      </c>
      <c r="JL68" s="85">
        <f>IF(JL25&lt;=Condition!$E$16,0,IF(JL25&lt;=Condition!$F$16,Condition!$D$16,IF(JL25&lt;=Condition!$F$17,Condition!$D$17,IF(JL25&lt;=Condition!$F$18,Condition!$D$18,IF(JL25&gt;Condition!$E$19,Condition!$D$19,"")))))</f>
        <v>0</v>
      </c>
      <c r="JM68" s="85">
        <f>IF(JM25&lt;=Condition!$E$16,0,IF(JM25&lt;=Condition!$F$16,Condition!$D$16,IF(JM25&lt;=Condition!$F$17,Condition!$D$17,IF(JM25&lt;=Condition!$F$18,Condition!$D$18,IF(JM25&gt;Condition!$E$19,Condition!$D$19,"")))))</f>
        <v>0</v>
      </c>
      <c r="JN68" s="85">
        <f>IF(JN25&lt;=Condition!$E$16,0,IF(JN25&lt;=Condition!$F$16,Condition!$D$16,IF(JN25&lt;=Condition!$F$17,Condition!$D$17,IF(JN25&lt;=Condition!$F$18,Condition!$D$18,IF(JN25&gt;Condition!$E$19,Condition!$D$19,"")))))</f>
        <v>0</v>
      </c>
      <c r="JO68" s="85">
        <f>IF(JO25&lt;=Condition!$E$16,0,IF(JO25&lt;=Condition!$F$16,Condition!$D$16,IF(JO25&lt;=Condition!$F$17,Condition!$D$17,IF(JO25&lt;=Condition!$F$18,Condition!$D$18,IF(JO25&gt;Condition!$E$19,Condition!$D$19,"")))))</f>
        <v>0</v>
      </c>
      <c r="JP68" s="85">
        <f>IF(JP25&lt;=Condition!$E$16,0,IF(JP25&lt;=Condition!$F$16,Condition!$D$16,IF(JP25&lt;=Condition!$F$17,Condition!$D$17,IF(JP25&lt;=Condition!$F$18,Condition!$D$18,IF(JP25&gt;Condition!$E$19,Condition!$D$19,"")))))</f>
        <v>0</v>
      </c>
      <c r="JQ68" s="85">
        <f>IF(JQ25&lt;=Condition!$E$16,0,IF(JQ25&lt;=Condition!$F$16,Condition!$D$16,IF(JQ25&lt;=Condition!$F$17,Condition!$D$17,IF(JQ25&lt;=Condition!$F$18,Condition!$D$18,IF(JQ25&gt;Condition!$E$19,Condition!$D$19,"")))))</f>
        <v>0</v>
      </c>
      <c r="JR68" s="85">
        <f>IF(JR25&lt;=Condition!$E$16,0,IF(JR25&lt;=Condition!$F$16,Condition!$D$16,IF(JR25&lt;=Condition!$F$17,Condition!$D$17,IF(JR25&lt;=Condition!$F$18,Condition!$D$18,IF(JR25&gt;Condition!$E$19,Condition!$D$19,"")))))</f>
        <v>0</v>
      </c>
      <c r="JS68" s="85">
        <f>IF(JS25&lt;=Condition!$E$16,0,IF(JS25&lt;=Condition!$F$16,Condition!$D$16,IF(JS25&lt;=Condition!$F$17,Condition!$D$17,IF(JS25&lt;=Condition!$F$18,Condition!$D$18,IF(JS25&gt;Condition!$E$19,Condition!$D$19,"")))))</f>
        <v>0</v>
      </c>
      <c r="JT68" s="85">
        <f>IF(JT25&lt;=Condition!$E$16,0,IF(JT25&lt;=Condition!$F$16,Condition!$D$16,IF(JT25&lt;=Condition!$F$17,Condition!$D$17,IF(JT25&lt;=Condition!$F$18,Condition!$D$18,IF(JT25&gt;Condition!$E$19,Condition!$D$19,"")))))</f>
        <v>0</v>
      </c>
      <c r="JU68" s="85">
        <f>IF(JU25&lt;=Condition!$E$16,0,IF(JU25&lt;=Condition!$F$16,Condition!$D$16,IF(JU25&lt;=Condition!$F$17,Condition!$D$17,IF(JU25&lt;=Condition!$F$18,Condition!$D$18,IF(JU25&gt;Condition!$E$19,Condition!$D$19,"")))))</f>
        <v>0</v>
      </c>
      <c r="JV68" s="85">
        <f>IF(JV25&lt;=Condition!$E$16,0,IF(JV25&lt;=Condition!$F$16,Condition!$D$16,IF(JV25&lt;=Condition!$F$17,Condition!$D$17,IF(JV25&lt;=Condition!$F$18,Condition!$D$18,IF(JV25&gt;Condition!$E$19,Condition!$D$19,"")))))</f>
        <v>0</v>
      </c>
      <c r="JW68" s="85">
        <f>IF(JW25&lt;=Condition!$E$16,0,IF(JW25&lt;=Condition!$F$16,Condition!$D$16,IF(JW25&lt;=Condition!$F$17,Condition!$D$17,IF(JW25&lt;=Condition!$F$18,Condition!$D$18,IF(JW25&gt;Condition!$E$19,Condition!$D$19,"")))))</f>
        <v>0</v>
      </c>
      <c r="JX68" s="85">
        <f>IF(JX25&lt;=Condition!$E$16,0,IF(JX25&lt;=Condition!$F$16,Condition!$D$16,IF(JX25&lt;=Condition!$F$17,Condition!$D$17,IF(JX25&lt;=Condition!$F$18,Condition!$D$18,IF(JX25&gt;Condition!$E$19,Condition!$D$19,"")))))</f>
        <v>0</v>
      </c>
      <c r="JY68" s="85">
        <f>IF(JY25&lt;=Condition!$E$16,0,IF(JY25&lt;=Condition!$F$16,Condition!$D$16,IF(JY25&lt;=Condition!$F$17,Condition!$D$17,IF(JY25&lt;=Condition!$F$18,Condition!$D$18,IF(JY25&gt;Condition!$E$19,Condition!$D$19,"")))))</f>
        <v>0</v>
      </c>
      <c r="JZ68" s="85">
        <f>IF(JZ25&lt;=Condition!$E$16,0,IF(JZ25&lt;=Condition!$F$16,Condition!$D$16,IF(JZ25&lt;=Condition!$F$17,Condition!$D$17,IF(JZ25&lt;=Condition!$F$18,Condition!$D$18,IF(JZ25&gt;Condition!$E$19,Condition!$D$19,"")))))</f>
        <v>0</v>
      </c>
      <c r="KA68" s="85">
        <f>IF(KA25&lt;=Condition!$E$16,0,IF(KA25&lt;=Condition!$F$16,Condition!$D$16,IF(KA25&lt;=Condition!$F$17,Condition!$D$17,IF(KA25&lt;=Condition!$F$18,Condition!$D$18,IF(KA25&gt;Condition!$E$19,Condition!$D$19,"")))))</f>
        <v>0</v>
      </c>
      <c r="KB68" s="85">
        <f>IF(KB25&lt;=Condition!$E$16,0,IF(KB25&lt;=Condition!$F$16,Condition!$D$16,IF(KB25&lt;=Condition!$F$17,Condition!$D$17,IF(KB25&lt;=Condition!$F$18,Condition!$D$18,IF(KB25&gt;Condition!$E$19,Condition!$D$19,"")))))</f>
        <v>0</v>
      </c>
      <c r="KC68" s="85">
        <f>IF(KC25&lt;=Condition!$E$16,0,IF(KC25&lt;=Condition!$F$16,Condition!$D$16,IF(KC25&lt;=Condition!$F$17,Condition!$D$17,IF(KC25&lt;=Condition!$F$18,Condition!$D$18,IF(KC25&gt;Condition!$E$19,Condition!$D$19,"")))))</f>
        <v>0</v>
      </c>
      <c r="KD68" s="85">
        <f>IF(KD25&lt;=Condition!$E$16,0,IF(KD25&lt;=Condition!$F$16,Condition!$D$16,IF(KD25&lt;=Condition!$F$17,Condition!$D$17,IF(KD25&lt;=Condition!$F$18,Condition!$D$18,IF(KD25&gt;Condition!$E$19,Condition!$D$19,"")))))</f>
        <v>0</v>
      </c>
      <c r="KE68" s="85">
        <f>IF(KE25&lt;=Condition!$E$16,0,IF(KE25&lt;=Condition!$F$16,Condition!$D$16,IF(KE25&lt;=Condition!$F$17,Condition!$D$17,IF(KE25&lt;=Condition!$F$18,Condition!$D$18,IF(KE25&gt;Condition!$E$19,Condition!$D$19,"")))))</f>
        <v>0</v>
      </c>
      <c r="KF68" s="85">
        <f>IF(KF25&lt;=Condition!$E$16,0,IF(KF25&lt;=Condition!$F$16,Condition!$D$16,IF(KF25&lt;=Condition!$F$17,Condition!$D$17,IF(KF25&lt;=Condition!$F$18,Condition!$D$18,IF(KF25&gt;Condition!$E$19,Condition!$D$19,"")))))</f>
        <v>0</v>
      </c>
      <c r="KG68" s="85">
        <f>IF(KG25&lt;=Condition!$E$16,0,IF(KG25&lt;=Condition!$F$16,Condition!$D$16,IF(KG25&lt;=Condition!$F$17,Condition!$D$17,IF(KG25&lt;=Condition!$F$18,Condition!$D$18,IF(KG25&gt;Condition!$E$19,Condition!$D$19,"")))))</f>
        <v>0</v>
      </c>
      <c r="KH68" s="85">
        <f>IF(KH25&lt;=Condition!$E$16,0,IF(KH25&lt;=Condition!$F$16,Condition!$D$16,IF(KH25&lt;=Condition!$F$17,Condition!$D$17,IF(KH25&lt;=Condition!$F$18,Condition!$D$18,IF(KH25&gt;Condition!$E$19,Condition!$D$19,"")))))</f>
        <v>0</v>
      </c>
      <c r="KI68" s="85">
        <f>IF(KI25&lt;=Condition!$E$16,0,IF(KI25&lt;=Condition!$F$16,Condition!$D$16,IF(KI25&lt;=Condition!$F$17,Condition!$D$17,IF(KI25&lt;=Condition!$F$18,Condition!$D$18,IF(KI25&gt;Condition!$E$19,Condition!$D$19,"")))))</f>
        <v>0</v>
      </c>
    </row>
    <row r="69" spans="2:295" x14ac:dyDescent="0.25">
      <c r="B69" s="15">
        <f t="shared" ref="B69:E69" si="24">B26</f>
        <v>14</v>
      </c>
      <c r="C69" s="25" t="str">
        <f t="shared" si="24"/>
        <v>DSL-DHK</v>
      </c>
      <c r="D69" s="25" t="str">
        <f t="shared" si="24"/>
        <v xml:space="preserve">Md Jiaur Rahman </v>
      </c>
      <c r="E69" s="26" t="str">
        <f t="shared" si="24"/>
        <v>0522</v>
      </c>
      <c r="F69" s="112">
        <f t="shared" si="4"/>
        <v>0</v>
      </c>
      <c r="G69" s="112">
        <f t="shared" si="5"/>
        <v>0</v>
      </c>
      <c r="H69" s="85">
        <f>IF(H26&lt;=Condition!$E$16,0,IF(H26&lt;=Condition!$F$16,Condition!$D$16,IF(H26&lt;=Condition!$F$17,Condition!$D$17,IF(H26&lt;=Condition!$F$18,Condition!$D$18,IF(H26&gt;Condition!$E$19,Condition!$D$19,"")))))</f>
        <v>0</v>
      </c>
      <c r="I69" s="85">
        <f>IF(I26&lt;=Condition!$E$16,0,IF(I26&lt;=Condition!$F$16,Condition!$D$16,IF(I26&lt;=Condition!$F$17,Condition!$D$17,IF(I26&lt;=Condition!$F$18,Condition!$D$18,IF(I26&gt;Condition!$E$19,Condition!$D$19,"")))))</f>
        <v>0</v>
      </c>
      <c r="J69" s="85">
        <f>IF(J26&lt;=Condition!$E$16,0,IF(J26&lt;=Condition!$F$16,Condition!$D$16,IF(J26&lt;=Condition!$F$17,Condition!$D$17,IF(J26&lt;=Condition!$F$18,Condition!$D$18,IF(J26&gt;Condition!$E$19,Condition!$D$19,"")))))</f>
        <v>0</v>
      </c>
      <c r="K69" s="85">
        <f>IF(K26&lt;=Condition!$E$16,0,IF(K26&lt;=Condition!$F$16,Condition!$D$16,IF(K26&lt;=Condition!$F$17,Condition!$D$17,IF(K26&lt;=Condition!$F$18,Condition!$D$18,IF(K26&gt;Condition!$E$19,Condition!$D$19,"")))))</f>
        <v>0</v>
      </c>
      <c r="L69" s="85">
        <f>IF(L26&lt;=Condition!$E$16,0,IF(L26&lt;=Condition!$F$16,Condition!$D$16,IF(L26&lt;=Condition!$F$17,Condition!$D$17,IF(L26&lt;=Condition!$F$18,Condition!$D$18,IF(L26&gt;Condition!$E$19,Condition!$D$19,"")))))</f>
        <v>0</v>
      </c>
      <c r="M69" s="85">
        <f>IF(M26&lt;=Condition!$E$16,0,IF(M26&lt;=Condition!$F$16,Condition!$D$16,IF(M26&lt;=Condition!$F$17,Condition!$D$17,IF(M26&lt;=Condition!$F$18,Condition!$D$18,IF(M26&gt;Condition!$E$19,Condition!$D$19,"")))))</f>
        <v>0</v>
      </c>
      <c r="N69" s="85">
        <f>IF(N26&lt;=Condition!$E$16,0,IF(N26&lt;=Condition!$F$16,Condition!$D$16,IF(N26&lt;=Condition!$F$17,Condition!$D$17,IF(N26&lt;=Condition!$F$18,Condition!$D$18,IF(N26&gt;Condition!$E$19,Condition!$D$19,"")))))</f>
        <v>0</v>
      </c>
      <c r="O69" s="85">
        <f>IF(O26&lt;=Condition!$E$16,0,IF(O26&lt;=Condition!$F$16,Condition!$D$16,IF(O26&lt;=Condition!$F$17,Condition!$D$17,IF(O26&lt;=Condition!$F$18,Condition!$D$18,IF(O26&gt;Condition!$E$19,Condition!$D$19,"")))))</f>
        <v>0</v>
      </c>
      <c r="P69" s="85">
        <f>IF(P26&lt;=Condition!$E$16,0,IF(P26&lt;=Condition!$F$16,Condition!$D$16,IF(P26&lt;=Condition!$F$17,Condition!$D$17,IF(P26&lt;=Condition!$F$18,Condition!$D$18,IF(P26&gt;Condition!$E$19,Condition!$D$19,"")))))</f>
        <v>0</v>
      </c>
      <c r="Q69" s="85">
        <f>IF(Q26&lt;=Condition!$E$16,0,IF(Q26&lt;=Condition!$F$16,Condition!$D$16,IF(Q26&lt;=Condition!$F$17,Condition!$D$17,IF(Q26&lt;=Condition!$F$18,Condition!$D$18,IF(Q26&gt;Condition!$E$19,Condition!$D$19,"")))))</f>
        <v>0</v>
      </c>
      <c r="R69" s="85">
        <f>IF(R26&lt;=Condition!$E$16,0,IF(R26&lt;=Condition!$F$16,Condition!$D$16,IF(R26&lt;=Condition!$F$17,Condition!$D$17,IF(R26&lt;=Condition!$F$18,Condition!$D$18,IF(R26&gt;Condition!$E$19,Condition!$D$19,"")))))</f>
        <v>0</v>
      </c>
      <c r="S69" s="85">
        <f>IF(S26&lt;=Condition!$E$16,0,IF(S26&lt;=Condition!$F$16,Condition!$D$16,IF(S26&lt;=Condition!$F$17,Condition!$D$17,IF(S26&lt;=Condition!$F$18,Condition!$D$18,IF(S26&gt;Condition!$E$19,Condition!$D$19,"")))))</f>
        <v>0</v>
      </c>
      <c r="T69" s="85">
        <f>IF(T26&lt;=Condition!$E$16,0,IF(T26&lt;=Condition!$F$16,Condition!$D$16,IF(T26&lt;=Condition!$F$17,Condition!$D$17,IF(T26&lt;=Condition!$F$18,Condition!$D$18,IF(T26&gt;Condition!$E$19,Condition!$D$19,"")))))</f>
        <v>0</v>
      </c>
      <c r="U69" s="85">
        <f>IF(U26&lt;=Condition!$E$16,0,IF(U26&lt;=Condition!$F$16,Condition!$D$16,IF(U26&lt;=Condition!$F$17,Condition!$D$17,IF(U26&lt;=Condition!$F$18,Condition!$D$18,IF(U26&gt;Condition!$E$19,Condition!$D$19,"")))))</f>
        <v>0</v>
      </c>
      <c r="V69" s="85">
        <f>IF(V26&lt;=Condition!$E$16,0,IF(V26&lt;=Condition!$F$16,Condition!$D$16,IF(V26&lt;=Condition!$F$17,Condition!$D$17,IF(V26&lt;=Condition!$F$18,Condition!$D$18,IF(V26&gt;Condition!$E$19,Condition!$D$19,"")))))</f>
        <v>0</v>
      </c>
      <c r="W69" s="85">
        <f>IF(W26&lt;=Condition!$E$16,0,IF(W26&lt;=Condition!$F$16,Condition!$D$16,IF(W26&lt;=Condition!$F$17,Condition!$D$17,IF(W26&lt;=Condition!$F$18,Condition!$D$18,IF(W26&gt;Condition!$E$19,Condition!$D$19,"")))))</f>
        <v>0</v>
      </c>
      <c r="X69" s="85">
        <f>IF(X26&lt;=Condition!$E$16,0,IF(X26&lt;=Condition!$F$16,Condition!$D$16,IF(X26&lt;=Condition!$F$17,Condition!$D$17,IF(X26&lt;=Condition!$F$18,Condition!$D$18,IF(X26&gt;Condition!$E$19,Condition!$D$19,"")))))</f>
        <v>0</v>
      </c>
      <c r="Y69" s="85">
        <f>IF(Y26&lt;=Condition!$E$16,0,IF(Y26&lt;=Condition!$F$16,Condition!$D$16,IF(Y26&lt;=Condition!$F$17,Condition!$D$17,IF(Y26&lt;=Condition!$F$18,Condition!$D$18,IF(Y26&gt;Condition!$E$19,Condition!$D$19,"")))))</f>
        <v>0</v>
      </c>
      <c r="Z69" s="85">
        <f>IF(Z26&lt;=Condition!$E$16,0,IF(Z26&lt;=Condition!$F$16,Condition!$D$16,IF(Z26&lt;=Condition!$F$17,Condition!$D$17,IF(Z26&lt;=Condition!$F$18,Condition!$D$18,IF(Z26&gt;Condition!$E$19,Condition!$D$19,"")))))</f>
        <v>0</v>
      </c>
      <c r="AA69" s="85">
        <f>IF(AA26&lt;=Condition!$E$16,0,IF(AA26&lt;=Condition!$F$16,Condition!$D$16,IF(AA26&lt;=Condition!$F$17,Condition!$D$17,IF(AA26&lt;=Condition!$F$18,Condition!$D$18,IF(AA26&gt;Condition!$E$19,Condition!$D$19,"")))))</f>
        <v>0</v>
      </c>
      <c r="AB69" s="85">
        <f>IF(AB26&lt;=Condition!$E$16,0,IF(AB26&lt;=Condition!$F$16,Condition!$D$16,IF(AB26&lt;=Condition!$F$17,Condition!$D$17,IF(AB26&lt;=Condition!$F$18,Condition!$D$18,IF(AB26&gt;Condition!$E$19,Condition!$D$19,"")))))</f>
        <v>0</v>
      </c>
      <c r="AC69" s="85">
        <f>IF(AC26&lt;=Condition!$E$16,0,IF(AC26&lt;=Condition!$F$16,Condition!$D$16,IF(AC26&lt;=Condition!$F$17,Condition!$D$17,IF(AC26&lt;=Condition!$F$18,Condition!$D$18,IF(AC26&gt;Condition!$E$19,Condition!$D$19,"")))))</f>
        <v>0</v>
      </c>
      <c r="AD69" s="85">
        <f>IF(AD26&lt;=Condition!$E$16,0,IF(AD26&lt;=Condition!$F$16,Condition!$D$16,IF(AD26&lt;=Condition!$F$17,Condition!$D$17,IF(AD26&lt;=Condition!$F$18,Condition!$D$18,IF(AD26&gt;Condition!$E$19,Condition!$D$19,"")))))</f>
        <v>0</v>
      </c>
      <c r="AE69" s="85">
        <f>IF(AE26&lt;=Condition!$E$16,0,IF(AE26&lt;=Condition!$F$16,Condition!$D$16,IF(AE26&lt;=Condition!$F$17,Condition!$D$17,IF(AE26&lt;=Condition!$F$18,Condition!$D$18,IF(AE26&gt;Condition!$E$19,Condition!$D$19,"")))))</f>
        <v>0</v>
      </c>
      <c r="AF69" s="85">
        <f>IF(AF26&lt;=Condition!$E$16,0,IF(AF26&lt;=Condition!$F$16,Condition!$D$16,IF(AF26&lt;=Condition!$F$17,Condition!$D$17,IF(AF26&lt;=Condition!$F$18,Condition!$D$18,IF(AF26&gt;Condition!$E$19,Condition!$D$19,"")))))</f>
        <v>0</v>
      </c>
      <c r="AG69" s="85">
        <f>IF(AG26&lt;=Condition!$E$16,0,IF(AG26&lt;=Condition!$F$16,Condition!$D$16,IF(AG26&lt;=Condition!$F$17,Condition!$D$17,IF(AG26&lt;=Condition!$F$18,Condition!$D$18,IF(AG26&gt;Condition!$E$19,Condition!$D$19,"")))))</f>
        <v>0</v>
      </c>
      <c r="AH69" s="85">
        <f>IF(AH26&lt;=Condition!$E$16,0,IF(AH26&lt;=Condition!$F$16,Condition!$D$16,IF(AH26&lt;=Condition!$F$17,Condition!$D$17,IF(AH26&lt;=Condition!$F$18,Condition!$D$18,IF(AH26&gt;Condition!$E$19,Condition!$D$19,"")))))</f>
        <v>0</v>
      </c>
      <c r="AI69" s="85">
        <f>IF(AI26&lt;=Condition!$E$16,0,IF(AI26&lt;=Condition!$F$16,Condition!$D$16,IF(AI26&lt;=Condition!$F$17,Condition!$D$17,IF(AI26&lt;=Condition!$F$18,Condition!$D$18,IF(AI26&gt;Condition!$E$19,Condition!$D$19,"")))))</f>
        <v>0</v>
      </c>
      <c r="AJ69" s="85">
        <f>IF(AJ26&lt;=Condition!$E$16,0,IF(AJ26&lt;=Condition!$F$16,Condition!$D$16,IF(AJ26&lt;=Condition!$F$17,Condition!$D$17,IF(AJ26&lt;=Condition!$F$18,Condition!$D$18,IF(AJ26&gt;Condition!$E$19,Condition!$D$19,"")))))</f>
        <v>0</v>
      </c>
      <c r="AK69" s="85">
        <f>IF(AK26&lt;=Condition!$E$16,0,IF(AK26&lt;=Condition!$F$16,Condition!$D$16,IF(AK26&lt;=Condition!$F$17,Condition!$D$17,IF(AK26&lt;=Condition!$F$18,Condition!$D$18,IF(AK26&gt;Condition!$E$19,Condition!$D$19,"")))))</f>
        <v>0</v>
      </c>
      <c r="AL69" s="85">
        <f>IF(AL26&lt;=Condition!$E$16,0,IF(AL26&lt;=Condition!$F$16,Condition!$D$16,IF(AL26&lt;=Condition!$F$17,Condition!$D$17,IF(AL26&lt;=Condition!$F$18,Condition!$D$18,IF(AL26&gt;Condition!$E$19,Condition!$D$19,"")))))</f>
        <v>0</v>
      </c>
      <c r="AM69" s="85">
        <f>IF(AM26&lt;=Condition!$E$16,0,IF(AM26&lt;=Condition!$F$16,Condition!$D$16,IF(AM26&lt;=Condition!$F$17,Condition!$D$17,IF(AM26&lt;=Condition!$F$18,Condition!$D$18,IF(AM26&gt;Condition!$E$19,Condition!$D$19,"")))))</f>
        <v>0</v>
      </c>
      <c r="AN69" s="85">
        <f>IF(AN26&lt;=Condition!$E$16,0,IF(AN26&lt;=Condition!$F$16,Condition!$D$16,IF(AN26&lt;=Condition!$F$17,Condition!$D$17,IF(AN26&lt;=Condition!$F$18,Condition!$D$18,IF(AN26&gt;Condition!$E$19,Condition!$D$19,"")))))</f>
        <v>0</v>
      </c>
      <c r="AO69" s="85">
        <f>IF(AO26&lt;=Condition!$E$16,0,IF(AO26&lt;=Condition!$F$16,Condition!$D$16,IF(AO26&lt;=Condition!$F$17,Condition!$D$17,IF(AO26&lt;=Condition!$F$18,Condition!$D$18,IF(AO26&gt;Condition!$E$19,Condition!$D$19,"")))))</f>
        <v>0</v>
      </c>
      <c r="AP69" s="85">
        <f>IF(AP26&lt;=Condition!$E$16,0,IF(AP26&lt;=Condition!$F$16,Condition!$D$16,IF(AP26&lt;=Condition!$F$17,Condition!$D$17,IF(AP26&lt;=Condition!$F$18,Condition!$D$18,IF(AP26&gt;Condition!$E$19,Condition!$D$19,"")))))</f>
        <v>0</v>
      </c>
      <c r="AQ69" s="85">
        <f>IF(AQ26&lt;=Condition!$E$16,0,IF(AQ26&lt;=Condition!$F$16,Condition!$D$16,IF(AQ26&lt;=Condition!$F$17,Condition!$D$17,IF(AQ26&lt;=Condition!$F$18,Condition!$D$18,IF(AQ26&gt;Condition!$E$19,Condition!$D$19,"")))))</f>
        <v>0</v>
      </c>
      <c r="AR69" s="85">
        <f>IF(AR26&lt;=Condition!$E$16,0,IF(AR26&lt;=Condition!$F$16,Condition!$D$16,IF(AR26&lt;=Condition!$F$17,Condition!$D$17,IF(AR26&lt;=Condition!$F$18,Condition!$D$18,IF(AR26&gt;Condition!$E$19,Condition!$D$19,"")))))</f>
        <v>0</v>
      </c>
      <c r="AS69" s="85">
        <f>IF(AS26&lt;=Condition!$E$16,0,IF(AS26&lt;=Condition!$F$16,Condition!$D$16,IF(AS26&lt;=Condition!$F$17,Condition!$D$17,IF(AS26&lt;=Condition!$F$18,Condition!$D$18,IF(AS26&gt;Condition!$E$19,Condition!$D$19,"")))))</f>
        <v>0</v>
      </c>
      <c r="AT69" s="85">
        <f>IF(AT26&lt;=Condition!$E$16,0,IF(AT26&lt;=Condition!$F$16,Condition!$D$16,IF(AT26&lt;=Condition!$F$17,Condition!$D$17,IF(AT26&lt;=Condition!$F$18,Condition!$D$18,IF(AT26&gt;Condition!$E$19,Condition!$D$19,"")))))</f>
        <v>0</v>
      </c>
      <c r="AU69" s="85">
        <f>IF(AU26&lt;=Condition!$E$16,0,IF(AU26&lt;=Condition!$F$16,Condition!$D$16,IF(AU26&lt;=Condition!$F$17,Condition!$D$17,IF(AU26&lt;=Condition!$F$18,Condition!$D$18,IF(AU26&gt;Condition!$E$19,Condition!$D$19,"")))))</f>
        <v>0</v>
      </c>
      <c r="AV69" s="85">
        <f>IF(AV26&lt;=Condition!$E$16,0,IF(AV26&lt;=Condition!$F$16,Condition!$D$16,IF(AV26&lt;=Condition!$F$17,Condition!$D$17,IF(AV26&lt;=Condition!$F$18,Condition!$D$18,IF(AV26&gt;Condition!$E$19,Condition!$D$19,"")))))</f>
        <v>0</v>
      </c>
      <c r="AW69" s="85">
        <f>IF(AW26&lt;=Condition!$E$16,0,IF(AW26&lt;=Condition!$F$16,Condition!$D$16,IF(AW26&lt;=Condition!$F$17,Condition!$D$17,IF(AW26&lt;=Condition!$F$18,Condition!$D$18,IF(AW26&gt;Condition!$E$19,Condition!$D$19,"")))))</f>
        <v>0</v>
      </c>
      <c r="AX69" s="85">
        <f>IF(AX26&lt;=Condition!$E$16,0,IF(AX26&lt;=Condition!$F$16,Condition!$D$16,IF(AX26&lt;=Condition!$F$17,Condition!$D$17,IF(AX26&lt;=Condition!$F$18,Condition!$D$18,IF(AX26&gt;Condition!$E$19,Condition!$D$19,"")))))</f>
        <v>0</v>
      </c>
      <c r="AY69" s="85">
        <f>IF(AY26&lt;=Condition!$E$16,0,IF(AY26&lt;=Condition!$F$16,Condition!$D$16,IF(AY26&lt;=Condition!$F$17,Condition!$D$17,IF(AY26&lt;=Condition!$F$18,Condition!$D$18,IF(AY26&gt;Condition!$E$19,Condition!$D$19,"")))))</f>
        <v>0</v>
      </c>
      <c r="AZ69" s="85">
        <f>IF(AZ26&lt;=Condition!$E$16,0,IF(AZ26&lt;=Condition!$F$16,Condition!$D$16,IF(AZ26&lt;=Condition!$F$17,Condition!$D$17,IF(AZ26&lt;=Condition!$F$18,Condition!$D$18,IF(AZ26&gt;Condition!$E$19,Condition!$D$19,"")))))</f>
        <v>0</v>
      </c>
      <c r="BA69" s="85">
        <f>IF(BA26&lt;=Condition!$E$16,0,IF(BA26&lt;=Condition!$F$16,Condition!$D$16,IF(BA26&lt;=Condition!$F$17,Condition!$D$17,IF(BA26&lt;=Condition!$F$18,Condition!$D$18,IF(BA26&gt;Condition!$E$19,Condition!$D$19,"")))))</f>
        <v>0</v>
      </c>
      <c r="BB69" s="85">
        <f>IF(BB26&lt;=Condition!$E$16,0,IF(BB26&lt;=Condition!$F$16,Condition!$D$16,IF(BB26&lt;=Condition!$F$17,Condition!$D$17,IF(BB26&lt;=Condition!$F$18,Condition!$D$18,IF(BB26&gt;Condition!$E$19,Condition!$D$19,"")))))</f>
        <v>0</v>
      </c>
      <c r="BC69" s="85">
        <f>IF(BC26&lt;=Condition!$E$16,0,IF(BC26&lt;=Condition!$F$16,Condition!$D$16,IF(BC26&lt;=Condition!$F$17,Condition!$D$17,IF(BC26&lt;=Condition!$F$18,Condition!$D$18,IF(BC26&gt;Condition!$E$19,Condition!$D$19,"")))))</f>
        <v>0</v>
      </c>
      <c r="BD69" s="85">
        <f>IF(BD26&lt;=Condition!$E$16,0,IF(BD26&lt;=Condition!$F$16,Condition!$D$16,IF(BD26&lt;=Condition!$F$17,Condition!$D$17,IF(BD26&lt;=Condition!$F$18,Condition!$D$18,IF(BD26&gt;Condition!$E$19,Condition!$D$19,"")))))</f>
        <v>0</v>
      </c>
      <c r="BE69" s="85">
        <f>IF(BE26&lt;=Condition!$E$16,0,IF(BE26&lt;=Condition!$F$16,Condition!$D$16,IF(BE26&lt;=Condition!$F$17,Condition!$D$17,IF(BE26&lt;=Condition!$F$18,Condition!$D$18,IF(BE26&gt;Condition!$E$19,Condition!$D$19,"")))))</f>
        <v>0</v>
      </c>
      <c r="BF69" s="85">
        <f>IF(BF26&lt;=Condition!$E$16,0,IF(BF26&lt;=Condition!$F$16,Condition!$D$16,IF(BF26&lt;=Condition!$F$17,Condition!$D$17,IF(BF26&lt;=Condition!$F$18,Condition!$D$18,IF(BF26&gt;Condition!$E$19,Condition!$D$19,"")))))</f>
        <v>0</v>
      </c>
      <c r="BG69" s="85">
        <f>IF(BG26&lt;=Condition!$E$16,0,IF(BG26&lt;=Condition!$F$16,Condition!$D$16,IF(BG26&lt;=Condition!$F$17,Condition!$D$17,IF(BG26&lt;=Condition!$F$18,Condition!$D$18,IF(BG26&gt;Condition!$E$19,Condition!$D$19,"")))))</f>
        <v>0</v>
      </c>
      <c r="BH69" s="85">
        <f>IF(BH26&lt;=Condition!$E$16,0,IF(BH26&lt;=Condition!$F$16,Condition!$D$16,IF(BH26&lt;=Condition!$F$17,Condition!$D$17,IF(BH26&lt;=Condition!$F$18,Condition!$D$18,IF(BH26&gt;Condition!$E$19,Condition!$D$19,"")))))</f>
        <v>0</v>
      </c>
      <c r="BI69" s="85">
        <f>IF(BI26&lt;=Condition!$E$16,0,IF(BI26&lt;=Condition!$F$16,Condition!$D$16,IF(BI26&lt;=Condition!$F$17,Condition!$D$17,IF(BI26&lt;=Condition!$F$18,Condition!$D$18,IF(BI26&gt;Condition!$E$19,Condition!$D$19,"")))))</f>
        <v>0</v>
      </c>
      <c r="BJ69" s="85">
        <f>IF(BJ26&lt;=Condition!$E$16,0,IF(BJ26&lt;=Condition!$F$16,Condition!$D$16,IF(BJ26&lt;=Condition!$F$17,Condition!$D$17,IF(BJ26&lt;=Condition!$F$18,Condition!$D$18,IF(BJ26&gt;Condition!$E$19,Condition!$D$19,"")))))</f>
        <v>0</v>
      </c>
      <c r="BK69" s="85">
        <f>IF(BK26&lt;=Condition!$E$16,0,IF(BK26&lt;=Condition!$F$16,Condition!$D$16,IF(BK26&lt;=Condition!$F$17,Condition!$D$17,IF(BK26&lt;=Condition!$F$18,Condition!$D$18,IF(BK26&gt;Condition!$E$19,Condition!$D$19,"")))))</f>
        <v>0</v>
      </c>
      <c r="BL69" s="85">
        <f>IF(BL26&lt;=Condition!$E$16,0,IF(BL26&lt;=Condition!$F$16,Condition!$D$16,IF(BL26&lt;=Condition!$F$17,Condition!$D$17,IF(BL26&lt;=Condition!$F$18,Condition!$D$18,IF(BL26&gt;Condition!$E$19,Condition!$D$19,"")))))</f>
        <v>0</v>
      </c>
      <c r="BM69" s="85">
        <f>IF(BM26&lt;=Condition!$E$16,0,IF(BM26&lt;=Condition!$F$16,Condition!$D$16,IF(BM26&lt;=Condition!$F$17,Condition!$D$17,IF(BM26&lt;=Condition!$F$18,Condition!$D$18,IF(BM26&gt;Condition!$E$19,Condition!$D$19,"")))))</f>
        <v>0</v>
      </c>
      <c r="BN69" s="85">
        <f>IF(BN26&lt;=Condition!$E$16,0,IF(BN26&lt;=Condition!$F$16,Condition!$D$16,IF(BN26&lt;=Condition!$F$17,Condition!$D$17,IF(BN26&lt;=Condition!$F$18,Condition!$D$18,IF(BN26&gt;Condition!$E$19,Condition!$D$19,"")))))</f>
        <v>0</v>
      </c>
      <c r="BO69" s="85">
        <f>IF(BO26&lt;=Condition!$E$16,0,IF(BO26&lt;=Condition!$F$16,Condition!$D$16,IF(BO26&lt;=Condition!$F$17,Condition!$D$17,IF(BO26&lt;=Condition!$F$18,Condition!$D$18,IF(BO26&gt;Condition!$E$19,Condition!$D$19,"")))))</f>
        <v>0</v>
      </c>
      <c r="BP69" s="85">
        <f>IF(BP26&lt;=Condition!$E$16,0,IF(BP26&lt;=Condition!$F$16,Condition!$D$16,IF(BP26&lt;=Condition!$F$17,Condition!$D$17,IF(BP26&lt;=Condition!$F$18,Condition!$D$18,IF(BP26&gt;Condition!$E$19,Condition!$D$19,"")))))</f>
        <v>0</v>
      </c>
      <c r="BQ69" s="85">
        <f>IF(BQ26&lt;=Condition!$E$16,0,IF(BQ26&lt;=Condition!$F$16,Condition!$D$16,IF(BQ26&lt;=Condition!$F$17,Condition!$D$17,IF(BQ26&lt;=Condition!$F$18,Condition!$D$18,IF(BQ26&gt;Condition!$E$19,Condition!$D$19,"")))))</f>
        <v>0</v>
      </c>
      <c r="BR69" s="85">
        <f>IF(BR26&lt;=Condition!$E$16,0,IF(BR26&lt;=Condition!$F$16,Condition!$D$16,IF(BR26&lt;=Condition!$F$17,Condition!$D$17,IF(BR26&lt;=Condition!$F$18,Condition!$D$18,IF(BR26&gt;Condition!$E$19,Condition!$D$19,"")))))</f>
        <v>0</v>
      </c>
      <c r="BS69" s="85">
        <f>IF(BS26&lt;=Condition!$E$16,0,IF(BS26&lt;=Condition!$F$16,Condition!$D$16,IF(BS26&lt;=Condition!$F$17,Condition!$D$17,IF(BS26&lt;=Condition!$F$18,Condition!$D$18,IF(BS26&gt;Condition!$E$19,Condition!$D$19,"")))))</f>
        <v>0</v>
      </c>
      <c r="BT69" s="85">
        <f>IF(BT26&lt;=Condition!$E$16,0,IF(BT26&lt;=Condition!$F$16,Condition!$D$16,IF(BT26&lt;=Condition!$F$17,Condition!$D$17,IF(BT26&lt;=Condition!$F$18,Condition!$D$18,IF(BT26&gt;Condition!$E$19,Condition!$D$19,"")))))</f>
        <v>0</v>
      </c>
      <c r="BU69" s="85">
        <f>IF(BU26&lt;=Condition!$E$16,0,IF(BU26&lt;=Condition!$F$16,Condition!$D$16,IF(BU26&lt;=Condition!$F$17,Condition!$D$17,IF(BU26&lt;=Condition!$F$18,Condition!$D$18,IF(BU26&gt;Condition!$E$19,Condition!$D$19,"")))))</f>
        <v>0</v>
      </c>
      <c r="BV69" s="85">
        <f>IF(BV26&lt;=Condition!$E$16,0,IF(BV26&lt;=Condition!$F$16,Condition!$D$16,IF(BV26&lt;=Condition!$F$17,Condition!$D$17,IF(BV26&lt;=Condition!$F$18,Condition!$D$18,IF(BV26&gt;Condition!$E$19,Condition!$D$19,"")))))</f>
        <v>0</v>
      </c>
      <c r="BW69" s="85">
        <f>IF(BW26&lt;=Condition!$E$16,0,IF(BW26&lt;=Condition!$F$16,Condition!$D$16,IF(BW26&lt;=Condition!$F$17,Condition!$D$17,IF(BW26&lt;=Condition!$F$18,Condition!$D$18,IF(BW26&gt;Condition!$E$19,Condition!$D$19,"")))))</f>
        <v>0</v>
      </c>
      <c r="BX69" s="85">
        <f>IF(BX26&lt;=Condition!$E$16,0,IF(BX26&lt;=Condition!$F$16,Condition!$D$16,IF(BX26&lt;=Condition!$F$17,Condition!$D$17,IF(BX26&lt;=Condition!$F$18,Condition!$D$18,IF(BX26&gt;Condition!$E$19,Condition!$D$19,"")))))</f>
        <v>0</v>
      </c>
      <c r="BY69" s="85">
        <f>IF(BY26&lt;=Condition!$E$16,0,IF(BY26&lt;=Condition!$F$16,Condition!$D$16,IF(BY26&lt;=Condition!$F$17,Condition!$D$17,IF(BY26&lt;=Condition!$F$18,Condition!$D$18,IF(BY26&gt;Condition!$E$19,Condition!$D$19,"")))))</f>
        <v>0</v>
      </c>
      <c r="BZ69" s="85">
        <f>IF(BZ26&lt;=Condition!$E$16,0,IF(BZ26&lt;=Condition!$F$16,Condition!$D$16,IF(BZ26&lt;=Condition!$F$17,Condition!$D$17,IF(BZ26&lt;=Condition!$F$18,Condition!$D$18,IF(BZ26&gt;Condition!$E$19,Condition!$D$19,"")))))</f>
        <v>0</v>
      </c>
      <c r="CA69" s="85">
        <f>IF(CA26&lt;=Condition!$E$16,0,IF(CA26&lt;=Condition!$F$16,Condition!$D$16,IF(CA26&lt;=Condition!$F$17,Condition!$D$17,IF(CA26&lt;=Condition!$F$18,Condition!$D$18,IF(CA26&gt;Condition!$E$19,Condition!$D$19,"")))))</f>
        <v>0</v>
      </c>
      <c r="CB69" s="85">
        <f>IF(CB26&lt;=Condition!$E$16,0,IF(CB26&lt;=Condition!$F$16,Condition!$D$16,IF(CB26&lt;=Condition!$F$17,Condition!$D$17,IF(CB26&lt;=Condition!$F$18,Condition!$D$18,IF(CB26&gt;Condition!$E$19,Condition!$D$19,"")))))</f>
        <v>0</v>
      </c>
      <c r="CC69" s="85">
        <f>IF(CC26&lt;=Condition!$E$16,0,IF(CC26&lt;=Condition!$F$16,Condition!$D$16,IF(CC26&lt;=Condition!$F$17,Condition!$D$17,IF(CC26&lt;=Condition!$F$18,Condition!$D$18,IF(CC26&gt;Condition!$E$19,Condition!$D$19,"")))))</f>
        <v>0</v>
      </c>
      <c r="CD69" s="85">
        <f>IF(CD26&lt;=Condition!$E$16,0,IF(CD26&lt;=Condition!$F$16,Condition!$D$16,IF(CD26&lt;=Condition!$F$17,Condition!$D$17,IF(CD26&lt;=Condition!$F$18,Condition!$D$18,IF(CD26&gt;Condition!$E$19,Condition!$D$19,"")))))</f>
        <v>0</v>
      </c>
      <c r="CE69" s="85">
        <f>IF(CE26&lt;=Condition!$E$16,0,IF(CE26&lt;=Condition!$F$16,Condition!$D$16,IF(CE26&lt;=Condition!$F$17,Condition!$D$17,IF(CE26&lt;=Condition!$F$18,Condition!$D$18,IF(CE26&gt;Condition!$E$19,Condition!$D$19,"")))))</f>
        <v>0</v>
      </c>
      <c r="CF69" s="85">
        <f>IF(CF26&lt;=Condition!$E$16,0,IF(CF26&lt;=Condition!$F$16,Condition!$D$16,IF(CF26&lt;=Condition!$F$17,Condition!$D$17,IF(CF26&lt;=Condition!$F$18,Condition!$D$18,IF(CF26&gt;Condition!$E$19,Condition!$D$19,"")))))</f>
        <v>0</v>
      </c>
      <c r="CG69" s="85">
        <f>IF(CG26&lt;=Condition!$E$16,0,IF(CG26&lt;=Condition!$F$16,Condition!$D$16,IF(CG26&lt;=Condition!$F$17,Condition!$D$17,IF(CG26&lt;=Condition!$F$18,Condition!$D$18,IF(CG26&gt;Condition!$E$19,Condition!$D$19,"")))))</f>
        <v>0</v>
      </c>
      <c r="CH69" s="85">
        <f>IF(CH26&lt;=Condition!$E$16,0,IF(CH26&lt;=Condition!$F$16,Condition!$D$16,IF(CH26&lt;=Condition!$F$17,Condition!$D$17,IF(CH26&lt;=Condition!$F$18,Condition!$D$18,IF(CH26&gt;Condition!$E$19,Condition!$D$19,"")))))</f>
        <v>0</v>
      </c>
      <c r="CI69" s="85">
        <f>IF(CI26&lt;=Condition!$E$16,0,IF(CI26&lt;=Condition!$F$16,Condition!$D$16,IF(CI26&lt;=Condition!$F$17,Condition!$D$17,IF(CI26&lt;=Condition!$F$18,Condition!$D$18,IF(CI26&gt;Condition!$E$19,Condition!$D$19,"")))))</f>
        <v>0</v>
      </c>
      <c r="CJ69" s="85">
        <f>IF(CJ26&lt;=Condition!$E$16,0,IF(CJ26&lt;=Condition!$F$16,Condition!$D$16,IF(CJ26&lt;=Condition!$F$17,Condition!$D$17,IF(CJ26&lt;=Condition!$F$18,Condition!$D$18,IF(CJ26&gt;Condition!$E$19,Condition!$D$19,"")))))</f>
        <v>0</v>
      </c>
      <c r="CK69" s="85">
        <f>IF(CK26&lt;=Condition!$E$16,0,IF(CK26&lt;=Condition!$F$16,Condition!$D$16,IF(CK26&lt;=Condition!$F$17,Condition!$D$17,IF(CK26&lt;=Condition!$F$18,Condition!$D$18,IF(CK26&gt;Condition!$E$19,Condition!$D$19,"")))))</f>
        <v>0</v>
      </c>
      <c r="CL69" s="85">
        <f>IF(CL26&lt;=Condition!$E$16,0,IF(CL26&lt;=Condition!$F$16,Condition!$D$16,IF(CL26&lt;=Condition!$F$17,Condition!$D$17,IF(CL26&lt;=Condition!$F$18,Condition!$D$18,IF(CL26&gt;Condition!$E$19,Condition!$D$19,"")))))</f>
        <v>0</v>
      </c>
      <c r="CM69" s="85">
        <f>IF(CM26&lt;=Condition!$E$16,0,IF(CM26&lt;=Condition!$F$16,Condition!$D$16,IF(CM26&lt;=Condition!$F$17,Condition!$D$17,IF(CM26&lt;=Condition!$F$18,Condition!$D$18,IF(CM26&gt;Condition!$E$19,Condition!$D$19,"")))))</f>
        <v>0</v>
      </c>
      <c r="CN69" s="85">
        <f>IF(CN26&lt;=Condition!$E$16,0,IF(CN26&lt;=Condition!$F$16,Condition!$D$16,IF(CN26&lt;=Condition!$F$17,Condition!$D$17,IF(CN26&lt;=Condition!$F$18,Condition!$D$18,IF(CN26&gt;Condition!$E$19,Condition!$D$19,"")))))</f>
        <v>0</v>
      </c>
      <c r="CO69" s="85">
        <f>IF(CO26&lt;=Condition!$E$16,0,IF(CO26&lt;=Condition!$F$16,Condition!$D$16,IF(CO26&lt;=Condition!$F$17,Condition!$D$17,IF(CO26&lt;=Condition!$F$18,Condition!$D$18,IF(CO26&gt;Condition!$E$19,Condition!$D$19,"")))))</f>
        <v>0</v>
      </c>
      <c r="CP69" s="85">
        <f>IF(CP26&lt;=Condition!$E$16,0,IF(CP26&lt;=Condition!$F$16,Condition!$D$16,IF(CP26&lt;=Condition!$F$17,Condition!$D$17,IF(CP26&lt;=Condition!$F$18,Condition!$D$18,IF(CP26&gt;Condition!$E$19,Condition!$D$19,"")))))</f>
        <v>0</v>
      </c>
      <c r="CQ69" s="85">
        <f>IF(CQ26&lt;=Condition!$E$16,0,IF(CQ26&lt;=Condition!$F$16,Condition!$D$16,IF(CQ26&lt;=Condition!$F$17,Condition!$D$17,IF(CQ26&lt;=Condition!$F$18,Condition!$D$18,IF(CQ26&gt;Condition!$E$19,Condition!$D$19,"")))))</f>
        <v>0</v>
      </c>
      <c r="CR69" s="85">
        <f>IF(CR26&lt;=Condition!$E$16,0,IF(CR26&lt;=Condition!$F$16,Condition!$D$16,IF(CR26&lt;=Condition!$F$17,Condition!$D$17,IF(CR26&lt;=Condition!$F$18,Condition!$D$18,IF(CR26&gt;Condition!$E$19,Condition!$D$19,"")))))</f>
        <v>0</v>
      </c>
      <c r="CS69" s="85">
        <f>IF(CS26&lt;=Condition!$E$16,0,IF(CS26&lt;=Condition!$F$16,Condition!$D$16,IF(CS26&lt;=Condition!$F$17,Condition!$D$17,IF(CS26&lt;=Condition!$F$18,Condition!$D$18,IF(CS26&gt;Condition!$E$19,Condition!$D$19,"")))))</f>
        <v>0</v>
      </c>
      <c r="CT69" s="85">
        <f>IF(CT26&lt;=Condition!$E$16,0,IF(CT26&lt;=Condition!$F$16,Condition!$D$16,IF(CT26&lt;=Condition!$F$17,Condition!$D$17,IF(CT26&lt;=Condition!$F$18,Condition!$D$18,IF(CT26&gt;Condition!$E$19,Condition!$D$19,"")))))</f>
        <v>0</v>
      </c>
      <c r="CU69" s="85">
        <f>IF(CU26&lt;=Condition!$E$16,0,IF(CU26&lt;=Condition!$F$16,Condition!$D$16,IF(CU26&lt;=Condition!$F$17,Condition!$D$17,IF(CU26&lt;=Condition!$F$18,Condition!$D$18,IF(CU26&gt;Condition!$E$19,Condition!$D$19,"")))))</f>
        <v>0</v>
      </c>
      <c r="CV69" s="85">
        <f>IF(CV26&lt;=Condition!$E$16,0,IF(CV26&lt;=Condition!$F$16,Condition!$D$16,IF(CV26&lt;=Condition!$F$17,Condition!$D$17,IF(CV26&lt;=Condition!$F$18,Condition!$D$18,IF(CV26&gt;Condition!$E$19,Condition!$D$19,"")))))</f>
        <v>0</v>
      </c>
      <c r="CW69" s="85">
        <f>IF(CW26&lt;=Condition!$E$16,0,IF(CW26&lt;=Condition!$F$16,Condition!$D$16,IF(CW26&lt;=Condition!$F$17,Condition!$D$17,IF(CW26&lt;=Condition!$F$18,Condition!$D$18,IF(CW26&gt;Condition!$E$19,Condition!$D$19,"")))))</f>
        <v>0</v>
      </c>
      <c r="CX69" s="85">
        <f>IF(CX26&lt;=Condition!$E$16,0,IF(CX26&lt;=Condition!$F$16,Condition!$D$16,IF(CX26&lt;=Condition!$F$17,Condition!$D$17,IF(CX26&lt;=Condition!$F$18,Condition!$D$18,IF(CX26&gt;Condition!$E$19,Condition!$D$19,"")))))</f>
        <v>0</v>
      </c>
      <c r="CY69" s="85">
        <f>IF(CY26&lt;=Condition!$E$16,0,IF(CY26&lt;=Condition!$F$16,Condition!$D$16,IF(CY26&lt;=Condition!$F$17,Condition!$D$17,IF(CY26&lt;=Condition!$F$18,Condition!$D$18,IF(CY26&gt;Condition!$E$19,Condition!$D$19,"")))))</f>
        <v>0</v>
      </c>
      <c r="CZ69" s="85">
        <f>IF(CZ26&lt;=Condition!$E$16,0,IF(CZ26&lt;=Condition!$F$16,Condition!$D$16,IF(CZ26&lt;=Condition!$F$17,Condition!$D$17,IF(CZ26&lt;=Condition!$F$18,Condition!$D$18,IF(CZ26&gt;Condition!$E$19,Condition!$D$19,"")))))</f>
        <v>0</v>
      </c>
      <c r="DA69" s="85">
        <f>IF(DA26&lt;=Condition!$E$16,0,IF(DA26&lt;=Condition!$F$16,Condition!$D$16,IF(DA26&lt;=Condition!$F$17,Condition!$D$17,IF(DA26&lt;=Condition!$F$18,Condition!$D$18,IF(DA26&gt;Condition!$E$19,Condition!$D$19,"")))))</f>
        <v>0</v>
      </c>
      <c r="DB69" s="85">
        <f>IF(DB26&lt;=Condition!$E$16,0,IF(DB26&lt;=Condition!$F$16,Condition!$D$16,IF(DB26&lt;=Condition!$F$17,Condition!$D$17,IF(DB26&lt;=Condition!$F$18,Condition!$D$18,IF(DB26&gt;Condition!$E$19,Condition!$D$19,"")))))</f>
        <v>0</v>
      </c>
      <c r="DC69" s="85">
        <f>IF(DC26&lt;=Condition!$E$16,0,IF(DC26&lt;=Condition!$F$16,Condition!$D$16,IF(DC26&lt;=Condition!$F$17,Condition!$D$17,IF(DC26&lt;=Condition!$F$18,Condition!$D$18,IF(DC26&gt;Condition!$E$19,Condition!$D$19,"")))))</f>
        <v>0</v>
      </c>
      <c r="DD69" s="85">
        <f>IF(DD26&lt;=Condition!$E$16,0,IF(DD26&lt;=Condition!$F$16,Condition!$D$16,IF(DD26&lt;=Condition!$F$17,Condition!$D$17,IF(DD26&lt;=Condition!$F$18,Condition!$D$18,IF(DD26&gt;Condition!$E$19,Condition!$D$19,"")))))</f>
        <v>0</v>
      </c>
      <c r="DE69" s="85">
        <f>IF(DE26&lt;=Condition!$E$16,0,IF(DE26&lt;=Condition!$F$16,Condition!$D$16,IF(DE26&lt;=Condition!$F$17,Condition!$D$17,IF(DE26&lt;=Condition!$F$18,Condition!$D$18,IF(DE26&gt;Condition!$E$19,Condition!$D$19,"")))))</f>
        <v>0</v>
      </c>
      <c r="DF69" s="85">
        <f>IF(DF26&lt;=Condition!$E$16,0,IF(DF26&lt;=Condition!$F$16,Condition!$D$16,IF(DF26&lt;=Condition!$F$17,Condition!$D$17,IF(DF26&lt;=Condition!$F$18,Condition!$D$18,IF(DF26&gt;Condition!$E$19,Condition!$D$19,"")))))</f>
        <v>0</v>
      </c>
      <c r="DG69" s="85">
        <f>IF(DG26&lt;=Condition!$E$16,0,IF(DG26&lt;=Condition!$F$16,Condition!$D$16,IF(DG26&lt;=Condition!$F$17,Condition!$D$17,IF(DG26&lt;=Condition!$F$18,Condition!$D$18,IF(DG26&gt;Condition!$E$19,Condition!$D$19,"")))))</f>
        <v>0</v>
      </c>
      <c r="DH69" s="85">
        <f>IF(DH26&lt;=Condition!$E$16,0,IF(DH26&lt;=Condition!$F$16,Condition!$D$16,IF(DH26&lt;=Condition!$F$17,Condition!$D$17,IF(DH26&lt;=Condition!$F$18,Condition!$D$18,IF(DH26&gt;Condition!$E$19,Condition!$D$19,"")))))</f>
        <v>0</v>
      </c>
      <c r="DI69" s="85">
        <f>IF(DI26&lt;=Condition!$E$16,0,IF(DI26&lt;=Condition!$F$16,Condition!$D$16,IF(DI26&lt;=Condition!$F$17,Condition!$D$17,IF(DI26&lt;=Condition!$F$18,Condition!$D$18,IF(DI26&gt;Condition!$E$19,Condition!$D$19,"")))))</f>
        <v>0</v>
      </c>
      <c r="DJ69" s="85">
        <f>IF(DJ26&lt;=Condition!$E$16,0,IF(DJ26&lt;=Condition!$F$16,Condition!$D$16,IF(DJ26&lt;=Condition!$F$17,Condition!$D$17,IF(DJ26&lt;=Condition!$F$18,Condition!$D$18,IF(DJ26&gt;Condition!$E$19,Condition!$D$19,"")))))</f>
        <v>0</v>
      </c>
      <c r="DK69" s="85">
        <f>IF(DK26&lt;=Condition!$E$16,0,IF(DK26&lt;=Condition!$F$16,Condition!$D$16,IF(DK26&lt;=Condition!$F$17,Condition!$D$17,IF(DK26&lt;=Condition!$F$18,Condition!$D$18,IF(DK26&gt;Condition!$E$19,Condition!$D$19,"")))))</f>
        <v>0</v>
      </c>
      <c r="DL69" s="85">
        <f>IF(DL26&lt;=Condition!$E$16,0,IF(DL26&lt;=Condition!$F$16,Condition!$D$16,IF(DL26&lt;=Condition!$F$17,Condition!$D$17,IF(DL26&lt;=Condition!$F$18,Condition!$D$18,IF(DL26&gt;Condition!$E$19,Condition!$D$19,"")))))</f>
        <v>0</v>
      </c>
      <c r="DM69" s="85">
        <f>IF(DM26&lt;=Condition!$E$16,0,IF(DM26&lt;=Condition!$F$16,Condition!$D$16,IF(DM26&lt;=Condition!$F$17,Condition!$D$17,IF(DM26&lt;=Condition!$F$18,Condition!$D$18,IF(DM26&gt;Condition!$E$19,Condition!$D$19,"")))))</f>
        <v>0</v>
      </c>
      <c r="DN69" s="85">
        <f>IF(DN26&lt;=Condition!$E$16,0,IF(DN26&lt;=Condition!$F$16,Condition!$D$16,IF(DN26&lt;=Condition!$F$17,Condition!$D$17,IF(DN26&lt;=Condition!$F$18,Condition!$D$18,IF(DN26&gt;Condition!$E$19,Condition!$D$19,"")))))</f>
        <v>0</v>
      </c>
      <c r="DO69" s="85">
        <f>IF(DO26&lt;=Condition!$E$16,0,IF(DO26&lt;=Condition!$F$16,Condition!$D$16,IF(DO26&lt;=Condition!$F$17,Condition!$D$17,IF(DO26&lt;=Condition!$F$18,Condition!$D$18,IF(DO26&gt;Condition!$E$19,Condition!$D$19,"")))))</f>
        <v>0</v>
      </c>
      <c r="DP69" s="85">
        <f>IF(DP26&lt;=Condition!$E$16,0,IF(DP26&lt;=Condition!$F$16,Condition!$D$16,IF(DP26&lt;=Condition!$F$17,Condition!$D$17,IF(DP26&lt;=Condition!$F$18,Condition!$D$18,IF(DP26&gt;Condition!$E$19,Condition!$D$19,"")))))</f>
        <v>0</v>
      </c>
      <c r="DQ69" s="85">
        <f>IF(DQ26&lt;=Condition!$E$16,0,IF(DQ26&lt;=Condition!$F$16,Condition!$D$16,IF(DQ26&lt;=Condition!$F$17,Condition!$D$17,IF(DQ26&lt;=Condition!$F$18,Condition!$D$18,IF(DQ26&gt;Condition!$E$19,Condition!$D$19,"")))))</f>
        <v>0</v>
      </c>
      <c r="DR69" s="85">
        <f>IF(DR26&lt;=Condition!$E$16,0,IF(DR26&lt;=Condition!$F$16,Condition!$D$16,IF(DR26&lt;=Condition!$F$17,Condition!$D$17,IF(DR26&lt;=Condition!$F$18,Condition!$D$18,IF(DR26&gt;Condition!$E$19,Condition!$D$19,"")))))</f>
        <v>0</v>
      </c>
      <c r="DS69" s="85">
        <f>IF(DS26&lt;=Condition!$E$16,0,IF(DS26&lt;=Condition!$F$16,Condition!$D$16,IF(DS26&lt;=Condition!$F$17,Condition!$D$17,IF(DS26&lt;=Condition!$F$18,Condition!$D$18,IF(DS26&gt;Condition!$E$19,Condition!$D$19,"")))))</f>
        <v>0</v>
      </c>
      <c r="DT69" s="85">
        <f>IF(DT26&lt;=Condition!$E$16,0,IF(DT26&lt;=Condition!$F$16,Condition!$D$16,IF(DT26&lt;=Condition!$F$17,Condition!$D$17,IF(DT26&lt;=Condition!$F$18,Condition!$D$18,IF(DT26&gt;Condition!$E$19,Condition!$D$19,"")))))</f>
        <v>0</v>
      </c>
      <c r="DU69" s="85">
        <f>IF(DU26&lt;=Condition!$E$16,0,IF(DU26&lt;=Condition!$F$16,Condition!$D$16,IF(DU26&lt;=Condition!$F$17,Condition!$D$17,IF(DU26&lt;=Condition!$F$18,Condition!$D$18,IF(DU26&gt;Condition!$E$19,Condition!$D$19,"")))))</f>
        <v>0</v>
      </c>
      <c r="DV69" s="85">
        <f>IF(DV26&lt;=Condition!$E$16,0,IF(DV26&lt;=Condition!$F$16,Condition!$D$16,IF(DV26&lt;=Condition!$F$17,Condition!$D$17,IF(DV26&lt;=Condition!$F$18,Condition!$D$18,IF(DV26&gt;Condition!$E$19,Condition!$D$19,"")))))</f>
        <v>0</v>
      </c>
      <c r="DW69" s="85">
        <f>IF(DW26&lt;=Condition!$E$16,0,IF(DW26&lt;=Condition!$F$16,Condition!$D$16,IF(DW26&lt;=Condition!$F$17,Condition!$D$17,IF(DW26&lt;=Condition!$F$18,Condition!$D$18,IF(DW26&gt;Condition!$E$19,Condition!$D$19,"")))))</f>
        <v>0</v>
      </c>
      <c r="DX69" s="85">
        <f>IF(DX26&lt;=Condition!$E$16,0,IF(DX26&lt;=Condition!$F$16,Condition!$D$16,IF(DX26&lt;=Condition!$F$17,Condition!$D$17,IF(DX26&lt;=Condition!$F$18,Condition!$D$18,IF(DX26&gt;Condition!$E$19,Condition!$D$19,"")))))</f>
        <v>0</v>
      </c>
      <c r="DY69" s="85">
        <f>IF(DY26&lt;=Condition!$E$16,0,IF(DY26&lt;=Condition!$F$16,Condition!$D$16,IF(DY26&lt;=Condition!$F$17,Condition!$D$17,IF(DY26&lt;=Condition!$F$18,Condition!$D$18,IF(DY26&gt;Condition!$E$19,Condition!$D$19,"")))))</f>
        <v>0</v>
      </c>
      <c r="DZ69" s="85">
        <f>IF(DZ26&lt;=Condition!$E$16,0,IF(DZ26&lt;=Condition!$F$16,Condition!$D$16,IF(DZ26&lt;=Condition!$F$17,Condition!$D$17,IF(DZ26&lt;=Condition!$F$18,Condition!$D$18,IF(DZ26&gt;Condition!$E$19,Condition!$D$19,"")))))</f>
        <v>0</v>
      </c>
      <c r="EA69" s="85">
        <f>IF(EA26&lt;=Condition!$E$16,0,IF(EA26&lt;=Condition!$F$16,Condition!$D$16,IF(EA26&lt;=Condition!$F$17,Condition!$D$17,IF(EA26&lt;=Condition!$F$18,Condition!$D$18,IF(EA26&gt;Condition!$E$19,Condition!$D$19,"")))))</f>
        <v>0</v>
      </c>
      <c r="EB69" s="85">
        <f>IF(EB26&lt;=Condition!$E$16,0,IF(EB26&lt;=Condition!$F$16,Condition!$D$16,IF(EB26&lt;=Condition!$F$17,Condition!$D$17,IF(EB26&lt;=Condition!$F$18,Condition!$D$18,IF(EB26&gt;Condition!$E$19,Condition!$D$19,"")))))</f>
        <v>0</v>
      </c>
      <c r="EC69" s="85">
        <f>IF(EC26&lt;=Condition!$E$16,0,IF(EC26&lt;=Condition!$F$16,Condition!$D$16,IF(EC26&lt;=Condition!$F$17,Condition!$D$17,IF(EC26&lt;=Condition!$F$18,Condition!$D$18,IF(EC26&gt;Condition!$E$19,Condition!$D$19,"")))))</f>
        <v>0</v>
      </c>
      <c r="ED69" s="85">
        <f>IF(ED26&lt;=Condition!$E$16,0,IF(ED26&lt;=Condition!$F$16,Condition!$D$16,IF(ED26&lt;=Condition!$F$17,Condition!$D$17,IF(ED26&lt;=Condition!$F$18,Condition!$D$18,IF(ED26&gt;Condition!$E$19,Condition!$D$19,"")))))</f>
        <v>0</v>
      </c>
      <c r="EE69" s="85">
        <f>IF(EE26&lt;=Condition!$E$16,0,IF(EE26&lt;=Condition!$F$16,Condition!$D$16,IF(EE26&lt;=Condition!$F$17,Condition!$D$17,IF(EE26&lt;=Condition!$F$18,Condition!$D$18,IF(EE26&gt;Condition!$E$19,Condition!$D$19,"")))))</f>
        <v>0</v>
      </c>
      <c r="EF69" s="85">
        <f>IF(EF26&lt;=Condition!$E$16,0,IF(EF26&lt;=Condition!$F$16,Condition!$D$16,IF(EF26&lt;=Condition!$F$17,Condition!$D$17,IF(EF26&lt;=Condition!$F$18,Condition!$D$18,IF(EF26&gt;Condition!$E$19,Condition!$D$19,"")))))</f>
        <v>0</v>
      </c>
      <c r="EG69" s="85">
        <f>IF(EG26&lt;=Condition!$E$16,0,IF(EG26&lt;=Condition!$F$16,Condition!$D$16,IF(EG26&lt;=Condition!$F$17,Condition!$D$17,IF(EG26&lt;=Condition!$F$18,Condition!$D$18,IF(EG26&gt;Condition!$E$19,Condition!$D$19,"")))))</f>
        <v>0</v>
      </c>
      <c r="EH69" s="85">
        <f>IF(EH26&lt;=Condition!$E$16,0,IF(EH26&lt;=Condition!$F$16,Condition!$D$16,IF(EH26&lt;=Condition!$F$17,Condition!$D$17,IF(EH26&lt;=Condition!$F$18,Condition!$D$18,IF(EH26&gt;Condition!$E$19,Condition!$D$19,"")))))</f>
        <v>0</v>
      </c>
      <c r="EI69" s="85">
        <f>IF(EI26&lt;=Condition!$E$16,0,IF(EI26&lt;=Condition!$F$16,Condition!$D$16,IF(EI26&lt;=Condition!$F$17,Condition!$D$17,IF(EI26&lt;=Condition!$F$18,Condition!$D$18,IF(EI26&gt;Condition!$E$19,Condition!$D$19,"")))))</f>
        <v>0</v>
      </c>
      <c r="EJ69" s="85">
        <f>IF(EJ26&lt;=Condition!$E$16,0,IF(EJ26&lt;=Condition!$F$16,Condition!$D$16,IF(EJ26&lt;=Condition!$F$17,Condition!$D$17,IF(EJ26&lt;=Condition!$F$18,Condition!$D$18,IF(EJ26&gt;Condition!$E$19,Condition!$D$19,"")))))</f>
        <v>0</v>
      </c>
      <c r="EK69" s="85">
        <f>IF(EK26&lt;=Condition!$E$16,0,IF(EK26&lt;=Condition!$F$16,Condition!$D$16,IF(EK26&lt;=Condition!$F$17,Condition!$D$17,IF(EK26&lt;=Condition!$F$18,Condition!$D$18,IF(EK26&gt;Condition!$E$19,Condition!$D$19,"")))))</f>
        <v>0</v>
      </c>
      <c r="EL69" s="85">
        <f>IF(EL26&lt;=Condition!$E$16,0,IF(EL26&lt;=Condition!$F$16,Condition!$D$16,IF(EL26&lt;=Condition!$F$17,Condition!$D$17,IF(EL26&lt;=Condition!$F$18,Condition!$D$18,IF(EL26&gt;Condition!$E$19,Condition!$D$19,"")))))</f>
        <v>0</v>
      </c>
      <c r="EM69" s="85">
        <f>IF(EM26&lt;=Condition!$E$16,0,IF(EM26&lt;=Condition!$F$16,Condition!$D$16,IF(EM26&lt;=Condition!$F$17,Condition!$D$17,IF(EM26&lt;=Condition!$F$18,Condition!$D$18,IF(EM26&gt;Condition!$E$19,Condition!$D$19,"")))))</f>
        <v>0</v>
      </c>
      <c r="EN69" s="85">
        <f>IF(EN26&lt;=Condition!$E$16,0,IF(EN26&lt;=Condition!$F$16,Condition!$D$16,IF(EN26&lt;=Condition!$F$17,Condition!$D$17,IF(EN26&lt;=Condition!$F$18,Condition!$D$18,IF(EN26&gt;Condition!$E$19,Condition!$D$19,"")))))</f>
        <v>0</v>
      </c>
      <c r="EO69" s="85">
        <f>IF(EO26&lt;=Condition!$E$16,0,IF(EO26&lt;=Condition!$F$16,Condition!$D$16,IF(EO26&lt;=Condition!$F$17,Condition!$D$17,IF(EO26&lt;=Condition!$F$18,Condition!$D$18,IF(EO26&gt;Condition!$E$19,Condition!$D$19,"")))))</f>
        <v>0</v>
      </c>
      <c r="EP69" s="85">
        <f>IF(EP26&lt;=Condition!$E$16,0,IF(EP26&lt;=Condition!$F$16,Condition!$D$16,IF(EP26&lt;=Condition!$F$17,Condition!$D$17,IF(EP26&lt;=Condition!$F$18,Condition!$D$18,IF(EP26&gt;Condition!$E$19,Condition!$D$19,"")))))</f>
        <v>0</v>
      </c>
      <c r="EQ69" s="85">
        <f>IF(EQ26&lt;=Condition!$E$16,0,IF(EQ26&lt;=Condition!$F$16,Condition!$D$16,IF(EQ26&lt;=Condition!$F$17,Condition!$D$17,IF(EQ26&lt;=Condition!$F$18,Condition!$D$18,IF(EQ26&gt;Condition!$E$19,Condition!$D$19,"")))))</f>
        <v>0</v>
      </c>
      <c r="ER69" s="85">
        <f>IF(ER26&lt;=Condition!$E$16,0,IF(ER26&lt;=Condition!$F$16,Condition!$D$16,IF(ER26&lt;=Condition!$F$17,Condition!$D$17,IF(ER26&lt;=Condition!$F$18,Condition!$D$18,IF(ER26&gt;Condition!$E$19,Condition!$D$19,"")))))</f>
        <v>0</v>
      </c>
      <c r="ES69" s="85">
        <f>IF(ES26&lt;=Condition!$E$16,0,IF(ES26&lt;=Condition!$F$16,Condition!$D$16,IF(ES26&lt;=Condition!$F$17,Condition!$D$17,IF(ES26&lt;=Condition!$F$18,Condition!$D$18,IF(ES26&gt;Condition!$E$19,Condition!$D$19,"")))))</f>
        <v>0</v>
      </c>
      <c r="ET69" s="85">
        <f>IF(ET26&lt;=Condition!$E$16,0,IF(ET26&lt;=Condition!$F$16,Condition!$D$16,IF(ET26&lt;=Condition!$F$17,Condition!$D$17,IF(ET26&lt;=Condition!$F$18,Condition!$D$18,IF(ET26&gt;Condition!$E$19,Condition!$D$19,"")))))</f>
        <v>0</v>
      </c>
      <c r="EU69" s="85">
        <f>IF(EU26&lt;=Condition!$E$16,0,IF(EU26&lt;=Condition!$F$16,Condition!$D$16,IF(EU26&lt;=Condition!$F$17,Condition!$D$17,IF(EU26&lt;=Condition!$F$18,Condition!$D$18,IF(EU26&gt;Condition!$E$19,Condition!$D$19,"")))))</f>
        <v>0</v>
      </c>
      <c r="EV69" s="85">
        <f>IF(EV26&lt;=Condition!$E$16,0,IF(EV26&lt;=Condition!$F$16,Condition!$D$16,IF(EV26&lt;=Condition!$F$17,Condition!$D$17,IF(EV26&lt;=Condition!$F$18,Condition!$D$18,IF(EV26&gt;Condition!$E$19,Condition!$D$19,"")))))</f>
        <v>0</v>
      </c>
      <c r="EW69" s="85">
        <f>IF(EW26&lt;=Condition!$E$16,0,IF(EW26&lt;=Condition!$F$16,Condition!$D$16,IF(EW26&lt;=Condition!$F$17,Condition!$D$17,IF(EW26&lt;=Condition!$F$18,Condition!$D$18,IF(EW26&gt;Condition!$E$19,Condition!$D$19,"")))))</f>
        <v>0</v>
      </c>
      <c r="EX69" s="85">
        <f>IF(EX26&lt;=Condition!$E$16,0,IF(EX26&lt;=Condition!$F$16,Condition!$D$16,IF(EX26&lt;=Condition!$F$17,Condition!$D$17,IF(EX26&lt;=Condition!$F$18,Condition!$D$18,IF(EX26&gt;Condition!$E$19,Condition!$D$19,"")))))</f>
        <v>0</v>
      </c>
      <c r="EY69" s="85">
        <f>IF(EY26&lt;=Condition!$E$16,0,IF(EY26&lt;=Condition!$F$16,Condition!$D$16,IF(EY26&lt;=Condition!$F$17,Condition!$D$17,IF(EY26&lt;=Condition!$F$18,Condition!$D$18,IF(EY26&gt;Condition!$E$19,Condition!$D$19,"")))))</f>
        <v>0</v>
      </c>
      <c r="EZ69" s="85">
        <f>IF(EZ26&lt;=Condition!$E$16,0,IF(EZ26&lt;=Condition!$F$16,Condition!$D$16,IF(EZ26&lt;=Condition!$F$17,Condition!$D$17,IF(EZ26&lt;=Condition!$F$18,Condition!$D$18,IF(EZ26&gt;Condition!$E$19,Condition!$D$19,"")))))</f>
        <v>0</v>
      </c>
      <c r="FA69" s="85">
        <f>IF(FA26&lt;=Condition!$E$16,0,IF(FA26&lt;=Condition!$F$16,Condition!$D$16,IF(FA26&lt;=Condition!$F$17,Condition!$D$17,IF(FA26&lt;=Condition!$F$18,Condition!$D$18,IF(FA26&gt;Condition!$E$19,Condition!$D$19,"")))))</f>
        <v>0</v>
      </c>
      <c r="FB69" s="85">
        <f>IF(FB26&lt;=Condition!$E$16,0,IF(FB26&lt;=Condition!$F$16,Condition!$D$16,IF(FB26&lt;=Condition!$F$17,Condition!$D$17,IF(FB26&lt;=Condition!$F$18,Condition!$D$18,IF(FB26&gt;Condition!$E$19,Condition!$D$19,"")))))</f>
        <v>0</v>
      </c>
      <c r="FC69" s="85">
        <f>IF(FC26&lt;=Condition!$E$16,0,IF(FC26&lt;=Condition!$F$16,Condition!$D$16,IF(FC26&lt;=Condition!$F$17,Condition!$D$17,IF(FC26&lt;=Condition!$F$18,Condition!$D$18,IF(FC26&gt;Condition!$E$19,Condition!$D$19,"")))))</f>
        <v>0</v>
      </c>
      <c r="FD69" s="85">
        <f>IF(FD26&lt;=Condition!$E$16,0,IF(FD26&lt;=Condition!$F$16,Condition!$D$16,IF(FD26&lt;=Condition!$F$17,Condition!$D$17,IF(FD26&lt;=Condition!$F$18,Condition!$D$18,IF(FD26&gt;Condition!$E$19,Condition!$D$19,"")))))</f>
        <v>0</v>
      </c>
      <c r="FE69" s="85">
        <f>IF(FE26&lt;=Condition!$E$16,0,IF(FE26&lt;=Condition!$F$16,Condition!$D$16,IF(FE26&lt;=Condition!$F$17,Condition!$D$17,IF(FE26&lt;=Condition!$F$18,Condition!$D$18,IF(FE26&gt;Condition!$E$19,Condition!$D$19,"")))))</f>
        <v>0</v>
      </c>
      <c r="FF69" s="85">
        <f>IF(FF26&lt;=Condition!$E$16,0,IF(FF26&lt;=Condition!$F$16,Condition!$D$16,IF(FF26&lt;=Condition!$F$17,Condition!$D$17,IF(FF26&lt;=Condition!$F$18,Condition!$D$18,IF(FF26&gt;Condition!$E$19,Condition!$D$19,"")))))</f>
        <v>0</v>
      </c>
      <c r="FG69" s="85">
        <f>IF(FG26&lt;=Condition!$E$16,0,IF(FG26&lt;=Condition!$F$16,Condition!$D$16,IF(FG26&lt;=Condition!$F$17,Condition!$D$17,IF(FG26&lt;=Condition!$F$18,Condition!$D$18,IF(FG26&gt;Condition!$E$19,Condition!$D$19,"")))))</f>
        <v>0</v>
      </c>
      <c r="FH69" s="85">
        <f>IF(FH26&lt;=Condition!$E$16,0,IF(FH26&lt;=Condition!$F$16,Condition!$D$16,IF(FH26&lt;=Condition!$F$17,Condition!$D$17,IF(FH26&lt;=Condition!$F$18,Condition!$D$18,IF(FH26&gt;Condition!$E$19,Condition!$D$19,"")))))</f>
        <v>0</v>
      </c>
      <c r="FI69" s="85">
        <f>IF(FI26&lt;=Condition!$E$16,0,IF(FI26&lt;=Condition!$F$16,Condition!$D$16,IF(FI26&lt;=Condition!$F$17,Condition!$D$17,IF(FI26&lt;=Condition!$F$18,Condition!$D$18,IF(FI26&gt;Condition!$E$19,Condition!$D$19,"")))))</f>
        <v>0</v>
      </c>
      <c r="FJ69" s="85">
        <f>IF(FJ26&lt;=Condition!$E$16,0,IF(FJ26&lt;=Condition!$F$16,Condition!$D$16,IF(FJ26&lt;=Condition!$F$17,Condition!$D$17,IF(FJ26&lt;=Condition!$F$18,Condition!$D$18,IF(FJ26&gt;Condition!$E$19,Condition!$D$19,"")))))</f>
        <v>0</v>
      </c>
      <c r="FK69" s="85">
        <f>IF(FK26&lt;=Condition!$E$16,0,IF(FK26&lt;=Condition!$F$16,Condition!$D$16,IF(FK26&lt;=Condition!$F$17,Condition!$D$17,IF(FK26&lt;=Condition!$F$18,Condition!$D$18,IF(FK26&gt;Condition!$E$19,Condition!$D$19,"")))))</f>
        <v>0</v>
      </c>
      <c r="FL69" s="85">
        <f>IF(FL26&lt;=Condition!$E$16,0,IF(FL26&lt;=Condition!$F$16,Condition!$D$16,IF(FL26&lt;=Condition!$F$17,Condition!$D$17,IF(FL26&lt;=Condition!$F$18,Condition!$D$18,IF(FL26&gt;Condition!$E$19,Condition!$D$19,"")))))</f>
        <v>0</v>
      </c>
      <c r="FM69" s="85">
        <f>IF(FM26&lt;=Condition!$E$16,0,IF(FM26&lt;=Condition!$F$16,Condition!$D$16,IF(FM26&lt;=Condition!$F$17,Condition!$D$17,IF(FM26&lt;=Condition!$F$18,Condition!$D$18,IF(FM26&gt;Condition!$E$19,Condition!$D$19,"")))))</f>
        <v>0</v>
      </c>
      <c r="FN69" s="85">
        <f>IF(FN26&lt;=Condition!$E$16,0,IF(FN26&lt;=Condition!$F$16,Condition!$D$16,IF(FN26&lt;=Condition!$F$17,Condition!$D$17,IF(FN26&lt;=Condition!$F$18,Condition!$D$18,IF(FN26&gt;Condition!$E$19,Condition!$D$19,"")))))</f>
        <v>0</v>
      </c>
      <c r="FO69" s="85">
        <f>IF(FO26&lt;=Condition!$E$16,0,IF(FO26&lt;=Condition!$F$16,Condition!$D$16,IF(FO26&lt;=Condition!$F$17,Condition!$D$17,IF(FO26&lt;=Condition!$F$18,Condition!$D$18,IF(FO26&gt;Condition!$E$19,Condition!$D$19,"")))))</f>
        <v>0</v>
      </c>
      <c r="FP69" s="85">
        <f>IF(FP26&lt;=Condition!$E$16,0,IF(FP26&lt;=Condition!$F$16,Condition!$D$16,IF(FP26&lt;=Condition!$F$17,Condition!$D$17,IF(FP26&lt;=Condition!$F$18,Condition!$D$18,IF(FP26&gt;Condition!$E$19,Condition!$D$19,"")))))</f>
        <v>0</v>
      </c>
      <c r="FQ69" s="85">
        <f>IF(FQ26&lt;=Condition!$E$16,0,IF(FQ26&lt;=Condition!$F$16,Condition!$D$16,IF(FQ26&lt;=Condition!$F$17,Condition!$D$17,IF(FQ26&lt;=Condition!$F$18,Condition!$D$18,IF(FQ26&gt;Condition!$E$19,Condition!$D$19,"")))))</f>
        <v>0</v>
      </c>
      <c r="FR69" s="85">
        <f>IF(FR26&lt;=Condition!$E$16,0,IF(FR26&lt;=Condition!$F$16,Condition!$D$16,IF(FR26&lt;=Condition!$F$17,Condition!$D$17,IF(FR26&lt;=Condition!$F$18,Condition!$D$18,IF(FR26&gt;Condition!$E$19,Condition!$D$19,"")))))</f>
        <v>0</v>
      </c>
      <c r="FS69" s="85">
        <f>IF(FS26&lt;=Condition!$E$16,0,IF(FS26&lt;=Condition!$F$16,Condition!$D$16,IF(FS26&lt;=Condition!$F$17,Condition!$D$17,IF(FS26&lt;=Condition!$F$18,Condition!$D$18,IF(FS26&gt;Condition!$E$19,Condition!$D$19,"")))))</f>
        <v>0</v>
      </c>
      <c r="FT69" s="85">
        <f>IF(FT26&lt;=Condition!$E$16,0,IF(FT26&lt;=Condition!$F$16,Condition!$D$16,IF(FT26&lt;=Condition!$F$17,Condition!$D$17,IF(FT26&lt;=Condition!$F$18,Condition!$D$18,IF(FT26&gt;Condition!$E$19,Condition!$D$19,"")))))</f>
        <v>0</v>
      </c>
      <c r="FU69" s="85">
        <f>IF(FU26&lt;=Condition!$E$16,0,IF(FU26&lt;=Condition!$F$16,Condition!$D$16,IF(FU26&lt;=Condition!$F$17,Condition!$D$17,IF(FU26&lt;=Condition!$F$18,Condition!$D$18,IF(FU26&gt;Condition!$E$19,Condition!$D$19,"")))))</f>
        <v>0</v>
      </c>
      <c r="FV69" s="85">
        <f>IF(FV26&lt;=Condition!$E$16,0,IF(FV26&lt;=Condition!$F$16,Condition!$D$16,IF(FV26&lt;=Condition!$F$17,Condition!$D$17,IF(FV26&lt;=Condition!$F$18,Condition!$D$18,IF(FV26&gt;Condition!$E$19,Condition!$D$19,"")))))</f>
        <v>0</v>
      </c>
      <c r="FW69" s="85">
        <f>IF(FW26&lt;=Condition!$E$16,0,IF(FW26&lt;=Condition!$F$16,Condition!$D$16,IF(FW26&lt;=Condition!$F$17,Condition!$D$17,IF(FW26&lt;=Condition!$F$18,Condition!$D$18,IF(FW26&gt;Condition!$E$19,Condition!$D$19,"")))))</f>
        <v>0</v>
      </c>
      <c r="FX69" s="85">
        <f>IF(FX26&lt;=Condition!$E$16,0,IF(FX26&lt;=Condition!$F$16,Condition!$D$16,IF(FX26&lt;=Condition!$F$17,Condition!$D$17,IF(FX26&lt;=Condition!$F$18,Condition!$D$18,IF(FX26&gt;Condition!$E$19,Condition!$D$19,"")))))</f>
        <v>0</v>
      </c>
      <c r="FY69" s="85">
        <f>IF(FY26&lt;=Condition!$E$16,0,IF(FY26&lt;=Condition!$F$16,Condition!$D$16,IF(FY26&lt;=Condition!$F$17,Condition!$D$17,IF(FY26&lt;=Condition!$F$18,Condition!$D$18,IF(FY26&gt;Condition!$E$19,Condition!$D$19,"")))))</f>
        <v>0</v>
      </c>
      <c r="FZ69" s="85">
        <f>IF(FZ26&lt;=Condition!$E$16,0,IF(FZ26&lt;=Condition!$F$16,Condition!$D$16,IF(FZ26&lt;=Condition!$F$17,Condition!$D$17,IF(FZ26&lt;=Condition!$F$18,Condition!$D$18,IF(FZ26&gt;Condition!$E$19,Condition!$D$19,"")))))</f>
        <v>0</v>
      </c>
      <c r="GA69" s="85">
        <f>IF(GA26&lt;=Condition!$E$16,0,IF(GA26&lt;=Condition!$F$16,Condition!$D$16,IF(GA26&lt;=Condition!$F$17,Condition!$D$17,IF(GA26&lt;=Condition!$F$18,Condition!$D$18,IF(GA26&gt;Condition!$E$19,Condition!$D$19,"")))))</f>
        <v>0</v>
      </c>
      <c r="GB69" s="85">
        <f>IF(GB26&lt;=Condition!$E$16,0,IF(GB26&lt;=Condition!$F$16,Condition!$D$16,IF(GB26&lt;=Condition!$F$17,Condition!$D$17,IF(GB26&lt;=Condition!$F$18,Condition!$D$18,IF(GB26&gt;Condition!$E$19,Condition!$D$19,"")))))</f>
        <v>0</v>
      </c>
      <c r="GC69" s="85">
        <f>IF(GC26&lt;=Condition!$E$16,0,IF(GC26&lt;=Condition!$F$16,Condition!$D$16,IF(GC26&lt;=Condition!$F$17,Condition!$D$17,IF(GC26&lt;=Condition!$F$18,Condition!$D$18,IF(GC26&gt;Condition!$E$19,Condition!$D$19,"")))))</f>
        <v>0</v>
      </c>
      <c r="GD69" s="85">
        <f>IF(GD26&lt;=Condition!$E$16,0,IF(GD26&lt;=Condition!$F$16,Condition!$D$16,IF(GD26&lt;=Condition!$F$17,Condition!$D$17,IF(GD26&lt;=Condition!$F$18,Condition!$D$18,IF(GD26&gt;Condition!$E$19,Condition!$D$19,"")))))</f>
        <v>0</v>
      </c>
      <c r="GE69" s="85">
        <f>IF(GE26&lt;=Condition!$E$16,0,IF(GE26&lt;=Condition!$F$16,Condition!$D$16,IF(GE26&lt;=Condition!$F$17,Condition!$D$17,IF(GE26&lt;=Condition!$F$18,Condition!$D$18,IF(GE26&gt;Condition!$E$19,Condition!$D$19,"")))))</f>
        <v>0</v>
      </c>
      <c r="GF69" s="85">
        <f>IF(GF26&lt;=Condition!$E$16,0,IF(GF26&lt;=Condition!$F$16,Condition!$D$16,IF(GF26&lt;=Condition!$F$17,Condition!$D$17,IF(GF26&lt;=Condition!$F$18,Condition!$D$18,IF(GF26&gt;Condition!$E$19,Condition!$D$19,"")))))</f>
        <v>0</v>
      </c>
      <c r="GG69" s="85">
        <f>IF(GG26&lt;=Condition!$E$16,0,IF(GG26&lt;=Condition!$F$16,Condition!$D$16,IF(GG26&lt;=Condition!$F$17,Condition!$D$17,IF(GG26&lt;=Condition!$F$18,Condition!$D$18,IF(GG26&gt;Condition!$E$19,Condition!$D$19,"")))))</f>
        <v>0</v>
      </c>
      <c r="GH69" s="85">
        <f>IF(GH26&lt;=Condition!$E$16,0,IF(GH26&lt;=Condition!$F$16,Condition!$D$16,IF(GH26&lt;=Condition!$F$17,Condition!$D$17,IF(GH26&lt;=Condition!$F$18,Condition!$D$18,IF(GH26&gt;Condition!$E$19,Condition!$D$19,"")))))</f>
        <v>0</v>
      </c>
      <c r="GI69" s="85">
        <f>IF(GI26&lt;=Condition!$E$16,0,IF(GI26&lt;=Condition!$F$16,Condition!$D$16,IF(GI26&lt;=Condition!$F$17,Condition!$D$17,IF(GI26&lt;=Condition!$F$18,Condition!$D$18,IF(GI26&gt;Condition!$E$19,Condition!$D$19,"")))))</f>
        <v>0</v>
      </c>
      <c r="GJ69" s="85">
        <f>IF(GJ26&lt;=Condition!$E$16,0,IF(GJ26&lt;=Condition!$F$16,Condition!$D$16,IF(GJ26&lt;=Condition!$F$17,Condition!$D$17,IF(GJ26&lt;=Condition!$F$18,Condition!$D$18,IF(GJ26&gt;Condition!$E$19,Condition!$D$19,"")))))</f>
        <v>0</v>
      </c>
      <c r="GK69" s="85">
        <f>IF(GK26&lt;=Condition!$E$16,0,IF(GK26&lt;=Condition!$F$16,Condition!$D$16,IF(GK26&lt;=Condition!$F$17,Condition!$D$17,IF(GK26&lt;=Condition!$F$18,Condition!$D$18,IF(GK26&gt;Condition!$E$19,Condition!$D$19,"")))))</f>
        <v>0</v>
      </c>
      <c r="GL69" s="85">
        <f>IF(GL26&lt;=Condition!$E$16,0,IF(GL26&lt;=Condition!$F$16,Condition!$D$16,IF(GL26&lt;=Condition!$F$17,Condition!$D$17,IF(GL26&lt;=Condition!$F$18,Condition!$D$18,IF(GL26&gt;Condition!$E$19,Condition!$D$19,"")))))</f>
        <v>0</v>
      </c>
      <c r="GM69" s="85">
        <f>IF(GM26&lt;=Condition!$E$16,0,IF(GM26&lt;=Condition!$F$16,Condition!$D$16,IF(GM26&lt;=Condition!$F$17,Condition!$D$17,IF(GM26&lt;=Condition!$F$18,Condition!$D$18,IF(GM26&gt;Condition!$E$19,Condition!$D$19,"")))))</f>
        <v>0</v>
      </c>
      <c r="GN69" s="85">
        <f>IF(GN26&lt;=Condition!$E$16,0,IF(GN26&lt;=Condition!$F$16,Condition!$D$16,IF(GN26&lt;=Condition!$F$17,Condition!$D$17,IF(GN26&lt;=Condition!$F$18,Condition!$D$18,IF(GN26&gt;Condition!$E$19,Condition!$D$19,"")))))</f>
        <v>0</v>
      </c>
      <c r="GO69" s="85">
        <f>IF(GO26&lt;=Condition!$E$16,0,IF(GO26&lt;=Condition!$F$16,Condition!$D$16,IF(GO26&lt;=Condition!$F$17,Condition!$D$17,IF(GO26&lt;=Condition!$F$18,Condition!$D$18,IF(GO26&gt;Condition!$E$19,Condition!$D$19,"")))))</f>
        <v>0</v>
      </c>
      <c r="GP69" s="85">
        <f>IF(GP26&lt;=Condition!$E$16,0,IF(GP26&lt;=Condition!$F$16,Condition!$D$16,IF(GP26&lt;=Condition!$F$17,Condition!$D$17,IF(GP26&lt;=Condition!$F$18,Condition!$D$18,IF(GP26&gt;Condition!$E$19,Condition!$D$19,"")))))</f>
        <v>0</v>
      </c>
      <c r="GQ69" s="85">
        <f>IF(GQ26&lt;=Condition!$E$16,0,IF(GQ26&lt;=Condition!$F$16,Condition!$D$16,IF(GQ26&lt;=Condition!$F$17,Condition!$D$17,IF(GQ26&lt;=Condition!$F$18,Condition!$D$18,IF(GQ26&gt;Condition!$E$19,Condition!$D$19,"")))))</f>
        <v>0</v>
      </c>
      <c r="GR69" s="85">
        <f>IF(GR26&lt;=Condition!$E$16,0,IF(GR26&lt;=Condition!$F$16,Condition!$D$16,IF(GR26&lt;=Condition!$F$17,Condition!$D$17,IF(GR26&lt;=Condition!$F$18,Condition!$D$18,IF(GR26&gt;Condition!$E$19,Condition!$D$19,"")))))</f>
        <v>0</v>
      </c>
      <c r="GS69" s="85">
        <f>IF(GS26&lt;=Condition!$E$16,0,IF(GS26&lt;=Condition!$F$16,Condition!$D$16,IF(GS26&lt;=Condition!$F$17,Condition!$D$17,IF(GS26&lt;=Condition!$F$18,Condition!$D$18,IF(GS26&gt;Condition!$E$19,Condition!$D$19,"")))))</f>
        <v>0</v>
      </c>
      <c r="GT69" s="85">
        <f>IF(GT26&lt;=Condition!$E$16,0,IF(GT26&lt;=Condition!$F$16,Condition!$D$16,IF(GT26&lt;=Condition!$F$17,Condition!$D$17,IF(GT26&lt;=Condition!$F$18,Condition!$D$18,IF(GT26&gt;Condition!$E$19,Condition!$D$19,"")))))</f>
        <v>0</v>
      </c>
      <c r="GU69" s="85">
        <f>IF(GU26&lt;=Condition!$E$16,0,IF(GU26&lt;=Condition!$F$16,Condition!$D$16,IF(GU26&lt;=Condition!$F$17,Condition!$D$17,IF(GU26&lt;=Condition!$F$18,Condition!$D$18,IF(GU26&gt;Condition!$E$19,Condition!$D$19,"")))))</f>
        <v>0</v>
      </c>
      <c r="GV69" s="85">
        <f>IF(GV26&lt;=Condition!$E$16,0,IF(GV26&lt;=Condition!$F$16,Condition!$D$16,IF(GV26&lt;=Condition!$F$17,Condition!$D$17,IF(GV26&lt;=Condition!$F$18,Condition!$D$18,IF(GV26&gt;Condition!$E$19,Condition!$D$19,"")))))</f>
        <v>0</v>
      </c>
      <c r="GW69" s="85">
        <f>IF(GW26&lt;=Condition!$E$16,0,IF(GW26&lt;=Condition!$F$16,Condition!$D$16,IF(GW26&lt;=Condition!$F$17,Condition!$D$17,IF(GW26&lt;=Condition!$F$18,Condition!$D$18,IF(GW26&gt;Condition!$E$19,Condition!$D$19,"")))))</f>
        <v>0</v>
      </c>
      <c r="GX69" s="85">
        <f>IF(GX26&lt;=Condition!$E$16,0,IF(GX26&lt;=Condition!$F$16,Condition!$D$16,IF(GX26&lt;=Condition!$F$17,Condition!$D$17,IF(GX26&lt;=Condition!$F$18,Condition!$D$18,IF(GX26&gt;Condition!$E$19,Condition!$D$19,"")))))</f>
        <v>0</v>
      </c>
      <c r="GY69" s="85">
        <f>IF(GY26&lt;=Condition!$E$16,0,IF(GY26&lt;=Condition!$F$16,Condition!$D$16,IF(GY26&lt;=Condition!$F$17,Condition!$D$17,IF(GY26&lt;=Condition!$F$18,Condition!$D$18,IF(GY26&gt;Condition!$E$19,Condition!$D$19,"")))))</f>
        <v>0</v>
      </c>
      <c r="GZ69" s="85">
        <f>IF(GZ26&lt;=Condition!$E$16,0,IF(GZ26&lt;=Condition!$F$16,Condition!$D$16,IF(GZ26&lt;=Condition!$F$17,Condition!$D$17,IF(GZ26&lt;=Condition!$F$18,Condition!$D$18,IF(GZ26&gt;Condition!$E$19,Condition!$D$19,"")))))</f>
        <v>0</v>
      </c>
      <c r="HA69" s="85">
        <f>IF(HA26&lt;=Condition!$E$16,0,IF(HA26&lt;=Condition!$F$16,Condition!$D$16,IF(HA26&lt;=Condition!$F$17,Condition!$D$17,IF(HA26&lt;=Condition!$F$18,Condition!$D$18,IF(HA26&gt;Condition!$E$19,Condition!$D$19,"")))))</f>
        <v>0</v>
      </c>
      <c r="HB69" s="85">
        <f>IF(HB26&lt;=Condition!$E$16,0,IF(HB26&lt;=Condition!$F$16,Condition!$D$16,IF(HB26&lt;=Condition!$F$17,Condition!$D$17,IF(HB26&lt;=Condition!$F$18,Condition!$D$18,IF(HB26&gt;Condition!$E$19,Condition!$D$19,"")))))</f>
        <v>0</v>
      </c>
      <c r="HC69" s="85">
        <f>IF(HC26&lt;=Condition!$E$16,0,IF(HC26&lt;=Condition!$F$16,Condition!$D$16,IF(HC26&lt;=Condition!$F$17,Condition!$D$17,IF(HC26&lt;=Condition!$F$18,Condition!$D$18,IF(HC26&gt;Condition!$E$19,Condition!$D$19,"")))))</f>
        <v>0</v>
      </c>
      <c r="HD69" s="85">
        <f>IF(HD26&lt;=Condition!$E$16,0,IF(HD26&lt;=Condition!$F$16,Condition!$D$16,IF(HD26&lt;=Condition!$F$17,Condition!$D$17,IF(HD26&lt;=Condition!$F$18,Condition!$D$18,IF(HD26&gt;Condition!$E$19,Condition!$D$19,"")))))</f>
        <v>0</v>
      </c>
      <c r="HE69" s="85">
        <f>IF(HE26&lt;=Condition!$E$16,0,IF(HE26&lt;=Condition!$F$16,Condition!$D$16,IF(HE26&lt;=Condition!$F$17,Condition!$D$17,IF(HE26&lt;=Condition!$F$18,Condition!$D$18,IF(HE26&gt;Condition!$E$19,Condition!$D$19,"")))))</f>
        <v>0</v>
      </c>
      <c r="HF69" s="85">
        <f>IF(HF26&lt;=Condition!$E$16,0,IF(HF26&lt;=Condition!$F$16,Condition!$D$16,IF(HF26&lt;=Condition!$F$17,Condition!$D$17,IF(HF26&lt;=Condition!$F$18,Condition!$D$18,IF(HF26&gt;Condition!$E$19,Condition!$D$19,"")))))</f>
        <v>0</v>
      </c>
      <c r="HG69" s="85">
        <f>IF(HG26&lt;=Condition!$E$16,0,IF(HG26&lt;=Condition!$F$16,Condition!$D$16,IF(HG26&lt;=Condition!$F$17,Condition!$D$17,IF(HG26&lt;=Condition!$F$18,Condition!$D$18,IF(HG26&gt;Condition!$E$19,Condition!$D$19,"")))))</f>
        <v>0</v>
      </c>
      <c r="HH69" s="85">
        <f>IF(HH26&lt;=Condition!$E$16,0,IF(HH26&lt;=Condition!$F$16,Condition!$D$16,IF(HH26&lt;=Condition!$F$17,Condition!$D$17,IF(HH26&lt;=Condition!$F$18,Condition!$D$18,IF(HH26&gt;Condition!$E$19,Condition!$D$19,"")))))</f>
        <v>0</v>
      </c>
      <c r="HI69" s="85">
        <f>IF(HI26&lt;=Condition!$E$16,0,IF(HI26&lt;=Condition!$F$16,Condition!$D$16,IF(HI26&lt;=Condition!$F$17,Condition!$D$17,IF(HI26&lt;=Condition!$F$18,Condition!$D$18,IF(HI26&gt;Condition!$E$19,Condition!$D$19,"")))))</f>
        <v>0</v>
      </c>
      <c r="HJ69" s="85">
        <f>IF(HJ26&lt;=Condition!$E$16,0,IF(HJ26&lt;=Condition!$F$16,Condition!$D$16,IF(HJ26&lt;=Condition!$F$17,Condition!$D$17,IF(HJ26&lt;=Condition!$F$18,Condition!$D$18,IF(HJ26&gt;Condition!$E$19,Condition!$D$19,"")))))</f>
        <v>0</v>
      </c>
      <c r="HK69" s="85">
        <f>IF(HK26&lt;=Condition!$E$16,0,IF(HK26&lt;=Condition!$F$16,Condition!$D$16,IF(HK26&lt;=Condition!$F$17,Condition!$D$17,IF(HK26&lt;=Condition!$F$18,Condition!$D$18,IF(HK26&gt;Condition!$E$19,Condition!$D$19,"")))))</f>
        <v>0</v>
      </c>
      <c r="HL69" s="85">
        <f>IF(HL26&lt;=Condition!$E$16,0,IF(HL26&lt;=Condition!$F$16,Condition!$D$16,IF(HL26&lt;=Condition!$F$17,Condition!$D$17,IF(HL26&lt;=Condition!$F$18,Condition!$D$18,IF(HL26&gt;Condition!$E$19,Condition!$D$19,"")))))</f>
        <v>0</v>
      </c>
      <c r="HM69" s="85">
        <f>IF(HM26&lt;=Condition!$E$16,0,IF(HM26&lt;=Condition!$F$16,Condition!$D$16,IF(HM26&lt;=Condition!$F$17,Condition!$D$17,IF(HM26&lt;=Condition!$F$18,Condition!$D$18,IF(HM26&gt;Condition!$E$19,Condition!$D$19,"")))))</f>
        <v>0</v>
      </c>
      <c r="HN69" s="85">
        <f>IF(HN26&lt;=Condition!$E$16,0,IF(HN26&lt;=Condition!$F$16,Condition!$D$16,IF(HN26&lt;=Condition!$F$17,Condition!$D$17,IF(HN26&lt;=Condition!$F$18,Condition!$D$18,IF(HN26&gt;Condition!$E$19,Condition!$D$19,"")))))</f>
        <v>0</v>
      </c>
      <c r="HO69" s="85">
        <f>IF(HO26&lt;=Condition!$E$16,0,IF(HO26&lt;=Condition!$F$16,Condition!$D$16,IF(HO26&lt;=Condition!$F$17,Condition!$D$17,IF(HO26&lt;=Condition!$F$18,Condition!$D$18,IF(HO26&gt;Condition!$E$19,Condition!$D$19,"")))))</f>
        <v>0</v>
      </c>
      <c r="HP69" s="85">
        <f>IF(HP26&lt;=Condition!$E$16,0,IF(HP26&lt;=Condition!$F$16,Condition!$D$16,IF(HP26&lt;=Condition!$F$17,Condition!$D$17,IF(HP26&lt;=Condition!$F$18,Condition!$D$18,IF(HP26&gt;Condition!$E$19,Condition!$D$19,"")))))</f>
        <v>0</v>
      </c>
      <c r="HQ69" s="85">
        <f>IF(HQ26&lt;=Condition!$E$16,0,IF(HQ26&lt;=Condition!$F$16,Condition!$D$16,IF(HQ26&lt;=Condition!$F$17,Condition!$D$17,IF(HQ26&lt;=Condition!$F$18,Condition!$D$18,IF(HQ26&gt;Condition!$E$19,Condition!$D$19,"")))))</f>
        <v>0</v>
      </c>
      <c r="HR69" s="85">
        <f>IF(HR26&lt;=Condition!$E$16,0,IF(HR26&lt;=Condition!$F$16,Condition!$D$16,IF(HR26&lt;=Condition!$F$17,Condition!$D$17,IF(HR26&lt;=Condition!$F$18,Condition!$D$18,IF(HR26&gt;Condition!$E$19,Condition!$D$19,"")))))</f>
        <v>0</v>
      </c>
      <c r="HS69" s="85">
        <f>IF(HS26&lt;=Condition!$E$16,0,IF(HS26&lt;=Condition!$F$16,Condition!$D$16,IF(HS26&lt;=Condition!$F$17,Condition!$D$17,IF(HS26&lt;=Condition!$F$18,Condition!$D$18,IF(HS26&gt;Condition!$E$19,Condition!$D$19,"")))))</f>
        <v>0</v>
      </c>
      <c r="HT69" s="85">
        <f>IF(HT26&lt;=Condition!$E$16,0,IF(HT26&lt;=Condition!$F$16,Condition!$D$16,IF(HT26&lt;=Condition!$F$17,Condition!$D$17,IF(HT26&lt;=Condition!$F$18,Condition!$D$18,IF(HT26&gt;Condition!$E$19,Condition!$D$19,"")))))</f>
        <v>0</v>
      </c>
      <c r="HU69" s="85">
        <f>IF(HU26&lt;=Condition!$E$16,0,IF(HU26&lt;=Condition!$F$16,Condition!$D$16,IF(HU26&lt;=Condition!$F$17,Condition!$D$17,IF(HU26&lt;=Condition!$F$18,Condition!$D$18,IF(HU26&gt;Condition!$E$19,Condition!$D$19,"")))))</f>
        <v>0</v>
      </c>
      <c r="HV69" s="85">
        <f>IF(HV26&lt;=Condition!$E$16,0,IF(HV26&lt;=Condition!$F$16,Condition!$D$16,IF(HV26&lt;=Condition!$F$17,Condition!$D$17,IF(HV26&lt;=Condition!$F$18,Condition!$D$18,IF(HV26&gt;Condition!$E$19,Condition!$D$19,"")))))</f>
        <v>0</v>
      </c>
      <c r="HW69" s="85">
        <f>IF(HW26&lt;=Condition!$E$16,0,IF(HW26&lt;=Condition!$F$16,Condition!$D$16,IF(HW26&lt;=Condition!$F$17,Condition!$D$17,IF(HW26&lt;=Condition!$F$18,Condition!$D$18,IF(HW26&gt;Condition!$E$19,Condition!$D$19,"")))))</f>
        <v>0</v>
      </c>
      <c r="HX69" s="85">
        <f>IF(HX26&lt;=Condition!$E$16,0,IF(HX26&lt;=Condition!$F$16,Condition!$D$16,IF(HX26&lt;=Condition!$F$17,Condition!$D$17,IF(HX26&lt;=Condition!$F$18,Condition!$D$18,IF(HX26&gt;Condition!$E$19,Condition!$D$19,"")))))</f>
        <v>0</v>
      </c>
      <c r="HY69" s="85">
        <f>IF(HY26&lt;=Condition!$E$16,0,IF(HY26&lt;=Condition!$F$16,Condition!$D$16,IF(HY26&lt;=Condition!$F$17,Condition!$D$17,IF(HY26&lt;=Condition!$F$18,Condition!$D$18,IF(HY26&gt;Condition!$E$19,Condition!$D$19,"")))))</f>
        <v>0</v>
      </c>
      <c r="HZ69" s="85">
        <f>IF(HZ26&lt;=Condition!$E$16,0,IF(HZ26&lt;=Condition!$F$16,Condition!$D$16,IF(HZ26&lt;=Condition!$F$17,Condition!$D$17,IF(HZ26&lt;=Condition!$F$18,Condition!$D$18,IF(HZ26&gt;Condition!$E$19,Condition!$D$19,"")))))</f>
        <v>0</v>
      </c>
      <c r="IA69" s="85">
        <f>IF(IA26&lt;=Condition!$E$16,0,IF(IA26&lt;=Condition!$F$16,Condition!$D$16,IF(IA26&lt;=Condition!$F$17,Condition!$D$17,IF(IA26&lt;=Condition!$F$18,Condition!$D$18,IF(IA26&gt;Condition!$E$19,Condition!$D$19,"")))))</f>
        <v>0</v>
      </c>
      <c r="IB69" s="85">
        <f>IF(IB26&lt;=Condition!$E$16,0,IF(IB26&lt;=Condition!$F$16,Condition!$D$16,IF(IB26&lt;=Condition!$F$17,Condition!$D$17,IF(IB26&lt;=Condition!$F$18,Condition!$D$18,IF(IB26&gt;Condition!$E$19,Condition!$D$19,"")))))</f>
        <v>0</v>
      </c>
      <c r="IC69" s="85">
        <f>IF(IC26&lt;=Condition!$E$16,0,IF(IC26&lt;=Condition!$F$16,Condition!$D$16,IF(IC26&lt;=Condition!$F$17,Condition!$D$17,IF(IC26&lt;=Condition!$F$18,Condition!$D$18,IF(IC26&gt;Condition!$E$19,Condition!$D$19,"")))))</f>
        <v>0</v>
      </c>
      <c r="ID69" s="85">
        <f>IF(ID26&lt;=Condition!$E$16,0,IF(ID26&lt;=Condition!$F$16,Condition!$D$16,IF(ID26&lt;=Condition!$F$17,Condition!$D$17,IF(ID26&lt;=Condition!$F$18,Condition!$D$18,IF(ID26&gt;Condition!$E$19,Condition!$D$19,"")))))</f>
        <v>0</v>
      </c>
      <c r="IE69" s="85">
        <f>IF(IE26&lt;=Condition!$E$16,0,IF(IE26&lt;=Condition!$F$16,Condition!$D$16,IF(IE26&lt;=Condition!$F$17,Condition!$D$17,IF(IE26&lt;=Condition!$F$18,Condition!$D$18,IF(IE26&gt;Condition!$E$19,Condition!$D$19,"")))))</f>
        <v>0</v>
      </c>
      <c r="IF69" s="85">
        <f>IF(IF26&lt;=Condition!$E$16,0,IF(IF26&lt;=Condition!$F$16,Condition!$D$16,IF(IF26&lt;=Condition!$F$17,Condition!$D$17,IF(IF26&lt;=Condition!$F$18,Condition!$D$18,IF(IF26&gt;Condition!$E$19,Condition!$D$19,"")))))</f>
        <v>0</v>
      </c>
      <c r="IG69" s="85">
        <f>IF(IG26&lt;=Condition!$E$16,0,IF(IG26&lt;=Condition!$F$16,Condition!$D$16,IF(IG26&lt;=Condition!$F$17,Condition!$D$17,IF(IG26&lt;=Condition!$F$18,Condition!$D$18,IF(IG26&gt;Condition!$E$19,Condition!$D$19,"")))))</f>
        <v>0</v>
      </c>
      <c r="IH69" s="85">
        <f>IF(IH26&lt;=Condition!$E$16,0,IF(IH26&lt;=Condition!$F$16,Condition!$D$16,IF(IH26&lt;=Condition!$F$17,Condition!$D$17,IF(IH26&lt;=Condition!$F$18,Condition!$D$18,IF(IH26&gt;Condition!$E$19,Condition!$D$19,"")))))</f>
        <v>0</v>
      </c>
      <c r="II69" s="85">
        <f>IF(II26&lt;=Condition!$E$16,0,IF(II26&lt;=Condition!$F$16,Condition!$D$16,IF(II26&lt;=Condition!$F$17,Condition!$D$17,IF(II26&lt;=Condition!$F$18,Condition!$D$18,IF(II26&gt;Condition!$E$19,Condition!$D$19,"")))))</f>
        <v>0</v>
      </c>
      <c r="IJ69" s="85">
        <f>IF(IJ26&lt;=Condition!$E$16,0,IF(IJ26&lt;=Condition!$F$16,Condition!$D$16,IF(IJ26&lt;=Condition!$F$17,Condition!$D$17,IF(IJ26&lt;=Condition!$F$18,Condition!$D$18,IF(IJ26&gt;Condition!$E$19,Condition!$D$19,"")))))</f>
        <v>0</v>
      </c>
      <c r="IK69" s="85">
        <f>IF(IK26&lt;=Condition!$E$16,0,IF(IK26&lt;=Condition!$F$16,Condition!$D$16,IF(IK26&lt;=Condition!$F$17,Condition!$D$17,IF(IK26&lt;=Condition!$F$18,Condition!$D$18,IF(IK26&gt;Condition!$E$19,Condition!$D$19,"")))))</f>
        <v>0</v>
      </c>
      <c r="IL69" s="85">
        <f>IF(IL26&lt;=Condition!$E$16,0,IF(IL26&lt;=Condition!$F$16,Condition!$D$16,IF(IL26&lt;=Condition!$F$17,Condition!$D$17,IF(IL26&lt;=Condition!$F$18,Condition!$D$18,IF(IL26&gt;Condition!$E$19,Condition!$D$19,"")))))</f>
        <v>0</v>
      </c>
      <c r="IM69" s="85">
        <f>IF(IM26&lt;=Condition!$E$16,0,IF(IM26&lt;=Condition!$F$16,Condition!$D$16,IF(IM26&lt;=Condition!$F$17,Condition!$D$17,IF(IM26&lt;=Condition!$F$18,Condition!$D$18,IF(IM26&gt;Condition!$E$19,Condition!$D$19,"")))))</f>
        <v>0</v>
      </c>
      <c r="IN69" s="85">
        <f>IF(IN26&lt;=Condition!$E$16,0,IF(IN26&lt;=Condition!$F$16,Condition!$D$16,IF(IN26&lt;=Condition!$F$17,Condition!$D$17,IF(IN26&lt;=Condition!$F$18,Condition!$D$18,IF(IN26&gt;Condition!$E$19,Condition!$D$19,"")))))</f>
        <v>0</v>
      </c>
      <c r="IO69" s="85">
        <f>IF(IO26&lt;=Condition!$E$16,0,IF(IO26&lt;=Condition!$F$16,Condition!$D$16,IF(IO26&lt;=Condition!$F$17,Condition!$D$17,IF(IO26&lt;=Condition!$F$18,Condition!$D$18,IF(IO26&gt;Condition!$E$19,Condition!$D$19,"")))))</f>
        <v>0</v>
      </c>
      <c r="IP69" s="85">
        <f>IF(IP26&lt;=Condition!$E$16,0,IF(IP26&lt;=Condition!$F$16,Condition!$D$16,IF(IP26&lt;=Condition!$F$17,Condition!$D$17,IF(IP26&lt;=Condition!$F$18,Condition!$D$18,IF(IP26&gt;Condition!$E$19,Condition!$D$19,"")))))</f>
        <v>0</v>
      </c>
      <c r="IQ69" s="85">
        <f>IF(IQ26&lt;=Condition!$E$16,0,IF(IQ26&lt;=Condition!$F$16,Condition!$D$16,IF(IQ26&lt;=Condition!$F$17,Condition!$D$17,IF(IQ26&lt;=Condition!$F$18,Condition!$D$18,IF(IQ26&gt;Condition!$E$19,Condition!$D$19,"")))))</f>
        <v>0</v>
      </c>
      <c r="IR69" s="85">
        <f>IF(IR26&lt;=Condition!$E$16,0,IF(IR26&lt;=Condition!$F$16,Condition!$D$16,IF(IR26&lt;=Condition!$F$17,Condition!$D$17,IF(IR26&lt;=Condition!$F$18,Condition!$D$18,IF(IR26&gt;Condition!$E$19,Condition!$D$19,"")))))</f>
        <v>0</v>
      </c>
      <c r="IS69" s="85">
        <f>IF(IS26&lt;=Condition!$E$16,0,IF(IS26&lt;=Condition!$F$16,Condition!$D$16,IF(IS26&lt;=Condition!$F$17,Condition!$D$17,IF(IS26&lt;=Condition!$F$18,Condition!$D$18,IF(IS26&gt;Condition!$E$19,Condition!$D$19,"")))))</f>
        <v>0</v>
      </c>
      <c r="IT69" s="85">
        <f>IF(IT26&lt;=Condition!$E$16,0,IF(IT26&lt;=Condition!$F$16,Condition!$D$16,IF(IT26&lt;=Condition!$F$17,Condition!$D$17,IF(IT26&lt;=Condition!$F$18,Condition!$D$18,IF(IT26&gt;Condition!$E$19,Condition!$D$19,"")))))</f>
        <v>0</v>
      </c>
      <c r="IU69" s="85">
        <f>IF(IU26&lt;=Condition!$E$16,0,IF(IU26&lt;=Condition!$F$16,Condition!$D$16,IF(IU26&lt;=Condition!$F$17,Condition!$D$17,IF(IU26&lt;=Condition!$F$18,Condition!$D$18,IF(IU26&gt;Condition!$E$19,Condition!$D$19,"")))))</f>
        <v>0</v>
      </c>
      <c r="IV69" s="85">
        <f>IF(IV26&lt;=Condition!$E$16,0,IF(IV26&lt;=Condition!$F$16,Condition!$D$16,IF(IV26&lt;=Condition!$F$17,Condition!$D$17,IF(IV26&lt;=Condition!$F$18,Condition!$D$18,IF(IV26&gt;Condition!$E$19,Condition!$D$19,"")))))</f>
        <v>0</v>
      </c>
      <c r="IW69" s="85">
        <f>IF(IW26&lt;=Condition!$E$16,0,IF(IW26&lt;=Condition!$F$16,Condition!$D$16,IF(IW26&lt;=Condition!$F$17,Condition!$D$17,IF(IW26&lt;=Condition!$F$18,Condition!$D$18,IF(IW26&gt;Condition!$E$19,Condition!$D$19,"")))))</f>
        <v>0</v>
      </c>
      <c r="IX69" s="85">
        <f>IF(IX26&lt;=Condition!$E$16,0,IF(IX26&lt;=Condition!$F$16,Condition!$D$16,IF(IX26&lt;=Condition!$F$17,Condition!$D$17,IF(IX26&lt;=Condition!$F$18,Condition!$D$18,IF(IX26&gt;Condition!$E$19,Condition!$D$19,"")))))</f>
        <v>0</v>
      </c>
      <c r="IY69" s="85">
        <f>IF(IY26&lt;=Condition!$E$16,0,IF(IY26&lt;=Condition!$F$16,Condition!$D$16,IF(IY26&lt;=Condition!$F$17,Condition!$D$17,IF(IY26&lt;=Condition!$F$18,Condition!$D$18,IF(IY26&gt;Condition!$E$19,Condition!$D$19,"")))))</f>
        <v>0</v>
      </c>
      <c r="IZ69" s="85">
        <f>IF(IZ26&lt;=Condition!$E$16,0,IF(IZ26&lt;=Condition!$F$16,Condition!$D$16,IF(IZ26&lt;=Condition!$F$17,Condition!$D$17,IF(IZ26&lt;=Condition!$F$18,Condition!$D$18,IF(IZ26&gt;Condition!$E$19,Condition!$D$19,"")))))</f>
        <v>0</v>
      </c>
      <c r="JA69" s="85">
        <f>IF(JA26&lt;=Condition!$E$16,0,IF(JA26&lt;=Condition!$F$16,Condition!$D$16,IF(JA26&lt;=Condition!$F$17,Condition!$D$17,IF(JA26&lt;=Condition!$F$18,Condition!$D$18,IF(JA26&gt;Condition!$E$19,Condition!$D$19,"")))))</f>
        <v>0</v>
      </c>
      <c r="JB69" s="85">
        <f>IF(JB26&lt;=Condition!$E$16,0,IF(JB26&lt;=Condition!$F$16,Condition!$D$16,IF(JB26&lt;=Condition!$F$17,Condition!$D$17,IF(JB26&lt;=Condition!$F$18,Condition!$D$18,IF(JB26&gt;Condition!$E$19,Condition!$D$19,"")))))</f>
        <v>0</v>
      </c>
      <c r="JC69" s="85">
        <f>IF(JC26&lt;=Condition!$E$16,0,IF(JC26&lt;=Condition!$F$16,Condition!$D$16,IF(JC26&lt;=Condition!$F$17,Condition!$D$17,IF(JC26&lt;=Condition!$F$18,Condition!$D$18,IF(JC26&gt;Condition!$E$19,Condition!$D$19,"")))))</f>
        <v>0</v>
      </c>
      <c r="JD69" s="85">
        <f>IF(JD26&lt;=Condition!$E$16,0,IF(JD26&lt;=Condition!$F$16,Condition!$D$16,IF(JD26&lt;=Condition!$F$17,Condition!$D$17,IF(JD26&lt;=Condition!$F$18,Condition!$D$18,IF(JD26&gt;Condition!$E$19,Condition!$D$19,"")))))</f>
        <v>0</v>
      </c>
      <c r="JE69" s="85">
        <f>IF(JE26&lt;=Condition!$E$16,0,IF(JE26&lt;=Condition!$F$16,Condition!$D$16,IF(JE26&lt;=Condition!$F$17,Condition!$D$17,IF(JE26&lt;=Condition!$F$18,Condition!$D$18,IF(JE26&gt;Condition!$E$19,Condition!$D$19,"")))))</f>
        <v>0</v>
      </c>
      <c r="JF69" s="85">
        <f>IF(JF26&lt;=Condition!$E$16,0,IF(JF26&lt;=Condition!$F$16,Condition!$D$16,IF(JF26&lt;=Condition!$F$17,Condition!$D$17,IF(JF26&lt;=Condition!$F$18,Condition!$D$18,IF(JF26&gt;Condition!$E$19,Condition!$D$19,"")))))</f>
        <v>0</v>
      </c>
      <c r="JG69" s="85">
        <f>IF(JG26&lt;=Condition!$E$16,0,IF(JG26&lt;=Condition!$F$16,Condition!$D$16,IF(JG26&lt;=Condition!$F$17,Condition!$D$17,IF(JG26&lt;=Condition!$F$18,Condition!$D$18,IF(JG26&gt;Condition!$E$19,Condition!$D$19,"")))))</f>
        <v>0</v>
      </c>
      <c r="JH69" s="85">
        <f>IF(JH26&lt;=Condition!$E$16,0,IF(JH26&lt;=Condition!$F$16,Condition!$D$16,IF(JH26&lt;=Condition!$F$17,Condition!$D$17,IF(JH26&lt;=Condition!$F$18,Condition!$D$18,IF(JH26&gt;Condition!$E$19,Condition!$D$19,"")))))</f>
        <v>0</v>
      </c>
      <c r="JI69" s="85">
        <f>IF(JI26&lt;=Condition!$E$16,0,IF(JI26&lt;=Condition!$F$16,Condition!$D$16,IF(JI26&lt;=Condition!$F$17,Condition!$D$17,IF(JI26&lt;=Condition!$F$18,Condition!$D$18,IF(JI26&gt;Condition!$E$19,Condition!$D$19,"")))))</f>
        <v>0</v>
      </c>
      <c r="JJ69" s="85">
        <f>IF(JJ26&lt;=Condition!$E$16,0,IF(JJ26&lt;=Condition!$F$16,Condition!$D$16,IF(JJ26&lt;=Condition!$F$17,Condition!$D$17,IF(JJ26&lt;=Condition!$F$18,Condition!$D$18,IF(JJ26&gt;Condition!$E$19,Condition!$D$19,"")))))</f>
        <v>0</v>
      </c>
      <c r="JK69" s="85">
        <f>IF(JK26&lt;=Condition!$E$16,0,IF(JK26&lt;=Condition!$F$16,Condition!$D$16,IF(JK26&lt;=Condition!$F$17,Condition!$D$17,IF(JK26&lt;=Condition!$F$18,Condition!$D$18,IF(JK26&gt;Condition!$E$19,Condition!$D$19,"")))))</f>
        <v>0</v>
      </c>
      <c r="JL69" s="85">
        <f>IF(JL26&lt;=Condition!$E$16,0,IF(JL26&lt;=Condition!$F$16,Condition!$D$16,IF(JL26&lt;=Condition!$F$17,Condition!$D$17,IF(JL26&lt;=Condition!$F$18,Condition!$D$18,IF(JL26&gt;Condition!$E$19,Condition!$D$19,"")))))</f>
        <v>0</v>
      </c>
      <c r="JM69" s="85">
        <f>IF(JM26&lt;=Condition!$E$16,0,IF(JM26&lt;=Condition!$F$16,Condition!$D$16,IF(JM26&lt;=Condition!$F$17,Condition!$D$17,IF(JM26&lt;=Condition!$F$18,Condition!$D$18,IF(JM26&gt;Condition!$E$19,Condition!$D$19,"")))))</f>
        <v>0</v>
      </c>
      <c r="JN69" s="85">
        <f>IF(JN26&lt;=Condition!$E$16,0,IF(JN26&lt;=Condition!$F$16,Condition!$D$16,IF(JN26&lt;=Condition!$F$17,Condition!$D$17,IF(JN26&lt;=Condition!$F$18,Condition!$D$18,IF(JN26&gt;Condition!$E$19,Condition!$D$19,"")))))</f>
        <v>0</v>
      </c>
      <c r="JO69" s="85">
        <f>IF(JO26&lt;=Condition!$E$16,0,IF(JO26&lt;=Condition!$F$16,Condition!$D$16,IF(JO26&lt;=Condition!$F$17,Condition!$D$17,IF(JO26&lt;=Condition!$F$18,Condition!$D$18,IF(JO26&gt;Condition!$E$19,Condition!$D$19,"")))))</f>
        <v>0</v>
      </c>
      <c r="JP69" s="85">
        <f>IF(JP26&lt;=Condition!$E$16,0,IF(JP26&lt;=Condition!$F$16,Condition!$D$16,IF(JP26&lt;=Condition!$F$17,Condition!$D$17,IF(JP26&lt;=Condition!$F$18,Condition!$D$18,IF(JP26&gt;Condition!$E$19,Condition!$D$19,"")))))</f>
        <v>0</v>
      </c>
      <c r="JQ69" s="85">
        <f>IF(JQ26&lt;=Condition!$E$16,0,IF(JQ26&lt;=Condition!$F$16,Condition!$D$16,IF(JQ26&lt;=Condition!$F$17,Condition!$D$17,IF(JQ26&lt;=Condition!$F$18,Condition!$D$18,IF(JQ26&gt;Condition!$E$19,Condition!$D$19,"")))))</f>
        <v>0</v>
      </c>
      <c r="JR69" s="85">
        <f>IF(JR26&lt;=Condition!$E$16,0,IF(JR26&lt;=Condition!$F$16,Condition!$D$16,IF(JR26&lt;=Condition!$F$17,Condition!$D$17,IF(JR26&lt;=Condition!$F$18,Condition!$D$18,IF(JR26&gt;Condition!$E$19,Condition!$D$19,"")))))</f>
        <v>0</v>
      </c>
      <c r="JS69" s="85">
        <f>IF(JS26&lt;=Condition!$E$16,0,IF(JS26&lt;=Condition!$F$16,Condition!$D$16,IF(JS26&lt;=Condition!$F$17,Condition!$D$17,IF(JS26&lt;=Condition!$F$18,Condition!$D$18,IF(JS26&gt;Condition!$E$19,Condition!$D$19,"")))))</f>
        <v>0</v>
      </c>
      <c r="JT69" s="85">
        <f>IF(JT26&lt;=Condition!$E$16,0,IF(JT26&lt;=Condition!$F$16,Condition!$D$16,IF(JT26&lt;=Condition!$F$17,Condition!$D$17,IF(JT26&lt;=Condition!$F$18,Condition!$D$18,IF(JT26&gt;Condition!$E$19,Condition!$D$19,"")))))</f>
        <v>0</v>
      </c>
      <c r="JU69" s="85">
        <f>IF(JU26&lt;=Condition!$E$16,0,IF(JU26&lt;=Condition!$F$16,Condition!$D$16,IF(JU26&lt;=Condition!$F$17,Condition!$D$17,IF(JU26&lt;=Condition!$F$18,Condition!$D$18,IF(JU26&gt;Condition!$E$19,Condition!$D$19,"")))))</f>
        <v>0</v>
      </c>
      <c r="JV69" s="85">
        <f>IF(JV26&lt;=Condition!$E$16,0,IF(JV26&lt;=Condition!$F$16,Condition!$D$16,IF(JV26&lt;=Condition!$F$17,Condition!$D$17,IF(JV26&lt;=Condition!$F$18,Condition!$D$18,IF(JV26&gt;Condition!$E$19,Condition!$D$19,"")))))</f>
        <v>0</v>
      </c>
      <c r="JW69" s="85">
        <f>IF(JW26&lt;=Condition!$E$16,0,IF(JW26&lt;=Condition!$F$16,Condition!$D$16,IF(JW26&lt;=Condition!$F$17,Condition!$D$17,IF(JW26&lt;=Condition!$F$18,Condition!$D$18,IF(JW26&gt;Condition!$E$19,Condition!$D$19,"")))))</f>
        <v>0</v>
      </c>
      <c r="JX69" s="85">
        <f>IF(JX26&lt;=Condition!$E$16,0,IF(JX26&lt;=Condition!$F$16,Condition!$D$16,IF(JX26&lt;=Condition!$F$17,Condition!$D$17,IF(JX26&lt;=Condition!$F$18,Condition!$D$18,IF(JX26&gt;Condition!$E$19,Condition!$D$19,"")))))</f>
        <v>0</v>
      </c>
      <c r="JY69" s="85">
        <f>IF(JY26&lt;=Condition!$E$16,0,IF(JY26&lt;=Condition!$F$16,Condition!$D$16,IF(JY26&lt;=Condition!$F$17,Condition!$D$17,IF(JY26&lt;=Condition!$F$18,Condition!$D$18,IF(JY26&gt;Condition!$E$19,Condition!$D$19,"")))))</f>
        <v>0</v>
      </c>
      <c r="JZ69" s="85">
        <f>IF(JZ26&lt;=Condition!$E$16,0,IF(JZ26&lt;=Condition!$F$16,Condition!$D$16,IF(JZ26&lt;=Condition!$F$17,Condition!$D$17,IF(JZ26&lt;=Condition!$F$18,Condition!$D$18,IF(JZ26&gt;Condition!$E$19,Condition!$D$19,"")))))</f>
        <v>0</v>
      </c>
      <c r="KA69" s="85">
        <f>IF(KA26&lt;=Condition!$E$16,0,IF(KA26&lt;=Condition!$F$16,Condition!$D$16,IF(KA26&lt;=Condition!$F$17,Condition!$D$17,IF(KA26&lt;=Condition!$F$18,Condition!$D$18,IF(KA26&gt;Condition!$E$19,Condition!$D$19,"")))))</f>
        <v>0</v>
      </c>
      <c r="KB69" s="85">
        <f>IF(KB26&lt;=Condition!$E$16,0,IF(KB26&lt;=Condition!$F$16,Condition!$D$16,IF(KB26&lt;=Condition!$F$17,Condition!$D$17,IF(KB26&lt;=Condition!$F$18,Condition!$D$18,IF(KB26&gt;Condition!$E$19,Condition!$D$19,"")))))</f>
        <v>0</v>
      </c>
      <c r="KC69" s="85">
        <f>IF(KC26&lt;=Condition!$E$16,0,IF(KC26&lt;=Condition!$F$16,Condition!$D$16,IF(KC26&lt;=Condition!$F$17,Condition!$D$17,IF(KC26&lt;=Condition!$F$18,Condition!$D$18,IF(KC26&gt;Condition!$E$19,Condition!$D$19,"")))))</f>
        <v>0</v>
      </c>
      <c r="KD69" s="85">
        <f>IF(KD26&lt;=Condition!$E$16,0,IF(KD26&lt;=Condition!$F$16,Condition!$D$16,IF(KD26&lt;=Condition!$F$17,Condition!$D$17,IF(KD26&lt;=Condition!$F$18,Condition!$D$18,IF(KD26&gt;Condition!$E$19,Condition!$D$19,"")))))</f>
        <v>0</v>
      </c>
      <c r="KE69" s="85">
        <f>IF(KE26&lt;=Condition!$E$16,0,IF(KE26&lt;=Condition!$F$16,Condition!$D$16,IF(KE26&lt;=Condition!$F$17,Condition!$D$17,IF(KE26&lt;=Condition!$F$18,Condition!$D$18,IF(KE26&gt;Condition!$E$19,Condition!$D$19,"")))))</f>
        <v>0</v>
      </c>
      <c r="KF69" s="85">
        <f>IF(KF26&lt;=Condition!$E$16,0,IF(KF26&lt;=Condition!$F$16,Condition!$D$16,IF(KF26&lt;=Condition!$F$17,Condition!$D$17,IF(KF26&lt;=Condition!$F$18,Condition!$D$18,IF(KF26&gt;Condition!$E$19,Condition!$D$19,"")))))</f>
        <v>0</v>
      </c>
      <c r="KG69" s="85">
        <f>IF(KG26&lt;=Condition!$E$16,0,IF(KG26&lt;=Condition!$F$16,Condition!$D$16,IF(KG26&lt;=Condition!$F$17,Condition!$D$17,IF(KG26&lt;=Condition!$F$18,Condition!$D$18,IF(KG26&gt;Condition!$E$19,Condition!$D$19,"")))))</f>
        <v>0</v>
      </c>
      <c r="KH69" s="85">
        <f>IF(KH26&lt;=Condition!$E$16,0,IF(KH26&lt;=Condition!$F$16,Condition!$D$16,IF(KH26&lt;=Condition!$F$17,Condition!$D$17,IF(KH26&lt;=Condition!$F$18,Condition!$D$18,IF(KH26&gt;Condition!$E$19,Condition!$D$19,"")))))</f>
        <v>0</v>
      </c>
      <c r="KI69" s="85">
        <f>IF(KI26&lt;=Condition!$E$16,0,IF(KI26&lt;=Condition!$F$16,Condition!$D$16,IF(KI26&lt;=Condition!$F$17,Condition!$D$17,IF(KI26&lt;=Condition!$F$18,Condition!$D$18,IF(KI26&gt;Condition!$E$19,Condition!$D$19,"")))))</f>
        <v>0</v>
      </c>
    </row>
    <row r="70" spans="2:295" x14ac:dyDescent="0.25">
      <c r="B70" s="15">
        <f t="shared" ref="B70:E70" si="25">B27</f>
        <v>15</v>
      </c>
      <c r="C70" s="25" t="str">
        <f t="shared" si="25"/>
        <v/>
      </c>
      <c r="D70" s="25" t="str">
        <f t="shared" si="25"/>
        <v>New-2</v>
      </c>
      <c r="E70" s="26" t="str">
        <f t="shared" si="25"/>
        <v/>
      </c>
      <c r="F70" s="112">
        <f t="shared" si="4"/>
        <v>0</v>
      </c>
      <c r="G70" s="112">
        <f t="shared" si="5"/>
        <v>0</v>
      </c>
      <c r="H70" s="85">
        <f>IF(H27&lt;=Condition!$E$16,0,IF(H27&lt;=Condition!$F$16,Condition!$D$16,IF(H27&lt;=Condition!$F$17,Condition!$D$17,IF(H27&lt;=Condition!$F$18,Condition!$D$18,IF(H27&gt;Condition!$E$19,Condition!$D$19,"")))))</f>
        <v>0</v>
      </c>
      <c r="I70" s="85">
        <f>IF(I27&lt;=Condition!$E$16,0,IF(I27&lt;=Condition!$F$16,Condition!$D$16,IF(I27&lt;=Condition!$F$17,Condition!$D$17,IF(I27&lt;=Condition!$F$18,Condition!$D$18,IF(I27&gt;Condition!$E$19,Condition!$D$19,"")))))</f>
        <v>0</v>
      </c>
      <c r="J70" s="85">
        <f>IF(J27&lt;=Condition!$E$16,0,IF(J27&lt;=Condition!$F$16,Condition!$D$16,IF(J27&lt;=Condition!$F$17,Condition!$D$17,IF(J27&lt;=Condition!$F$18,Condition!$D$18,IF(J27&gt;Condition!$E$19,Condition!$D$19,"")))))</f>
        <v>0</v>
      </c>
      <c r="K70" s="85">
        <f>IF(K27&lt;=Condition!$E$16,0,IF(K27&lt;=Condition!$F$16,Condition!$D$16,IF(K27&lt;=Condition!$F$17,Condition!$D$17,IF(K27&lt;=Condition!$F$18,Condition!$D$18,IF(K27&gt;Condition!$E$19,Condition!$D$19,"")))))</f>
        <v>0</v>
      </c>
      <c r="L70" s="85">
        <f>IF(L27&lt;=Condition!$E$16,0,IF(L27&lt;=Condition!$F$16,Condition!$D$16,IF(L27&lt;=Condition!$F$17,Condition!$D$17,IF(L27&lt;=Condition!$F$18,Condition!$D$18,IF(L27&gt;Condition!$E$19,Condition!$D$19,"")))))</f>
        <v>0</v>
      </c>
      <c r="M70" s="85">
        <f>IF(M27&lt;=Condition!$E$16,0,IF(M27&lt;=Condition!$F$16,Condition!$D$16,IF(M27&lt;=Condition!$F$17,Condition!$D$17,IF(M27&lt;=Condition!$F$18,Condition!$D$18,IF(M27&gt;Condition!$E$19,Condition!$D$19,"")))))</f>
        <v>0</v>
      </c>
      <c r="N70" s="85">
        <f>IF(N27&lt;=Condition!$E$16,0,IF(N27&lt;=Condition!$F$16,Condition!$D$16,IF(N27&lt;=Condition!$F$17,Condition!$D$17,IF(N27&lt;=Condition!$F$18,Condition!$D$18,IF(N27&gt;Condition!$E$19,Condition!$D$19,"")))))</f>
        <v>0</v>
      </c>
      <c r="O70" s="85">
        <f>IF(O27&lt;=Condition!$E$16,0,IF(O27&lt;=Condition!$F$16,Condition!$D$16,IF(O27&lt;=Condition!$F$17,Condition!$D$17,IF(O27&lt;=Condition!$F$18,Condition!$D$18,IF(O27&gt;Condition!$E$19,Condition!$D$19,"")))))</f>
        <v>0</v>
      </c>
      <c r="P70" s="85">
        <f>IF(P27&lt;=Condition!$E$16,0,IF(P27&lt;=Condition!$F$16,Condition!$D$16,IF(P27&lt;=Condition!$F$17,Condition!$D$17,IF(P27&lt;=Condition!$F$18,Condition!$D$18,IF(P27&gt;Condition!$E$19,Condition!$D$19,"")))))</f>
        <v>0</v>
      </c>
      <c r="Q70" s="85">
        <f>IF(Q27&lt;=Condition!$E$16,0,IF(Q27&lt;=Condition!$F$16,Condition!$D$16,IF(Q27&lt;=Condition!$F$17,Condition!$D$17,IF(Q27&lt;=Condition!$F$18,Condition!$D$18,IF(Q27&gt;Condition!$E$19,Condition!$D$19,"")))))</f>
        <v>0</v>
      </c>
      <c r="R70" s="85">
        <f>IF(R27&lt;=Condition!$E$16,0,IF(R27&lt;=Condition!$F$16,Condition!$D$16,IF(R27&lt;=Condition!$F$17,Condition!$D$17,IF(R27&lt;=Condition!$F$18,Condition!$D$18,IF(R27&gt;Condition!$E$19,Condition!$D$19,"")))))</f>
        <v>0</v>
      </c>
      <c r="S70" s="85">
        <f>IF(S27&lt;=Condition!$E$16,0,IF(S27&lt;=Condition!$F$16,Condition!$D$16,IF(S27&lt;=Condition!$F$17,Condition!$D$17,IF(S27&lt;=Condition!$F$18,Condition!$D$18,IF(S27&gt;Condition!$E$19,Condition!$D$19,"")))))</f>
        <v>0</v>
      </c>
      <c r="T70" s="85">
        <f>IF(T27&lt;=Condition!$E$16,0,IF(T27&lt;=Condition!$F$16,Condition!$D$16,IF(T27&lt;=Condition!$F$17,Condition!$D$17,IF(T27&lt;=Condition!$F$18,Condition!$D$18,IF(T27&gt;Condition!$E$19,Condition!$D$19,"")))))</f>
        <v>0</v>
      </c>
      <c r="U70" s="85">
        <f>IF(U27&lt;=Condition!$E$16,0,IF(U27&lt;=Condition!$F$16,Condition!$D$16,IF(U27&lt;=Condition!$F$17,Condition!$D$17,IF(U27&lt;=Condition!$F$18,Condition!$D$18,IF(U27&gt;Condition!$E$19,Condition!$D$19,"")))))</f>
        <v>0</v>
      </c>
      <c r="V70" s="85">
        <f>IF(V27&lt;=Condition!$E$16,0,IF(V27&lt;=Condition!$F$16,Condition!$D$16,IF(V27&lt;=Condition!$F$17,Condition!$D$17,IF(V27&lt;=Condition!$F$18,Condition!$D$18,IF(V27&gt;Condition!$E$19,Condition!$D$19,"")))))</f>
        <v>0</v>
      </c>
      <c r="W70" s="85">
        <f>IF(W27&lt;=Condition!$E$16,0,IF(W27&lt;=Condition!$F$16,Condition!$D$16,IF(W27&lt;=Condition!$F$17,Condition!$D$17,IF(W27&lt;=Condition!$F$18,Condition!$D$18,IF(W27&gt;Condition!$E$19,Condition!$D$19,"")))))</f>
        <v>0</v>
      </c>
      <c r="X70" s="85">
        <f>IF(X27&lt;=Condition!$E$16,0,IF(X27&lt;=Condition!$F$16,Condition!$D$16,IF(X27&lt;=Condition!$F$17,Condition!$D$17,IF(X27&lt;=Condition!$F$18,Condition!$D$18,IF(X27&gt;Condition!$E$19,Condition!$D$19,"")))))</f>
        <v>0</v>
      </c>
      <c r="Y70" s="85">
        <f>IF(Y27&lt;=Condition!$E$16,0,IF(Y27&lt;=Condition!$F$16,Condition!$D$16,IF(Y27&lt;=Condition!$F$17,Condition!$D$17,IF(Y27&lt;=Condition!$F$18,Condition!$D$18,IF(Y27&gt;Condition!$E$19,Condition!$D$19,"")))))</f>
        <v>0</v>
      </c>
      <c r="Z70" s="85">
        <f>IF(Z27&lt;=Condition!$E$16,0,IF(Z27&lt;=Condition!$F$16,Condition!$D$16,IF(Z27&lt;=Condition!$F$17,Condition!$D$17,IF(Z27&lt;=Condition!$F$18,Condition!$D$18,IF(Z27&gt;Condition!$E$19,Condition!$D$19,"")))))</f>
        <v>0</v>
      </c>
      <c r="AA70" s="85">
        <f>IF(AA27&lt;=Condition!$E$16,0,IF(AA27&lt;=Condition!$F$16,Condition!$D$16,IF(AA27&lt;=Condition!$F$17,Condition!$D$17,IF(AA27&lt;=Condition!$F$18,Condition!$D$18,IF(AA27&gt;Condition!$E$19,Condition!$D$19,"")))))</f>
        <v>0</v>
      </c>
      <c r="AB70" s="85">
        <f>IF(AB27&lt;=Condition!$E$16,0,IF(AB27&lt;=Condition!$F$16,Condition!$D$16,IF(AB27&lt;=Condition!$F$17,Condition!$D$17,IF(AB27&lt;=Condition!$F$18,Condition!$D$18,IF(AB27&gt;Condition!$E$19,Condition!$D$19,"")))))</f>
        <v>0</v>
      </c>
      <c r="AC70" s="85">
        <f>IF(AC27&lt;=Condition!$E$16,0,IF(AC27&lt;=Condition!$F$16,Condition!$D$16,IF(AC27&lt;=Condition!$F$17,Condition!$D$17,IF(AC27&lt;=Condition!$F$18,Condition!$D$18,IF(AC27&gt;Condition!$E$19,Condition!$D$19,"")))))</f>
        <v>0</v>
      </c>
      <c r="AD70" s="85">
        <f>IF(AD27&lt;=Condition!$E$16,0,IF(AD27&lt;=Condition!$F$16,Condition!$D$16,IF(AD27&lt;=Condition!$F$17,Condition!$D$17,IF(AD27&lt;=Condition!$F$18,Condition!$D$18,IF(AD27&gt;Condition!$E$19,Condition!$D$19,"")))))</f>
        <v>0</v>
      </c>
      <c r="AE70" s="85">
        <f>IF(AE27&lt;=Condition!$E$16,0,IF(AE27&lt;=Condition!$F$16,Condition!$D$16,IF(AE27&lt;=Condition!$F$17,Condition!$D$17,IF(AE27&lt;=Condition!$F$18,Condition!$D$18,IF(AE27&gt;Condition!$E$19,Condition!$D$19,"")))))</f>
        <v>0</v>
      </c>
      <c r="AF70" s="85">
        <f>IF(AF27&lt;=Condition!$E$16,0,IF(AF27&lt;=Condition!$F$16,Condition!$D$16,IF(AF27&lt;=Condition!$F$17,Condition!$D$17,IF(AF27&lt;=Condition!$F$18,Condition!$D$18,IF(AF27&gt;Condition!$E$19,Condition!$D$19,"")))))</f>
        <v>0</v>
      </c>
      <c r="AG70" s="85">
        <f>IF(AG27&lt;=Condition!$E$16,0,IF(AG27&lt;=Condition!$F$16,Condition!$D$16,IF(AG27&lt;=Condition!$F$17,Condition!$D$17,IF(AG27&lt;=Condition!$F$18,Condition!$D$18,IF(AG27&gt;Condition!$E$19,Condition!$D$19,"")))))</f>
        <v>0</v>
      </c>
      <c r="AH70" s="85">
        <f>IF(AH27&lt;=Condition!$E$16,0,IF(AH27&lt;=Condition!$F$16,Condition!$D$16,IF(AH27&lt;=Condition!$F$17,Condition!$D$17,IF(AH27&lt;=Condition!$F$18,Condition!$D$18,IF(AH27&gt;Condition!$E$19,Condition!$D$19,"")))))</f>
        <v>0</v>
      </c>
      <c r="AI70" s="85">
        <f>IF(AI27&lt;=Condition!$E$16,0,IF(AI27&lt;=Condition!$F$16,Condition!$D$16,IF(AI27&lt;=Condition!$F$17,Condition!$D$17,IF(AI27&lt;=Condition!$F$18,Condition!$D$18,IF(AI27&gt;Condition!$E$19,Condition!$D$19,"")))))</f>
        <v>0</v>
      </c>
      <c r="AJ70" s="85">
        <f>IF(AJ27&lt;=Condition!$E$16,0,IF(AJ27&lt;=Condition!$F$16,Condition!$D$16,IF(AJ27&lt;=Condition!$F$17,Condition!$D$17,IF(AJ27&lt;=Condition!$F$18,Condition!$D$18,IF(AJ27&gt;Condition!$E$19,Condition!$D$19,"")))))</f>
        <v>0</v>
      </c>
      <c r="AK70" s="85">
        <f>IF(AK27&lt;=Condition!$E$16,0,IF(AK27&lt;=Condition!$F$16,Condition!$D$16,IF(AK27&lt;=Condition!$F$17,Condition!$D$17,IF(AK27&lt;=Condition!$F$18,Condition!$D$18,IF(AK27&gt;Condition!$E$19,Condition!$D$19,"")))))</f>
        <v>0</v>
      </c>
      <c r="AL70" s="85">
        <f>IF(AL27&lt;=Condition!$E$16,0,IF(AL27&lt;=Condition!$F$16,Condition!$D$16,IF(AL27&lt;=Condition!$F$17,Condition!$D$17,IF(AL27&lt;=Condition!$F$18,Condition!$D$18,IF(AL27&gt;Condition!$E$19,Condition!$D$19,"")))))</f>
        <v>0</v>
      </c>
      <c r="AM70" s="85">
        <f>IF(AM27&lt;=Condition!$E$16,0,IF(AM27&lt;=Condition!$F$16,Condition!$D$16,IF(AM27&lt;=Condition!$F$17,Condition!$D$17,IF(AM27&lt;=Condition!$F$18,Condition!$D$18,IF(AM27&gt;Condition!$E$19,Condition!$D$19,"")))))</f>
        <v>0</v>
      </c>
      <c r="AN70" s="85">
        <f>IF(AN27&lt;=Condition!$E$16,0,IF(AN27&lt;=Condition!$F$16,Condition!$D$16,IF(AN27&lt;=Condition!$F$17,Condition!$D$17,IF(AN27&lt;=Condition!$F$18,Condition!$D$18,IF(AN27&gt;Condition!$E$19,Condition!$D$19,"")))))</f>
        <v>0</v>
      </c>
      <c r="AO70" s="85">
        <f>IF(AO27&lt;=Condition!$E$16,0,IF(AO27&lt;=Condition!$F$16,Condition!$D$16,IF(AO27&lt;=Condition!$F$17,Condition!$D$17,IF(AO27&lt;=Condition!$F$18,Condition!$D$18,IF(AO27&gt;Condition!$E$19,Condition!$D$19,"")))))</f>
        <v>0</v>
      </c>
      <c r="AP70" s="85">
        <f>IF(AP27&lt;=Condition!$E$16,0,IF(AP27&lt;=Condition!$F$16,Condition!$D$16,IF(AP27&lt;=Condition!$F$17,Condition!$D$17,IF(AP27&lt;=Condition!$F$18,Condition!$D$18,IF(AP27&gt;Condition!$E$19,Condition!$D$19,"")))))</f>
        <v>0</v>
      </c>
      <c r="AQ70" s="85">
        <f>IF(AQ27&lt;=Condition!$E$16,0,IF(AQ27&lt;=Condition!$F$16,Condition!$D$16,IF(AQ27&lt;=Condition!$F$17,Condition!$D$17,IF(AQ27&lt;=Condition!$F$18,Condition!$D$18,IF(AQ27&gt;Condition!$E$19,Condition!$D$19,"")))))</f>
        <v>0</v>
      </c>
      <c r="AR70" s="85">
        <f>IF(AR27&lt;=Condition!$E$16,0,IF(AR27&lt;=Condition!$F$16,Condition!$D$16,IF(AR27&lt;=Condition!$F$17,Condition!$D$17,IF(AR27&lt;=Condition!$F$18,Condition!$D$18,IF(AR27&gt;Condition!$E$19,Condition!$D$19,"")))))</f>
        <v>0</v>
      </c>
      <c r="AS70" s="85">
        <f>IF(AS27&lt;=Condition!$E$16,0,IF(AS27&lt;=Condition!$F$16,Condition!$D$16,IF(AS27&lt;=Condition!$F$17,Condition!$D$17,IF(AS27&lt;=Condition!$F$18,Condition!$D$18,IF(AS27&gt;Condition!$E$19,Condition!$D$19,"")))))</f>
        <v>0</v>
      </c>
      <c r="AT70" s="85">
        <f>IF(AT27&lt;=Condition!$E$16,0,IF(AT27&lt;=Condition!$F$16,Condition!$D$16,IF(AT27&lt;=Condition!$F$17,Condition!$D$17,IF(AT27&lt;=Condition!$F$18,Condition!$D$18,IF(AT27&gt;Condition!$E$19,Condition!$D$19,"")))))</f>
        <v>0</v>
      </c>
      <c r="AU70" s="85">
        <f>IF(AU27&lt;=Condition!$E$16,0,IF(AU27&lt;=Condition!$F$16,Condition!$D$16,IF(AU27&lt;=Condition!$F$17,Condition!$D$17,IF(AU27&lt;=Condition!$F$18,Condition!$D$18,IF(AU27&gt;Condition!$E$19,Condition!$D$19,"")))))</f>
        <v>0</v>
      </c>
      <c r="AV70" s="85">
        <f>IF(AV27&lt;=Condition!$E$16,0,IF(AV27&lt;=Condition!$F$16,Condition!$D$16,IF(AV27&lt;=Condition!$F$17,Condition!$D$17,IF(AV27&lt;=Condition!$F$18,Condition!$D$18,IF(AV27&gt;Condition!$E$19,Condition!$D$19,"")))))</f>
        <v>0</v>
      </c>
      <c r="AW70" s="85">
        <f>IF(AW27&lt;=Condition!$E$16,0,IF(AW27&lt;=Condition!$F$16,Condition!$D$16,IF(AW27&lt;=Condition!$F$17,Condition!$D$17,IF(AW27&lt;=Condition!$F$18,Condition!$D$18,IF(AW27&gt;Condition!$E$19,Condition!$D$19,"")))))</f>
        <v>0</v>
      </c>
      <c r="AX70" s="85">
        <f>IF(AX27&lt;=Condition!$E$16,0,IF(AX27&lt;=Condition!$F$16,Condition!$D$16,IF(AX27&lt;=Condition!$F$17,Condition!$D$17,IF(AX27&lt;=Condition!$F$18,Condition!$D$18,IF(AX27&gt;Condition!$E$19,Condition!$D$19,"")))))</f>
        <v>0</v>
      </c>
      <c r="AY70" s="85">
        <f>IF(AY27&lt;=Condition!$E$16,0,IF(AY27&lt;=Condition!$F$16,Condition!$D$16,IF(AY27&lt;=Condition!$F$17,Condition!$D$17,IF(AY27&lt;=Condition!$F$18,Condition!$D$18,IF(AY27&gt;Condition!$E$19,Condition!$D$19,"")))))</f>
        <v>0</v>
      </c>
      <c r="AZ70" s="85">
        <f>IF(AZ27&lt;=Condition!$E$16,0,IF(AZ27&lt;=Condition!$F$16,Condition!$D$16,IF(AZ27&lt;=Condition!$F$17,Condition!$D$17,IF(AZ27&lt;=Condition!$F$18,Condition!$D$18,IF(AZ27&gt;Condition!$E$19,Condition!$D$19,"")))))</f>
        <v>0</v>
      </c>
      <c r="BA70" s="85">
        <f>IF(BA27&lt;=Condition!$E$16,0,IF(BA27&lt;=Condition!$F$16,Condition!$D$16,IF(BA27&lt;=Condition!$F$17,Condition!$D$17,IF(BA27&lt;=Condition!$F$18,Condition!$D$18,IF(BA27&gt;Condition!$E$19,Condition!$D$19,"")))))</f>
        <v>0</v>
      </c>
      <c r="BB70" s="85">
        <f>IF(BB27&lt;=Condition!$E$16,0,IF(BB27&lt;=Condition!$F$16,Condition!$D$16,IF(BB27&lt;=Condition!$F$17,Condition!$D$17,IF(BB27&lt;=Condition!$F$18,Condition!$D$18,IF(BB27&gt;Condition!$E$19,Condition!$D$19,"")))))</f>
        <v>0</v>
      </c>
      <c r="BC70" s="85">
        <f>IF(BC27&lt;=Condition!$E$16,0,IF(BC27&lt;=Condition!$F$16,Condition!$D$16,IF(BC27&lt;=Condition!$F$17,Condition!$D$17,IF(BC27&lt;=Condition!$F$18,Condition!$D$18,IF(BC27&gt;Condition!$E$19,Condition!$D$19,"")))))</f>
        <v>0</v>
      </c>
      <c r="BD70" s="85">
        <f>IF(BD27&lt;=Condition!$E$16,0,IF(BD27&lt;=Condition!$F$16,Condition!$D$16,IF(BD27&lt;=Condition!$F$17,Condition!$D$17,IF(BD27&lt;=Condition!$F$18,Condition!$D$18,IF(BD27&gt;Condition!$E$19,Condition!$D$19,"")))))</f>
        <v>0</v>
      </c>
      <c r="BE70" s="85">
        <f>IF(BE27&lt;=Condition!$E$16,0,IF(BE27&lt;=Condition!$F$16,Condition!$D$16,IF(BE27&lt;=Condition!$F$17,Condition!$D$17,IF(BE27&lt;=Condition!$F$18,Condition!$D$18,IF(BE27&gt;Condition!$E$19,Condition!$D$19,"")))))</f>
        <v>0</v>
      </c>
      <c r="BF70" s="85">
        <f>IF(BF27&lt;=Condition!$E$16,0,IF(BF27&lt;=Condition!$F$16,Condition!$D$16,IF(BF27&lt;=Condition!$F$17,Condition!$D$17,IF(BF27&lt;=Condition!$F$18,Condition!$D$18,IF(BF27&gt;Condition!$E$19,Condition!$D$19,"")))))</f>
        <v>0</v>
      </c>
      <c r="BG70" s="85">
        <f>IF(BG27&lt;=Condition!$E$16,0,IF(BG27&lt;=Condition!$F$16,Condition!$D$16,IF(BG27&lt;=Condition!$F$17,Condition!$D$17,IF(BG27&lt;=Condition!$F$18,Condition!$D$18,IF(BG27&gt;Condition!$E$19,Condition!$D$19,"")))))</f>
        <v>0</v>
      </c>
      <c r="BH70" s="85">
        <f>IF(BH27&lt;=Condition!$E$16,0,IF(BH27&lt;=Condition!$F$16,Condition!$D$16,IF(BH27&lt;=Condition!$F$17,Condition!$D$17,IF(BH27&lt;=Condition!$F$18,Condition!$D$18,IF(BH27&gt;Condition!$E$19,Condition!$D$19,"")))))</f>
        <v>0</v>
      </c>
      <c r="BI70" s="85">
        <f>IF(BI27&lt;=Condition!$E$16,0,IF(BI27&lt;=Condition!$F$16,Condition!$D$16,IF(BI27&lt;=Condition!$F$17,Condition!$D$17,IF(BI27&lt;=Condition!$F$18,Condition!$D$18,IF(BI27&gt;Condition!$E$19,Condition!$D$19,"")))))</f>
        <v>0</v>
      </c>
      <c r="BJ70" s="85">
        <f>IF(BJ27&lt;=Condition!$E$16,0,IF(BJ27&lt;=Condition!$F$16,Condition!$D$16,IF(BJ27&lt;=Condition!$F$17,Condition!$D$17,IF(BJ27&lt;=Condition!$F$18,Condition!$D$18,IF(BJ27&gt;Condition!$E$19,Condition!$D$19,"")))))</f>
        <v>0</v>
      </c>
      <c r="BK70" s="85">
        <f>IF(BK27&lt;=Condition!$E$16,0,IF(BK27&lt;=Condition!$F$16,Condition!$D$16,IF(BK27&lt;=Condition!$F$17,Condition!$D$17,IF(BK27&lt;=Condition!$F$18,Condition!$D$18,IF(BK27&gt;Condition!$E$19,Condition!$D$19,"")))))</f>
        <v>0</v>
      </c>
      <c r="BL70" s="85">
        <f>IF(BL27&lt;=Condition!$E$16,0,IF(BL27&lt;=Condition!$F$16,Condition!$D$16,IF(BL27&lt;=Condition!$F$17,Condition!$D$17,IF(BL27&lt;=Condition!$F$18,Condition!$D$18,IF(BL27&gt;Condition!$E$19,Condition!$D$19,"")))))</f>
        <v>0</v>
      </c>
      <c r="BM70" s="85">
        <f>IF(BM27&lt;=Condition!$E$16,0,IF(BM27&lt;=Condition!$F$16,Condition!$D$16,IF(BM27&lt;=Condition!$F$17,Condition!$D$17,IF(BM27&lt;=Condition!$F$18,Condition!$D$18,IF(BM27&gt;Condition!$E$19,Condition!$D$19,"")))))</f>
        <v>0</v>
      </c>
      <c r="BN70" s="85">
        <f>IF(BN27&lt;=Condition!$E$16,0,IF(BN27&lt;=Condition!$F$16,Condition!$D$16,IF(BN27&lt;=Condition!$F$17,Condition!$D$17,IF(BN27&lt;=Condition!$F$18,Condition!$D$18,IF(BN27&gt;Condition!$E$19,Condition!$D$19,"")))))</f>
        <v>0</v>
      </c>
      <c r="BO70" s="85">
        <f>IF(BO27&lt;=Condition!$E$16,0,IF(BO27&lt;=Condition!$F$16,Condition!$D$16,IF(BO27&lt;=Condition!$F$17,Condition!$D$17,IF(BO27&lt;=Condition!$F$18,Condition!$D$18,IF(BO27&gt;Condition!$E$19,Condition!$D$19,"")))))</f>
        <v>0</v>
      </c>
      <c r="BP70" s="85">
        <f>IF(BP27&lt;=Condition!$E$16,0,IF(BP27&lt;=Condition!$F$16,Condition!$D$16,IF(BP27&lt;=Condition!$F$17,Condition!$D$17,IF(BP27&lt;=Condition!$F$18,Condition!$D$18,IF(BP27&gt;Condition!$E$19,Condition!$D$19,"")))))</f>
        <v>0</v>
      </c>
      <c r="BQ70" s="85">
        <f>IF(BQ27&lt;=Condition!$E$16,0,IF(BQ27&lt;=Condition!$F$16,Condition!$D$16,IF(BQ27&lt;=Condition!$F$17,Condition!$D$17,IF(BQ27&lt;=Condition!$F$18,Condition!$D$18,IF(BQ27&gt;Condition!$E$19,Condition!$D$19,"")))))</f>
        <v>0</v>
      </c>
      <c r="BR70" s="85">
        <f>IF(BR27&lt;=Condition!$E$16,0,IF(BR27&lt;=Condition!$F$16,Condition!$D$16,IF(BR27&lt;=Condition!$F$17,Condition!$D$17,IF(BR27&lt;=Condition!$F$18,Condition!$D$18,IF(BR27&gt;Condition!$E$19,Condition!$D$19,"")))))</f>
        <v>0</v>
      </c>
      <c r="BS70" s="85">
        <f>IF(BS27&lt;=Condition!$E$16,0,IF(BS27&lt;=Condition!$F$16,Condition!$D$16,IF(BS27&lt;=Condition!$F$17,Condition!$D$17,IF(BS27&lt;=Condition!$F$18,Condition!$D$18,IF(BS27&gt;Condition!$E$19,Condition!$D$19,"")))))</f>
        <v>0</v>
      </c>
      <c r="BT70" s="85">
        <f>IF(BT27&lt;=Condition!$E$16,0,IF(BT27&lt;=Condition!$F$16,Condition!$D$16,IF(BT27&lt;=Condition!$F$17,Condition!$D$17,IF(BT27&lt;=Condition!$F$18,Condition!$D$18,IF(BT27&gt;Condition!$E$19,Condition!$D$19,"")))))</f>
        <v>0</v>
      </c>
      <c r="BU70" s="85">
        <f>IF(BU27&lt;=Condition!$E$16,0,IF(BU27&lt;=Condition!$F$16,Condition!$D$16,IF(BU27&lt;=Condition!$F$17,Condition!$D$17,IF(BU27&lt;=Condition!$F$18,Condition!$D$18,IF(BU27&gt;Condition!$E$19,Condition!$D$19,"")))))</f>
        <v>0</v>
      </c>
      <c r="BV70" s="85">
        <f>IF(BV27&lt;=Condition!$E$16,0,IF(BV27&lt;=Condition!$F$16,Condition!$D$16,IF(BV27&lt;=Condition!$F$17,Condition!$D$17,IF(BV27&lt;=Condition!$F$18,Condition!$D$18,IF(BV27&gt;Condition!$E$19,Condition!$D$19,"")))))</f>
        <v>0</v>
      </c>
      <c r="BW70" s="85">
        <f>IF(BW27&lt;=Condition!$E$16,0,IF(BW27&lt;=Condition!$F$16,Condition!$D$16,IF(BW27&lt;=Condition!$F$17,Condition!$D$17,IF(BW27&lt;=Condition!$F$18,Condition!$D$18,IF(BW27&gt;Condition!$E$19,Condition!$D$19,"")))))</f>
        <v>0</v>
      </c>
      <c r="BX70" s="85">
        <f>IF(BX27&lt;=Condition!$E$16,0,IF(BX27&lt;=Condition!$F$16,Condition!$D$16,IF(BX27&lt;=Condition!$F$17,Condition!$D$17,IF(BX27&lt;=Condition!$F$18,Condition!$D$18,IF(BX27&gt;Condition!$E$19,Condition!$D$19,"")))))</f>
        <v>0</v>
      </c>
      <c r="BY70" s="85">
        <f>IF(BY27&lt;=Condition!$E$16,0,IF(BY27&lt;=Condition!$F$16,Condition!$D$16,IF(BY27&lt;=Condition!$F$17,Condition!$D$17,IF(BY27&lt;=Condition!$F$18,Condition!$D$18,IF(BY27&gt;Condition!$E$19,Condition!$D$19,"")))))</f>
        <v>0</v>
      </c>
      <c r="BZ70" s="85">
        <f>IF(BZ27&lt;=Condition!$E$16,0,IF(BZ27&lt;=Condition!$F$16,Condition!$D$16,IF(BZ27&lt;=Condition!$F$17,Condition!$D$17,IF(BZ27&lt;=Condition!$F$18,Condition!$D$18,IF(BZ27&gt;Condition!$E$19,Condition!$D$19,"")))))</f>
        <v>0</v>
      </c>
      <c r="CA70" s="85">
        <f>IF(CA27&lt;=Condition!$E$16,0,IF(CA27&lt;=Condition!$F$16,Condition!$D$16,IF(CA27&lt;=Condition!$F$17,Condition!$D$17,IF(CA27&lt;=Condition!$F$18,Condition!$D$18,IF(CA27&gt;Condition!$E$19,Condition!$D$19,"")))))</f>
        <v>0</v>
      </c>
      <c r="CB70" s="85">
        <f>IF(CB27&lt;=Condition!$E$16,0,IF(CB27&lt;=Condition!$F$16,Condition!$D$16,IF(CB27&lt;=Condition!$F$17,Condition!$D$17,IF(CB27&lt;=Condition!$F$18,Condition!$D$18,IF(CB27&gt;Condition!$E$19,Condition!$D$19,"")))))</f>
        <v>0</v>
      </c>
      <c r="CC70" s="85">
        <f>IF(CC27&lt;=Condition!$E$16,0,IF(CC27&lt;=Condition!$F$16,Condition!$D$16,IF(CC27&lt;=Condition!$F$17,Condition!$D$17,IF(CC27&lt;=Condition!$F$18,Condition!$D$18,IF(CC27&gt;Condition!$E$19,Condition!$D$19,"")))))</f>
        <v>0</v>
      </c>
      <c r="CD70" s="85">
        <f>IF(CD27&lt;=Condition!$E$16,0,IF(CD27&lt;=Condition!$F$16,Condition!$D$16,IF(CD27&lt;=Condition!$F$17,Condition!$D$17,IF(CD27&lt;=Condition!$F$18,Condition!$D$18,IF(CD27&gt;Condition!$E$19,Condition!$D$19,"")))))</f>
        <v>0</v>
      </c>
      <c r="CE70" s="85">
        <f>IF(CE27&lt;=Condition!$E$16,0,IF(CE27&lt;=Condition!$F$16,Condition!$D$16,IF(CE27&lt;=Condition!$F$17,Condition!$D$17,IF(CE27&lt;=Condition!$F$18,Condition!$D$18,IF(CE27&gt;Condition!$E$19,Condition!$D$19,"")))))</f>
        <v>0</v>
      </c>
      <c r="CF70" s="85">
        <f>IF(CF27&lt;=Condition!$E$16,0,IF(CF27&lt;=Condition!$F$16,Condition!$D$16,IF(CF27&lt;=Condition!$F$17,Condition!$D$17,IF(CF27&lt;=Condition!$F$18,Condition!$D$18,IF(CF27&gt;Condition!$E$19,Condition!$D$19,"")))))</f>
        <v>0</v>
      </c>
      <c r="CG70" s="85">
        <f>IF(CG27&lt;=Condition!$E$16,0,IF(CG27&lt;=Condition!$F$16,Condition!$D$16,IF(CG27&lt;=Condition!$F$17,Condition!$D$17,IF(CG27&lt;=Condition!$F$18,Condition!$D$18,IF(CG27&gt;Condition!$E$19,Condition!$D$19,"")))))</f>
        <v>0</v>
      </c>
      <c r="CH70" s="85">
        <f>IF(CH27&lt;=Condition!$E$16,0,IF(CH27&lt;=Condition!$F$16,Condition!$D$16,IF(CH27&lt;=Condition!$F$17,Condition!$D$17,IF(CH27&lt;=Condition!$F$18,Condition!$D$18,IF(CH27&gt;Condition!$E$19,Condition!$D$19,"")))))</f>
        <v>0</v>
      </c>
      <c r="CI70" s="85">
        <f>IF(CI27&lt;=Condition!$E$16,0,IF(CI27&lt;=Condition!$F$16,Condition!$D$16,IF(CI27&lt;=Condition!$F$17,Condition!$D$17,IF(CI27&lt;=Condition!$F$18,Condition!$D$18,IF(CI27&gt;Condition!$E$19,Condition!$D$19,"")))))</f>
        <v>0</v>
      </c>
      <c r="CJ70" s="85">
        <f>IF(CJ27&lt;=Condition!$E$16,0,IF(CJ27&lt;=Condition!$F$16,Condition!$D$16,IF(CJ27&lt;=Condition!$F$17,Condition!$D$17,IF(CJ27&lt;=Condition!$F$18,Condition!$D$18,IF(CJ27&gt;Condition!$E$19,Condition!$D$19,"")))))</f>
        <v>0</v>
      </c>
      <c r="CK70" s="85">
        <f>IF(CK27&lt;=Condition!$E$16,0,IF(CK27&lt;=Condition!$F$16,Condition!$D$16,IF(CK27&lt;=Condition!$F$17,Condition!$D$17,IF(CK27&lt;=Condition!$F$18,Condition!$D$18,IF(CK27&gt;Condition!$E$19,Condition!$D$19,"")))))</f>
        <v>0</v>
      </c>
      <c r="CL70" s="85">
        <f>IF(CL27&lt;=Condition!$E$16,0,IF(CL27&lt;=Condition!$F$16,Condition!$D$16,IF(CL27&lt;=Condition!$F$17,Condition!$D$17,IF(CL27&lt;=Condition!$F$18,Condition!$D$18,IF(CL27&gt;Condition!$E$19,Condition!$D$19,"")))))</f>
        <v>0</v>
      </c>
      <c r="CM70" s="85">
        <f>IF(CM27&lt;=Condition!$E$16,0,IF(CM27&lt;=Condition!$F$16,Condition!$D$16,IF(CM27&lt;=Condition!$F$17,Condition!$D$17,IF(CM27&lt;=Condition!$F$18,Condition!$D$18,IF(CM27&gt;Condition!$E$19,Condition!$D$19,"")))))</f>
        <v>0</v>
      </c>
      <c r="CN70" s="85">
        <f>IF(CN27&lt;=Condition!$E$16,0,IF(CN27&lt;=Condition!$F$16,Condition!$D$16,IF(CN27&lt;=Condition!$F$17,Condition!$D$17,IF(CN27&lt;=Condition!$F$18,Condition!$D$18,IF(CN27&gt;Condition!$E$19,Condition!$D$19,"")))))</f>
        <v>0</v>
      </c>
      <c r="CO70" s="85">
        <f>IF(CO27&lt;=Condition!$E$16,0,IF(CO27&lt;=Condition!$F$16,Condition!$D$16,IF(CO27&lt;=Condition!$F$17,Condition!$D$17,IF(CO27&lt;=Condition!$F$18,Condition!$D$18,IF(CO27&gt;Condition!$E$19,Condition!$D$19,"")))))</f>
        <v>0</v>
      </c>
      <c r="CP70" s="85">
        <f>IF(CP27&lt;=Condition!$E$16,0,IF(CP27&lt;=Condition!$F$16,Condition!$D$16,IF(CP27&lt;=Condition!$F$17,Condition!$D$17,IF(CP27&lt;=Condition!$F$18,Condition!$D$18,IF(CP27&gt;Condition!$E$19,Condition!$D$19,"")))))</f>
        <v>0</v>
      </c>
      <c r="CQ70" s="85">
        <f>IF(CQ27&lt;=Condition!$E$16,0,IF(CQ27&lt;=Condition!$F$16,Condition!$D$16,IF(CQ27&lt;=Condition!$F$17,Condition!$D$17,IF(CQ27&lt;=Condition!$F$18,Condition!$D$18,IF(CQ27&gt;Condition!$E$19,Condition!$D$19,"")))))</f>
        <v>0</v>
      </c>
      <c r="CR70" s="85">
        <f>IF(CR27&lt;=Condition!$E$16,0,IF(CR27&lt;=Condition!$F$16,Condition!$D$16,IF(CR27&lt;=Condition!$F$17,Condition!$D$17,IF(CR27&lt;=Condition!$F$18,Condition!$D$18,IF(CR27&gt;Condition!$E$19,Condition!$D$19,"")))))</f>
        <v>0</v>
      </c>
      <c r="CS70" s="85">
        <f>IF(CS27&lt;=Condition!$E$16,0,IF(CS27&lt;=Condition!$F$16,Condition!$D$16,IF(CS27&lt;=Condition!$F$17,Condition!$D$17,IF(CS27&lt;=Condition!$F$18,Condition!$D$18,IF(CS27&gt;Condition!$E$19,Condition!$D$19,"")))))</f>
        <v>0</v>
      </c>
      <c r="CT70" s="85">
        <f>IF(CT27&lt;=Condition!$E$16,0,IF(CT27&lt;=Condition!$F$16,Condition!$D$16,IF(CT27&lt;=Condition!$F$17,Condition!$D$17,IF(CT27&lt;=Condition!$F$18,Condition!$D$18,IF(CT27&gt;Condition!$E$19,Condition!$D$19,"")))))</f>
        <v>0</v>
      </c>
      <c r="CU70" s="85">
        <f>IF(CU27&lt;=Condition!$E$16,0,IF(CU27&lt;=Condition!$F$16,Condition!$D$16,IF(CU27&lt;=Condition!$F$17,Condition!$D$17,IF(CU27&lt;=Condition!$F$18,Condition!$D$18,IF(CU27&gt;Condition!$E$19,Condition!$D$19,"")))))</f>
        <v>0</v>
      </c>
      <c r="CV70" s="85">
        <f>IF(CV27&lt;=Condition!$E$16,0,IF(CV27&lt;=Condition!$F$16,Condition!$D$16,IF(CV27&lt;=Condition!$F$17,Condition!$D$17,IF(CV27&lt;=Condition!$F$18,Condition!$D$18,IF(CV27&gt;Condition!$E$19,Condition!$D$19,"")))))</f>
        <v>0</v>
      </c>
      <c r="CW70" s="85">
        <f>IF(CW27&lt;=Condition!$E$16,0,IF(CW27&lt;=Condition!$F$16,Condition!$D$16,IF(CW27&lt;=Condition!$F$17,Condition!$D$17,IF(CW27&lt;=Condition!$F$18,Condition!$D$18,IF(CW27&gt;Condition!$E$19,Condition!$D$19,"")))))</f>
        <v>0</v>
      </c>
      <c r="CX70" s="85">
        <f>IF(CX27&lt;=Condition!$E$16,0,IF(CX27&lt;=Condition!$F$16,Condition!$D$16,IF(CX27&lt;=Condition!$F$17,Condition!$D$17,IF(CX27&lt;=Condition!$F$18,Condition!$D$18,IF(CX27&gt;Condition!$E$19,Condition!$D$19,"")))))</f>
        <v>0</v>
      </c>
      <c r="CY70" s="85">
        <f>IF(CY27&lt;=Condition!$E$16,0,IF(CY27&lt;=Condition!$F$16,Condition!$D$16,IF(CY27&lt;=Condition!$F$17,Condition!$D$17,IF(CY27&lt;=Condition!$F$18,Condition!$D$18,IF(CY27&gt;Condition!$E$19,Condition!$D$19,"")))))</f>
        <v>0</v>
      </c>
      <c r="CZ70" s="85">
        <f>IF(CZ27&lt;=Condition!$E$16,0,IF(CZ27&lt;=Condition!$F$16,Condition!$D$16,IF(CZ27&lt;=Condition!$F$17,Condition!$D$17,IF(CZ27&lt;=Condition!$F$18,Condition!$D$18,IF(CZ27&gt;Condition!$E$19,Condition!$D$19,"")))))</f>
        <v>0</v>
      </c>
      <c r="DA70" s="85">
        <f>IF(DA27&lt;=Condition!$E$16,0,IF(DA27&lt;=Condition!$F$16,Condition!$D$16,IF(DA27&lt;=Condition!$F$17,Condition!$D$17,IF(DA27&lt;=Condition!$F$18,Condition!$D$18,IF(DA27&gt;Condition!$E$19,Condition!$D$19,"")))))</f>
        <v>0</v>
      </c>
      <c r="DB70" s="85">
        <f>IF(DB27&lt;=Condition!$E$16,0,IF(DB27&lt;=Condition!$F$16,Condition!$D$16,IF(DB27&lt;=Condition!$F$17,Condition!$D$17,IF(DB27&lt;=Condition!$F$18,Condition!$D$18,IF(DB27&gt;Condition!$E$19,Condition!$D$19,"")))))</f>
        <v>0</v>
      </c>
      <c r="DC70" s="85">
        <f>IF(DC27&lt;=Condition!$E$16,0,IF(DC27&lt;=Condition!$F$16,Condition!$D$16,IF(DC27&lt;=Condition!$F$17,Condition!$D$17,IF(DC27&lt;=Condition!$F$18,Condition!$D$18,IF(DC27&gt;Condition!$E$19,Condition!$D$19,"")))))</f>
        <v>0</v>
      </c>
      <c r="DD70" s="85">
        <f>IF(DD27&lt;=Condition!$E$16,0,IF(DD27&lt;=Condition!$F$16,Condition!$D$16,IF(DD27&lt;=Condition!$F$17,Condition!$D$17,IF(DD27&lt;=Condition!$F$18,Condition!$D$18,IF(DD27&gt;Condition!$E$19,Condition!$D$19,"")))))</f>
        <v>0</v>
      </c>
      <c r="DE70" s="85">
        <f>IF(DE27&lt;=Condition!$E$16,0,IF(DE27&lt;=Condition!$F$16,Condition!$D$16,IF(DE27&lt;=Condition!$F$17,Condition!$D$17,IF(DE27&lt;=Condition!$F$18,Condition!$D$18,IF(DE27&gt;Condition!$E$19,Condition!$D$19,"")))))</f>
        <v>0</v>
      </c>
      <c r="DF70" s="85">
        <f>IF(DF27&lt;=Condition!$E$16,0,IF(DF27&lt;=Condition!$F$16,Condition!$D$16,IF(DF27&lt;=Condition!$F$17,Condition!$D$17,IF(DF27&lt;=Condition!$F$18,Condition!$D$18,IF(DF27&gt;Condition!$E$19,Condition!$D$19,"")))))</f>
        <v>0</v>
      </c>
      <c r="DG70" s="85">
        <f>IF(DG27&lt;=Condition!$E$16,0,IF(DG27&lt;=Condition!$F$16,Condition!$D$16,IF(DG27&lt;=Condition!$F$17,Condition!$D$17,IF(DG27&lt;=Condition!$F$18,Condition!$D$18,IF(DG27&gt;Condition!$E$19,Condition!$D$19,"")))))</f>
        <v>0</v>
      </c>
      <c r="DH70" s="85">
        <f>IF(DH27&lt;=Condition!$E$16,0,IF(DH27&lt;=Condition!$F$16,Condition!$D$16,IF(DH27&lt;=Condition!$F$17,Condition!$D$17,IF(DH27&lt;=Condition!$F$18,Condition!$D$18,IF(DH27&gt;Condition!$E$19,Condition!$D$19,"")))))</f>
        <v>0</v>
      </c>
      <c r="DI70" s="85">
        <f>IF(DI27&lt;=Condition!$E$16,0,IF(DI27&lt;=Condition!$F$16,Condition!$D$16,IF(DI27&lt;=Condition!$F$17,Condition!$D$17,IF(DI27&lt;=Condition!$F$18,Condition!$D$18,IF(DI27&gt;Condition!$E$19,Condition!$D$19,"")))))</f>
        <v>0</v>
      </c>
      <c r="DJ70" s="85">
        <f>IF(DJ27&lt;=Condition!$E$16,0,IF(DJ27&lt;=Condition!$F$16,Condition!$D$16,IF(DJ27&lt;=Condition!$F$17,Condition!$D$17,IF(DJ27&lt;=Condition!$F$18,Condition!$D$18,IF(DJ27&gt;Condition!$E$19,Condition!$D$19,"")))))</f>
        <v>0</v>
      </c>
      <c r="DK70" s="85">
        <f>IF(DK27&lt;=Condition!$E$16,0,IF(DK27&lt;=Condition!$F$16,Condition!$D$16,IF(DK27&lt;=Condition!$F$17,Condition!$D$17,IF(DK27&lt;=Condition!$F$18,Condition!$D$18,IF(DK27&gt;Condition!$E$19,Condition!$D$19,"")))))</f>
        <v>0</v>
      </c>
      <c r="DL70" s="85">
        <f>IF(DL27&lt;=Condition!$E$16,0,IF(DL27&lt;=Condition!$F$16,Condition!$D$16,IF(DL27&lt;=Condition!$F$17,Condition!$D$17,IF(DL27&lt;=Condition!$F$18,Condition!$D$18,IF(DL27&gt;Condition!$E$19,Condition!$D$19,"")))))</f>
        <v>0</v>
      </c>
      <c r="DM70" s="85">
        <f>IF(DM27&lt;=Condition!$E$16,0,IF(DM27&lt;=Condition!$F$16,Condition!$D$16,IF(DM27&lt;=Condition!$F$17,Condition!$D$17,IF(DM27&lt;=Condition!$F$18,Condition!$D$18,IF(DM27&gt;Condition!$E$19,Condition!$D$19,"")))))</f>
        <v>0</v>
      </c>
      <c r="DN70" s="85">
        <f>IF(DN27&lt;=Condition!$E$16,0,IF(DN27&lt;=Condition!$F$16,Condition!$D$16,IF(DN27&lt;=Condition!$F$17,Condition!$D$17,IF(DN27&lt;=Condition!$F$18,Condition!$D$18,IF(DN27&gt;Condition!$E$19,Condition!$D$19,"")))))</f>
        <v>0</v>
      </c>
      <c r="DO70" s="85">
        <f>IF(DO27&lt;=Condition!$E$16,0,IF(DO27&lt;=Condition!$F$16,Condition!$D$16,IF(DO27&lt;=Condition!$F$17,Condition!$D$17,IF(DO27&lt;=Condition!$F$18,Condition!$D$18,IF(DO27&gt;Condition!$E$19,Condition!$D$19,"")))))</f>
        <v>0</v>
      </c>
      <c r="DP70" s="85">
        <f>IF(DP27&lt;=Condition!$E$16,0,IF(DP27&lt;=Condition!$F$16,Condition!$D$16,IF(DP27&lt;=Condition!$F$17,Condition!$D$17,IF(DP27&lt;=Condition!$F$18,Condition!$D$18,IF(DP27&gt;Condition!$E$19,Condition!$D$19,"")))))</f>
        <v>0</v>
      </c>
      <c r="DQ70" s="85">
        <f>IF(DQ27&lt;=Condition!$E$16,0,IF(DQ27&lt;=Condition!$F$16,Condition!$D$16,IF(DQ27&lt;=Condition!$F$17,Condition!$D$17,IF(DQ27&lt;=Condition!$F$18,Condition!$D$18,IF(DQ27&gt;Condition!$E$19,Condition!$D$19,"")))))</f>
        <v>0</v>
      </c>
      <c r="DR70" s="85">
        <f>IF(DR27&lt;=Condition!$E$16,0,IF(DR27&lt;=Condition!$F$16,Condition!$D$16,IF(DR27&lt;=Condition!$F$17,Condition!$D$17,IF(DR27&lt;=Condition!$F$18,Condition!$D$18,IF(DR27&gt;Condition!$E$19,Condition!$D$19,"")))))</f>
        <v>0</v>
      </c>
      <c r="DS70" s="85">
        <f>IF(DS27&lt;=Condition!$E$16,0,IF(DS27&lt;=Condition!$F$16,Condition!$D$16,IF(DS27&lt;=Condition!$F$17,Condition!$D$17,IF(DS27&lt;=Condition!$F$18,Condition!$D$18,IF(DS27&gt;Condition!$E$19,Condition!$D$19,"")))))</f>
        <v>0</v>
      </c>
      <c r="DT70" s="85">
        <f>IF(DT27&lt;=Condition!$E$16,0,IF(DT27&lt;=Condition!$F$16,Condition!$D$16,IF(DT27&lt;=Condition!$F$17,Condition!$D$17,IF(DT27&lt;=Condition!$F$18,Condition!$D$18,IF(DT27&gt;Condition!$E$19,Condition!$D$19,"")))))</f>
        <v>0</v>
      </c>
      <c r="DU70" s="85">
        <f>IF(DU27&lt;=Condition!$E$16,0,IF(DU27&lt;=Condition!$F$16,Condition!$D$16,IF(DU27&lt;=Condition!$F$17,Condition!$D$17,IF(DU27&lt;=Condition!$F$18,Condition!$D$18,IF(DU27&gt;Condition!$E$19,Condition!$D$19,"")))))</f>
        <v>0</v>
      </c>
      <c r="DV70" s="85">
        <f>IF(DV27&lt;=Condition!$E$16,0,IF(DV27&lt;=Condition!$F$16,Condition!$D$16,IF(DV27&lt;=Condition!$F$17,Condition!$D$17,IF(DV27&lt;=Condition!$F$18,Condition!$D$18,IF(DV27&gt;Condition!$E$19,Condition!$D$19,"")))))</f>
        <v>0</v>
      </c>
      <c r="DW70" s="85">
        <f>IF(DW27&lt;=Condition!$E$16,0,IF(DW27&lt;=Condition!$F$16,Condition!$D$16,IF(DW27&lt;=Condition!$F$17,Condition!$D$17,IF(DW27&lt;=Condition!$F$18,Condition!$D$18,IF(DW27&gt;Condition!$E$19,Condition!$D$19,"")))))</f>
        <v>0</v>
      </c>
      <c r="DX70" s="85">
        <f>IF(DX27&lt;=Condition!$E$16,0,IF(DX27&lt;=Condition!$F$16,Condition!$D$16,IF(DX27&lt;=Condition!$F$17,Condition!$D$17,IF(DX27&lt;=Condition!$F$18,Condition!$D$18,IF(DX27&gt;Condition!$E$19,Condition!$D$19,"")))))</f>
        <v>0</v>
      </c>
      <c r="DY70" s="85">
        <f>IF(DY27&lt;=Condition!$E$16,0,IF(DY27&lt;=Condition!$F$16,Condition!$D$16,IF(DY27&lt;=Condition!$F$17,Condition!$D$17,IF(DY27&lt;=Condition!$F$18,Condition!$D$18,IF(DY27&gt;Condition!$E$19,Condition!$D$19,"")))))</f>
        <v>0</v>
      </c>
      <c r="DZ70" s="85">
        <f>IF(DZ27&lt;=Condition!$E$16,0,IF(DZ27&lt;=Condition!$F$16,Condition!$D$16,IF(DZ27&lt;=Condition!$F$17,Condition!$D$17,IF(DZ27&lt;=Condition!$F$18,Condition!$D$18,IF(DZ27&gt;Condition!$E$19,Condition!$D$19,"")))))</f>
        <v>0</v>
      </c>
      <c r="EA70" s="85">
        <f>IF(EA27&lt;=Condition!$E$16,0,IF(EA27&lt;=Condition!$F$16,Condition!$D$16,IF(EA27&lt;=Condition!$F$17,Condition!$D$17,IF(EA27&lt;=Condition!$F$18,Condition!$D$18,IF(EA27&gt;Condition!$E$19,Condition!$D$19,"")))))</f>
        <v>0</v>
      </c>
      <c r="EB70" s="85">
        <f>IF(EB27&lt;=Condition!$E$16,0,IF(EB27&lt;=Condition!$F$16,Condition!$D$16,IF(EB27&lt;=Condition!$F$17,Condition!$D$17,IF(EB27&lt;=Condition!$F$18,Condition!$D$18,IF(EB27&gt;Condition!$E$19,Condition!$D$19,"")))))</f>
        <v>0</v>
      </c>
      <c r="EC70" s="85">
        <f>IF(EC27&lt;=Condition!$E$16,0,IF(EC27&lt;=Condition!$F$16,Condition!$D$16,IF(EC27&lt;=Condition!$F$17,Condition!$D$17,IF(EC27&lt;=Condition!$F$18,Condition!$D$18,IF(EC27&gt;Condition!$E$19,Condition!$D$19,"")))))</f>
        <v>0</v>
      </c>
      <c r="ED70" s="85">
        <f>IF(ED27&lt;=Condition!$E$16,0,IF(ED27&lt;=Condition!$F$16,Condition!$D$16,IF(ED27&lt;=Condition!$F$17,Condition!$D$17,IF(ED27&lt;=Condition!$F$18,Condition!$D$18,IF(ED27&gt;Condition!$E$19,Condition!$D$19,"")))))</f>
        <v>0</v>
      </c>
      <c r="EE70" s="85">
        <f>IF(EE27&lt;=Condition!$E$16,0,IF(EE27&lt;=Condition!$F$16,Condition!$D$16,IF(EE27&lt;=Condition!$F$17,Condition!$D$17,IF(EE27&lt;=Condition!$F$18,Condition!$D$18,IF(EE27&gt;Condition!$E$19,Condition!$D$19,"")))))</f>
        <v>0</v>
      </c>
      <c r="EF70" s="85">
        <f>IF(EF27&lt;=Condition!$E$16,0,IF(EF27&lt;=Condition!$F$16,Condition!$D$16,IF(EF27&lt;=Condition!$F$17,Condition!$D$17,IF(EF27&lt;=Condition!$F$18,Condition!$D$18,IF(EF27&gt;Condition!$E$19,Condition!$D$19,"")))))</f>
        <v>0</v>
      </c>
      <c r="EG70" s="85">
        <f>IF(EG27&lt;=Condition!$E$16,0,IF(EG27&lt;=Condition!$F$16,Condition!$D$16,IF(EG27&lt;=Condition!$F$17,Condition!$D$17,IF(EG27&lt;=Condition!$F$18,Condition!$D$18,IF(EG27&gt;Condition!$E$19,Condition!$D$19,"")))))</f>
        <v>0</v>
      </c>
      <c r="EH70" s="85">
        <f>IF(EH27&lt;=Condition!$E$16,0,IF(EH27&lt;=Condition!$F$16,Condition!$D$16,IF(EH27&lt;=Condition!$F$17,Condition!$D$17,IF(EH27&lt;=Condition!$F$18,Condition!$D$18,IF(EH27&gt;Condition!$E$19,Condition!$D$19,"")))))</f>
        <v>0</v>
      </c>
      <c r="EI70" s="85">
        <f>IF(EI27&lt;=Condition!$E$16,0,IF(EI27&lt;=Condition!$F$16,Condition!$D$16,IF(EI27&lt;=Condition!$F$17,Condition!$D$17,IF(EI27&lt;=Condition!$F$18,Condition!$D$18,IF(EI27&gt;Condition!$E$19,Condition!$D$19,"")))))</f>
        <v>0</v>
      </c>
      <c r="EJ70" s="85">
        <f>IF(EJ27&lt;=Condition!$E$16,0,IF(EJ27&lt;=Condition!$F$16,Condition!$D$16,IF(EJ27&lt;=Condition!$F$17,Condition!$D$17,IF(EJ27&lt;=Condition!$F$18,Condition!$D$18,IF(EJ27&gt;Condition!$E$19,Condition!$D$19,"")))))</f>
        <v>0</v>
      </c>
      <c r="EK70" s="85">
        <f>IF(EK27&lt;=Condition!$E$16,0,IF(EK27&lt;=Condition!$F$16,Condition!$D$16,IF(EK27&lt;=Condition!$F$17,Condition!$D$17,IF(EK27&lt;=Condition!$F$18,Condition!$D$18,IF(EK27&gt;Condition!$E$19,Condition!$D$19,"")))))</f>
        <v>0</v>
      </c>
      <c r="EL70" s="85">
        <f>IF(EL27&lt;=Condition!$E$16,0,IF(EL27&lt;=Condition!$F$16,Condition!$D$16,IF(EL27&lt;=Condition!$F$17,Condition!$D$17,IF(EL27&lt;=Condition!$F$18,Condition!$D$18,IF(EL27&gt;Condition!$E$19,Condition!$D$19,"")))))</f>
        <v>0</v>
      </c>
      <c r="EM70" s="85">
        <f>IF(EM27&lt;=Condition!$E$16,0,IF(EM27&lt;=Condition!$F$16,Condition!$D$16,IF(EM27&lt;=Condition!$F$17,Condition!$D$17,IF(EM27&lt;=Condition!$F$18,Condition!$D$18,IF(EM27&gt;Condition!$E$19,Condition!$D$19,"")))))</f>
        <v>0</v>
      </c>
      <c r="EN70" s="85">
        <f>IF(EN27&lt;=Condition!$E$16,0,IF(EN27&lt;=Condition!$F$16,Condition!$D$16,IF(EN27&lt;=Condition!$F$17,Condition!$D$17,IF(EN27&lt;=Condition!$F$18,Condition!$D$18,IF(EN27&gt;Condition!$E$19,Condition!$D$19,"")))))</f>
        <v>0</v>
      </c>
      <c r="EO70" s="85">
        <f>IF(EO27&lt;=Condition!$E$16,0,IF(EO27&lt;=Condition!$F$16,Condition!$D$16,IF(EO27&lt;=Condition!$F$17,Condition!$D$17,IF(EO27&lt;=Condition!$F$18,Condition!$D$18,IF(EO27&gt;Condition!$E$19,Condition!$D$19,"")))))</f>
        <v>0</v>
      </c>
      <c r="EP70" s="85">
        <f>IF(EP27&lt;=Condition!$E$16,0,IF(EP27&lt;=Condition!$F$16,Condition!$D$16,IF(EP27&lt;=Condition!$F$17,Condition!$D$17,IF(EP27&lt;=Condition!$F$18,Condition!$D$18,IF(EP27&gt;Condition!$E$19,Condition!$D$19,"")))))</f>
        <v>0</v>
      </c>
      <c r="EQ70" s="85">
        <f>IF(EQ27&lt;=Condition!$E$16,0,IF(EQ27&lt;=Condition!$F$16,Condition!$D$16,IF(EQ27&lt;=Condition!$F$17,Condition!$D$17,IF(EQ27&lt;=Condition!$F$18,Condition!$D$18,IF(EQ27&gt;Condition!$E$19,Condition!$D$19,"")))))</f>
        <v>0</v>
      </c>
      <c r="ER70" s="85">
        <f>IF(ER27&lt;=Condition!$E$16,0,IF(ER27&lt;=Condition!$F$16,Condition!$D$16,IF(ER27&lt;=Condition!$F$17,Condition!$D$17,IF(ER27&lt;=Condition!$F$18,Condition!$D$18,IF(ER27&gt;Condition!$E$19,Condition!$D$19,"")))))</f>
        <v>0</v>
      </c>
      <c r="ES70" s="85">
        <f>IF(ES27&lt;=Condition!$E$16,0,IF(ES27&lt;=Condition!$F$16,Condition!$D$16,IF(ES27&lt;=Condition!$F$17,Condition!$D$17,IF(ES27&lt;=Condition!$F$18,Condition!$D$18,IF(ES27&gt;Condition!$E$19,Condition!$D$19,"")))))</f>
        <v>0</v>
      </c>
      <c r="ET70" s="85">
        <f>IF(ET27&lt;=Condition!$E$16,0,IF(ET27&lt;=Condition!$F$16,Condition!$D$16,IF(ET27&lt;=Condition!$F$17,Condition!$D$17,IF(ET27&lt;=Condition!$F$18,Condition!$D$18,IF(ET27&gt;Condition!$E$19,Condition!$D$19,"")))))</f>
        <v>0</v>
      </c>
      <c r="EU70" s="85">
        <f>IF(EU27&lt;=Condition!$E$16,0,IF(EU27&lt;=Condition!$F$16,Condition!$D$16,IF(EU27&lt;=Condition!$F$17,Condition!$D$17,IF(EU27&lt;=Condition!$F$18,Condition!$D$18,IF(EU27&gt;Condition!$E$19,Condition!$D$19,"")))))</f>
        <v>0</v>
      </c>
      <c r="EV70" s="85">
        <f>IF(EV27&lt;=Condition!$E$16,0,IF(EV27&lt;=Condition!$F$16,Condition!$D$16,IF(EV27&lt;=Condition!$F$17,Condition!$D$17,IF(EV27&lt;=Condition!$F$18,Condition!$D$18,IF(EV27&gt;Condition!$E$19,Condition!$D$19,"")))))</f>
        <v>0</v>
      </c>
      <c r="EW70" s="85">
        <f>IF(EW27&lt;=Condition!$E$16,0,IF(EW27&lt;=Condition!$F$16,Condition!$D$16,IF(EW27&lt;=Condition!$F$17,Condition!$D$17,IF(EW27&lt;=Condition!$F$18,Condition!$D$18,IF(EW27&gt;Condition!$E$19,Condition!$D$19,"")))))</f>
        <v>0</v>
      </c>
      <c r="EX70" s="85">
        <f>IF(EX27&lt;=Condition!$E$16,0,IF(EX27&lt;=Condition!$F$16,Condition!$D$16,IF(EX27&lt;=Condition!$F$17,Condition!$D$17,IF(EX27&lt;=Condition!$F$18,Condition!$D$18,IF(EX27&gt;Condition!$E$19,Condition!$D$19,"")))))</f>
        <v>0</v>
      </c>
      <c r="EY70" s="85">
        <f>IF(EY27&lt;=Condition!$E$16,0,IF(EY27&lt;=Condition!$F$16,Condition!$D$16,IF(EY27&lt;=Condition!$F$17,Condition!$D$17,IF(EY27&lt;=Condition!$F$18,Condition!$D$18,IF(EY27&gt;Condition!$E$19,Condition!$D$19,"")))))</f>
        <v>0</v>
      </c>
      <c r="EZ70" s="85">
        <f>IF(EZ27&lt;=Condition!$E$16,0,IF(EZ27&lt;=Condition!$F$16,Condition!$D$16,IF(EZ27&lt;=Condition!$F$17,Condition!$D$17,IF(EZ27&lt;=Condition!$F$18,Condition!$D$18,IF(EZ27&gt;Condition!$E$19,Condition!$D$19,"")))))</f>
        <v>0</v>
      </c>
      <c r="FA70" s="85">
        <f>IF(FA27&lt;=Condition!$E$16,0,IF(FA27&lt;=Condition!$F$16,Condition!$D$16,IF(FA27&lt;=Condition!$F$17,Condition!$D$17,IF(FA27&lt;=Condition!$F$18,Condition!$D$18,IF(FA27&gt;Condition!$E$19,Condition!$D$19,"")))))</f>
        <v>0</v>
      </c>
      <c r="FB70" s="85">
        <f>IF(FB27&lt;=Condition!$E$16,0,IF(FB27&lt;=Condition!$F$16,Condition!$D$16,IF(FB27&lt;=Condition!$F$17,Condition!$D$17,IF(FB27&lt;=Condition!$F$18,Condition!$D$18,IF(FB27&gt;Condition!$E$19,Condition!$D$19,"")))))</f>
        <v>0</v>
      </c>
      <c r="FC70" s="85">
        <f>IF(FC27&lt;=Condition!$E$16,0,IF(FC27&lt;=Condition!$F$16,Condition!$D$16,IF(FC27&lt;=Condition!$F$17,Condition!$D$17,IF(FC27&lt;=Condition!$F$18,Condition!$D$18,IF(FC27&gt;Condition!$E$19,Condition!$D$19,"")))))</f>
        <v>0</v>
      </c>
      <c r="FD70" s="85">
        <f>IF(FD27&lt;=Condition!$E$16,0,IF(FD27&lt;=Condition!$F$16,Condition!$D$16,IF(FD27&lt;=Condition!$F$17,Condition!$D$17,IF(FD27&lt;=Condition!$F$18,Condition!$D$18,IF(FD27&gt;Condition!$E$19,Condition!$D$19,"")))))</f>
        <v>0</v>
      </c>
      <c r="FE70" s="85">
        <f>IF(FE27&lt;=Condition!$E$16,0,IF(FE27&lt;=Condition!$F$16,Condition!$D$16,IF(FE27&lt;=Condition!$F$17,Condition!$D$17,IF(FE27&lt;=Condition!$F$18,Condition!$D$18,IF(FE27&gt;Condition!$E$19,Condition!$D$19,"")))))</f>
        <v>0</v>
      </c>
      <c r="FF70" s="85">
        <f>IF(FF27&lt;=Condition!$E$16,0,IF(FF27&lt;=Condition!$F$16,Condition!$D$16,IF(FF27&lt;=Condition!$F$17,Condition!$D$17,IF(FF27&lt;=Condition!$F$18,Condition!$D$18,IF(FF27&gt;Condition!$E$19,Condition!$D$19,"")))))</f>
        <v>0</v>
      </c>
      <c r="FG70" s="85">
        <f>IF(FG27&lt;=Condition!$E$16,0,IF(FG27&lt;=Condition!$F$16,Condition!$D$16,IF(FG27&lt;=Condition!$F$17,Condition!$D$17,IF(FG27&lt;=Condition!$F$18,Condition!$D$18,IF(FG27&gt;Condition!$E$19,Condition!$D$19,"")))))</f>
        <v>0</v>
      </c>
      <c r="FH70" s="85">
        <f>IF(FH27&lt;=Condition!$E$16,0,IF(FH27&lt;=Condition!$F$16,Condition!$D$16,IF(FH27&lt;=Condition!$F$17,Condition!$D$17,IF(FH27&lt;=Condition!$F$18,Condition!$D$18,IF(FH27&gt;Condition!$E$19,Condition!$D$19,"")))))</f>
        <v>0</v>
      </c>
      <c r="FI70" s="85">
        <f>IF(FI27&lt;=Condition!$E$16,0,IF(FI27&lt;=Condition!$F$16,Condition!$D$16,IF(FI27&lt;=Condition!$F$17,Condition!$D$17,IF(FI27&lt;=Condition!$F$18,Condition!$D$18,IF(FI27&gt;Condition!$E$19,Condition!$D$19,"")))))</f>
        <v>0</v>
      </c>
      <c r="FJ70" s="85">
        <f>IF(FJ27&lt;=Condition!$E$16,0,IF(FJ27&lt;=Condition!$F$16,Condition!$D$16,IF(FJ27&lt;=Condition!$F$17,Condition!$D$17,IF(FJ27&lt;=Condition!$F$18,Condition!$D$18,IF(FJ27&gt;Condition!$E$19,Condition!$D$19,"")))))</f>
        <v>0</v>
      </c>
      <c r="FK70" s="85">
        <f>IF(FK27&lt;=Condition!$E$16,0,IF(FK27&lt;=Condition!$F$16,Condition!$D$16,IF(FK27&lt;=Condition!$F$17,Condition!$D$17,IF(FK27&lt;=Condition!$F$18,Condition!$D$18,IF(FK27&gt;Condition!$E$19,Condition!$D$19,"")))))</f>
        <v>0</v>
      </c>
      <c r="FL70" s="85">
        <f>IF(FL27&lt;=Condition!$E$16,0,IF(FL27&lt;=Condition!$F$16,Condition!$D$16,IF(FL27&lt;=Condition!$F$17,Condition!$D$17,IF(FL27&lt;=Condition!$F$18,Condition!$D$18,IF(FL27&gt;Condition!$E$19,Condition!$D$19,"")))))</f>
        <v>0</v>
      </c>
      <c r="FM70" s="85">
        <f>IF(FM27&lt;=Condition!$E$16,0,IF(FM27&lt;=Condition!$F$16,Condition!$D$16,IF(FM27&lt;=Condition!$F$17,Condition!$D$17,IF(FM27&lt;=Condition!$F$18,Condition!$D$18,IF(FM27&gt;Condition!$E$19,Condition!$D$19,"")))))</f>
        <v>0</v>
      </c>
      <c r="FN70" s="85">
        <f>IF(FN27&lt;=Condition!$E$16,0,IF(FN27&lt;=Condition!$F$16,Condition!$D$16,IF(FN27&lt;=Condition!$F$17,Condition!$D$17,IF(FN27&lt;=Condition!$F$18,Condition!$D$18,IF(FN27&gt;Condition!$E$19,Condition!$D$19,"")))))</f>
        <v>0</v>
      </c>
      <c r="FO70" s="85">
        <f>IF(FO27&lt;=Condition!$E$16,0,IF(FO27&lt;=Condition!$F$16,Condition!$D$16,IF(FO27&lt;=Condition!$F$17,Condition!$D$17,IF(FO27&lt;=Condition!$F$18,Condition!$D$18,IF(FO27&gt;Condition!$E$19,Condition!$D$19,"")))))</f>
        <v>0</v>
      </c>
      <c r="FP70" s="85">
        <f>IF(FP27&lt;=Condition!$E$16,0,IF(FP27&lt;=Condition!$F$16,Condition!$D$16,IF(FP27&lt;=Condition!$F$17,Condition!$D$17,IF(FP27&lt;=Condition!$F$18,Condition!$D$18,IF(FP27&gt;Condition!$E$19,Condition!$D$19,"")))))</f>
        <v>0</v>
      </c>
      <c r="FQ70" s="85">
        <f>IF(FQ27&lt;=Condition!$E$16,0,IF(FQ27&lt;=Condition!$F$16,Condition!$D$16,IF(FQ27&lt;=Condition!$F$17,Condition!$D$17,IF(FQ27&lt;=Condition!$F$18,Condition!$D$18,IF(FQ27&gt;Condition!$E$19,Condition!$D$19,"")))))</f>
        <v>0</v>
      </c>
      <c r="FR70" s="85">
        <f>IF(FR27&lt;=Condition!$E$16,0,IF(FR27&lt;=Condition!$F$16,Condition!$D$16,IF(FR27&lt;=Condition!$F$17,Condition!$D$17,IF(FR27&lt;=Condition!$F$18,Condition!$D$18,IF(FR27&gt;Condition!$E$19,Condition!$D$19,"")))))</f>
        <v>0</v>
      </c>
      <c r="FS70" s="85">
        <f>IF(FS27&lt;=Condition!$E$16,0,IF(FS27&lt;=Condition!$F$16,Condition!$D$16,IF(FS27&lt;=Condition!$F$17,Condition!$D$17,IF(FS27&lt;=Condition!$F$18,Condition!$D$18,IF(FS27&gt;Condition!$E$19,Condition!$D$19,"")))))</f>
        <v>0</v>
      </c>
      <c r="FT70" s="85">
        <f>IF(FT27&lt;=Condition!$E$16,0,IF(FT27&lt;=Condition!$F$16,Condition!$D$16,IF(FT27&lt;=Condition!$F$17,Condition!$D$17,IF(FT27&lt;=Condition!$F$18,Condition!$D$18,IF(FT27&gt;Condition!$E$19,Condition!$D$19,"")))))</f>
        <v>0</v>
      </c>
      <c r="FU70" s="85">
        <f>IF(FU27&lt;=Condition!$E$16,0,IF(FU27&lt;=Condition!$F$16,Condition!$D$16,IF(FU27&lt;=Condition!$F$17,Condition!$D$17,IF(FU27&lt;=Condition!$F$18,Condition!$D$18,IF(FU27&gt;Condition!$E$19,Condition!$D$19,"")))))</f>
        <v>0</v>
      </c>
      <c r="FV70" s="85">
        <f>IF(FV27&lt;=Condition!$E$16,0,IF(FV27&lt;=Condition!$F$16,Condition!$D$16,IF(FV27&lt;=Condition!$F$17,Condition!$D$17,IF(FV27&lt;=Condition!$F$18,Condition!$D$18,IF(FV27&gt;Condition!$E$19,Condition!$D$19,"")))))</f>
        <v>0</v>
      </c>
      <c r="FW70" s="85">
        <f>IF(FW27&lt;=Condition!$E$16,0,IF(FW27&lt;=Condition!$F$16,Condition!$D$16,IF(FW27&lt;=Condition!$F$17,Condition!$D$17,IF(FW27&lt;=Condition!$F$18,Condition!$D$18,IF(FW27&gt;Condition!$E$19,Condition!$D$19,"")))))</f>
        <v>0</v>
      </c>
      <c r="FX70" s="85">
        <f>IF(FX27&lt;=Condition!$E$16,0,IF(FX27&lt;=Condition!$F$16,Condition!$D$16,IF(FX27&lt;=Condition!$F$17,Condition!$D$17,IF(FX27&lt;=Condition!$F$18,Condition!$D$18,IF(FX27&gt;Condition!$E$19,Condition!$D$19,"")))))</f>
        <v>0</v>
      </c>
      <c r="FY70" s="85">
        <f>IF(FY27&lt;=Condition!$E$16,0,IF(FY27&lt;=Condition!$F$16,Condition!$D$16,IF(FY27&lt;=Condition!$F$17,Condition!$D$17,IF(FY27&lt;=Condition!$F$18,Condition!$D$18,IF(FY27&gt;Condition!$E$19,Condition!$D$19,"")))))</f>
        <v>0</v>
      </c>
      <c r="FZ70" s="85">
        <f>IF(FZ27&lt;=Condition!$E$16,0,IF(FZ27&lt;=Condition!$F$16,Condition!$D$16,IF(FZ27&lt;=Condition!$F$17,Condition!$D$17,IF(FZ27&lt;=Condition!$F$18,Condition!$D$18,IF(FZ27&gt;Condition!$E$19,Condition!$D$19,"")))))</f>
        <v>0</v>
      </c>
      <c r="GA70" s="85">
        <f>IF(GA27&lt;=Condition!$E$16,0,IF(GA27&lt;=Condition!$F$16,Condition!$D$16,IF(GA27&lt;=Condition!$F$17,Condition!$D$17,IF(GA27&lt;=Condition!$F$18,Condition!$D$18,IF(GA27&gt;Condition!$E$19,Condition!$D$19,"")))))</f>
        <v>0</v>
      </c>
      <c r="GB70" s="85">
        <f>IF(GB27&lt;=Condition!$E$16,0,IF(GB27&lt;=Condition!$F$16,Condition!$D$16,IF(GB27&lt;=Condition!$F$17,Condition!$D$17,IF(GB27&lt;=Condition!$F$18,Condition!$D$18,IF(GB27&gt;Condition!$E$19,Condition!$D$19,"")))))</f>
        <v>0</v>
      </c>
      <c r="GC70" s="85">
        <f>IF(GC27&lt;=Condition!$E$16,0,IF(GC27&lt;=Condition!$F$16,Condition!$D$16,IF(GC27&lt;=Condition!$F$17,Condition!$D$17,IF(GC27&lt;=Condition!$F$18,Condition!$D$18,IF(GC27&gt;Condition!$E$19,Condition!$D$19,"")))))</f>
        <v>0</v>
      </c>
      <c r="GD70" s="85">
        <f>IF(GD27&lt;=Condition!$E$16,0,IF(GD27&lt;=Condition!$F$16,Condition!$D$16,IF(GD27&lt;=Condition!$F$17,Condition!$D$17,IF(GD27&lt;=Condition!$F$18,Condition!$D$18,IF(GD27&gt;Condition!$E$19,Condition!$D$19,"")))))</f>
        <v>0</v>
      </c>
      <c r="GE70" s="85">
        <f>IF(GE27&lt;=Condition!$E$16,0,IF(GE27&lt;=Condition!$F$16,Condition!$D$16,IF(GE27&lt;=Condition!$F$17,Condition!$D$17,IF(GE27&lt;=Condition!$F$18,Condition!$D$18,IF(GE27&gt;Condition!$E$19,Condition!$D$19,"")))))</f>
        <v>0</v>
      </c>
      <c r="GF70" s="85">
        <f>IF(GF27&lt;=Condition!$E$16,0,IF(GF27&lt;=Condition!$F$16,Condition!$D$16,IF(GF27&lt;=Condition!$F$17,Condition!$D$17,IF(GF27&lt;=Condition!$F$18,Condition!$D$18,IF(GF27&gt;Condition!$E$19,Condition!$D$19,"")))))</f>
        <v>0</v>
      </c>
      <c r="GG70" s="85">
        <f>IF(GG27&lt;=Condition!$E$16,0,IF(GG27&lt;=Condition!$F$16,Condition!$D$16,IF(GG27&lt;=Condition!$F$17,Condition!$D$17,IF(GG27&lt;=Condition!$F$18,Condition!$D$18,IF(GG27&gt;Condition!$E$19,Condition!$D$19,"")))))</f>
        <v>0</v>
      </c>
      <c r="GH70" s="85">
        <f>IF(GH27&lt;=Condition!$E$16,0,IF(GH27&lt;=Condition!$F$16,Condition!$D$16,IF(GH27&lt;=Condition!$F$17,Condition!$D$17,IF(GH27&lt;=Condition!$F$18,Condition!$D$18,IF(GH27&gt;Condition!$E$19,Condition!$D$19,"")))))</f>
        <v>0</v>
      </c>
      <c r="GI70" s="85">
        <f>IF(GI27&lt;=Condition!$E$16,0,IF(GI27&lt;=Condition!$F$16,Condition!$D$16,IF(GI27&lt;=Condition!$F$17,Condition!$D$17,IF(GI27&lt;=Condition!$F$18,Condition!$D$18,IF(GI27&gt;Condition!$E$19,Condition!$D$19,"")))))</f>
        <v>0</v>
      </c>
      <c r="GJ70" s="85">
        <f>IF(GJ27&lt;=Condition!$E$16,0,IF(GJ27&lt;=Condition!$F$16,Condition!$D$16,IF(GJ27&lt;=Condition!$F$17,Condition!$D$17,IF(GJ27&lt;=Condition!$F$18,Condition!$D$18,IF(GJ27&gt;Condition!$E$19,Condition!$D$19,"")))))</f>
        <v>0</v>
      </c>
      <c r="GK70" s="85">
        <f>IF(GK27&lt;=Condition!$E$16,0,IF(GK27&lt;=Condition!$F$16,Condition!$D$16,IF(GK27&lt;=Condition!$F$17,Condition!$D$17,IF(GK27&lt;=Condition!$F$18,Condition!$D$18,IF(GK27&gt;Condition!$E$19,Condition!$D$19,"")))))</f>
        <v>0</v>
      </c>
      <c r="GL70" s="85">
        <f>IF(GL27&lt;=Condition!$E$16,0,IF(GL27&lt;=Condition!$F$16,Condition!$D$16,IF(GL27&lt;=Condition!$F$17,Condition!$D$17,IF(GL27&lt;=Condition!$F$18,Condition!$D$18,IF(GL27&gt;Condition!$E$19,Condition!$D$19,"")))))</f>
        <v>0</v>
      </c>
      <c r="GM70" s="85">
        <f>IF(GM27&lt;=Condition!$E$16,0,IF(GM27&lt;=Condition!$F$16,Condition!$D$16,IF(GM27&lt;=Condition!$F$17,Condition!$D$17,IF(GM27&lt;=Condition!$F$18,Condition!$D$18,IF(GM27&gt;Condition!$E$19,Condition!$D$19,"")))))</f>
        <v>0</v>
      </c>
      <c r="GN70" s="85">
        <f>IF(GN27&lt;=Condition!$E$16,0,IF(GN27&lt;=Condition!$F$16,Condition!$D$16,IF(GN27&lt;=Condition!$F$17,Condition!$D$17,IF(GN27&lt;=Condition!$F$18,Condition!$D$18,IF(GN27&gt;Condition!$E$19,Condition!$D$19,"")))))</f>
        <v>0</v>
      </c>
      <c r="GO70" s="85">
        <f>IF(GO27&lt;=Condition!$E$16,0,IF(GO27&lt;=Condition!$F$16,Condition!$D$16,IF(GO27&lt;=Condition!$F$17,Condition!$D$17,IF(GO27&lt;=Condition!$F$18,Condition!$D$18,IF(GO27&gt;Condition!$E$19,Condition!$D$19,"")))))</f>
        <v>0</v>
      </c>
      <c r="GP70" s="85">
        <f>IF(GP27&lt;=Condition!$E$16,0,IF(GP27&lt;=Condition!$F$16,Condition!$D$16,IF(GP27&lt;=Condition!$F$17,Condition!$D$17,IF(GP27&lt;=Condition!$F$18,Condition!$D$18,IF(GP27&gt;Condition!$E$19,Condition!$D$19,"")))))</f>
        <v>0</v>
      </c>
      <c r="GQ70" s="85">
        <f>IF(GQ27&lt;=Condition!$E$16,0,IF(GQ27&lt;=Condition!$F$16,Condition!$D$16,IF(GQ27&lt;=Condition!$F$17,Condition!$D$17,IF(GQ27&lt;=Condition!$F$18,Condition!$D$18,IF(GQ27&gt;Condition!$E$19,Condition!$D$19,"")))))</f>
        <v>0</v>
      </c>
      <c r="GR70" s="85">
        <f>IF(GR27&lt;=Condition!$E$16,0,IF(GR27&lt;=Condition!$F$16,Condition!$D$16,IF(GR27&lt;=Condition!$F$17,Condition!$D$17,IF(GR27&lt;=Condition!$F$18,Condition!$D$18,IF(GR27&gt;Condition!$E$19,Condition!$D$19,"")))))</f>
        <v>0</v>
      </c>
      <c r="GS70" s="85">
        <f>IF(GS27&lt;=Condition!$E$16,0,IF(GS27&lt;=Condition!$F$16,Condition!$D$16,IF(GS27&lt;=Condition!$F$17,Condition!$D$17,IF(GS27&lt;=Condition!$F$18,Condition!$D$18,IF(GS27&gt;Condition!$E$19,Condition!$D$19,"")))))</f>
        <v>0</v>
      </c>
      <c r="GT70" s="85">
        <f>IF(GT27&lt;=Condition!$E$16,0,IF(GT27&lt;=Condition!$F$16,Condition!$D$16,IF(GT27&lt;=Condition!$F$17,Condition!$D$17,IF(GT27&lt;=Condition!$F$18,Condition!$D$18,IF(GT27&gt;Condition!$E$19,Condition!$D$19,"")))))</f>
        <v>0</v>
      </c>
      <c r="GU70" s="85">
        <f>IF(GU27&lt;=Condition!$E$16,0,IF(GU27&lt;=Condition!$F$16,Condition!$D$16,IF(GU27&lt;=Condition!$F$17,Condition!$D$17,IF(GU27&lt;=Condition!$F$18,Condition!$D$18,IF(GU27&gt;Condition!$E$19,Condition!$D$19,"")))))</f>
        <v>0</v>
      </c>
      <c r="GV70" s="85">
        <f>IF(GV27&lt;=Condition!$E$16,0,IF(GV27&lt;=Condition!$F$16,Condition!$D$16,IF(GV27&lt;=Condition!$F$17,Condition!$D$17,IF(GV27&lt;=Condition!$F$18,Condition!$D$18,IF(GV27&gt;Condition!$E$19,Condition!$D$19,"")))))</f>
        <v>0</v>
      </c>
      <c r="GW70" s="85">
        <f>IF(GW27&lt;=Condition!$E$16,0,IF(GW27&lt;=Condition!$F$16,Condition!$D$16,IF(GW27&lt;=Condition!$F$17,Condition!$D$17,IF(GW27&lt;=Condition!$F$18,Condition!$D$18,IF(GW27&gt;Condition!$E$19,Condition!$D$19,"")))))</f>
        <v>0</v>
      </c>
      <c r="GX70" s="85">
        <f>IF(GX27&lt;=Condition!$E$16,0,IF(GX27&lt;=Condition!$F$16,Condition!$D$16,IF(GX27&lt;=Condition!$F$17,Condition!$D$17,IF(GX27&lt;=Condition!$F$18,Condition!$D$18,IF(GX27&gt;Condition!$E$19,Condition!$D$19,"")))))</f>
        <v>0</v>
      </c>
      <c r="GY70" s="85">
        <f>IF(GY27&lt;=Condition!$E$16,0,IF(GY27&lt;=Condition!$F$16,Condition!$D$16,IF(GY27&lt;=Condition!$F$17,Condition!$D$17,IF(GY27&lt;=Condition!$F$18,Condition!$D$18,IF(GY27&gt;Condition!$E$19,Condition!$D$19,"")))))</f>
        <v>0</v>
      </c>
      <c r="GZ70" s="85">
        <f>IF(GZ27&lt;=Condition!$E$16,0,IF(GZ27&lt;=Condition!$F$16,Condition!$D$16,IF(GZ27&lt;=Condition!$F$17,Condition!$D$17,IF(GZ27&lt;=Condition!$F$18,Condition!$D$18,IF(GZ27&gt;Condition!$E$19,Condition!$D$19,"")))))</f>
        <v>0</v>
      </c>
      <c r="HA70" s="85">
        <f>IF(HA27&lt;=Condition!$E$16,0,IF(HA27&lt;=Condition!$F$16,Condition!$D$16,IF(HA27&lt;=Condition!$F$17,Condition!$D$17,IF(HA27&lt;=Condition!$F$18,Condition!$D$18,IF(HA27&gt;Condition!$E$19,Condition!$D$19,"")))))</f>
        <v>0</v>
      </c>
      <c r="HB70" s="85">
        <f>IF(HB27&lt;=Condition!$E$16,0,IF(HB27&lt;=Condition!$F$16,Condition!$D$16,IF(HB27&lt;=Condition!$F$17,Condition!$D$17,IF(HB27&lt;=Condition!$F$18,Condition!$D$18,IF(HB27&gt;Condition!$E$19,Condition!$D$19,"")))))</f>
        <v>0</v>
      </c>
      <c r="HC70" s="85">
        <f>IF(HC27&lt;=Condition!$E$16,0,IF(HC27&lt;=Condition!$F$16,Condition!$D$16,IF(HC27&lt;=Condition!$F$17,Condition!$D$17,IF(HC27&lt;=Condition!$F$18,Condition!$D$18,IF(HC27&gt;Condition!$E$19,Condition!$D$19,"")))))</f>
        <v>0</v>
      </c>
      <c r="HD70" s="85">
        <f>IF(HD27&lt;=Condition!$E$16,0,IF(HD27&lt;=Condition!$F$16,Condition!$D$16,IF(HD27&lt;=Condition!$F$17,Condition!$D$17,IF(HD27&lt;=Condition!$F$18,Condition!$D$18,IF(HD27&gt;Condition!$E$19,Condition!$D$19,"")))))</f>
        <v>0</v>
      </c>
      <c r="HE70" s="85">
        <f>IF(HE27&lt;=Condition!$E$16,0,IF(HE27&lt;=Condition!$F$16,Condition!$D$16,IF(HE27&lt;=Condition!$F$17,Condition!$D$17,IF(HE27&lt;=Condition!$F$18,Condition!$D$18,IF(HE27&gt;Condition!$E$19,Condition!$D$19,"")))))</f>
        <v>0</v>
      </c>
      <c r="HF70" s="85">
        <f>IF(HF27&lt;=Condition!$E$16,0,IF(HF27&lt;=Condition!$F$16,Condition!$D$16,IF(HF27&lt;=Condition!$F$17,Condition!$D$17,IF(HF27&lt;=Condition!$F$18,Condition!$D$18,IF(HF27&gt;Condition!$E$19,Condition!$D$19,"")))))</f>
        <v>0</v>
      </c>
      <c r="HG70" s="85">
        <f>IF(HG27&lt;=Condition!$E$16,0,IF(HG27&lt;=Condition!$F$16,Condition!$D$16,IF(HG27&lt;=Condition!$F$17,Condition!$D$17,IF(HG27&lt;=Condition!$F$18,Condition!$D$18,IF(HG27&gt;Condition!$E$19,Condition!$D$19,"")))))</f>
        <v>0</v>
      </c>
      <c r="HH70" s="85">
        <f>IF(HH27&lt;=Condition!$E$16,0,IF(HH27&lt;=Condition!$F$16,Condition!$D$16,IF(HH27&lt;=Condition!$F$17,Condition!$D$17,IF(HH27&lt;=Condition!$F$18,Condition!$D$18,IF(HH27&gt;Condition!$E$19,Condition!$D$19,"")))))</f>
        <v>0</v>
      </c>
      <c r="HI70" s="85">
        <f>IF(HI27&lt;=Condition!$E$16,0,IF(HI27&lt;=Condition!$F$16,Condition!$D$16,IF(HI27&lt;=Condition!$F$17,Condition!$D$17,IF(HI27&lt;=Condition!$F$18,Condition!$D$18,IF(HI27&gt;Condition!$E$19,Condition!$D$19,"")))))</f>
        <v>0</v>
      </c>
      <c r="HJ70" s="85">
        <f>IF(HJ27&lt;=Condition!$E$16,0,IF(HJ27&lt;=Condition!$F$16,Condition!$D$16,IF(HJ27&lt;=Condition!$F$17,Condition!$D$17,IF(HJ27&lt;=Condition!$F$18,Condition!$D$18,IF(HJ27&gt;Condition!$E$19,Condition!$D$19,"")))))</f>
        <v>0</v>
      </c>
      <c r="HK70" s="85">
        <f>IF(HK27&lt;=Condition!$E$16,0,IF(HK27&lt;=Condition!$F$16,Condition!$D$16,IF(HK27&lt;=Condition!$F$17,Condition!$D$17,IF(HK27&lt;=Condition!$F$18,Condition!$D$18,IF(HK27&gt;Condition!$E$19,Condition!$D$19,"")))))</f>
        <v>0</v>
      </c>
      <c r="HL70" s="85">
        <f>IF(HL27&lt;=Condition!$E$16,0,IF(HL27&lt;=Condition!$F$16,Condition!$D$16,IF(HL27&lt;=Condition!$F$17,Condition!$D$17,IF(HL27&lt;=Condition!$F$18,Condition!$D$18,IF(HL27&gt;Condition!$E$19,Condition!$D$19,"")))))</f>
        <v>0</v>
      </c>
      <c r="HM70" s="85">
        <f>IF(HM27&lt;=Condition!$E$16,0,IF(HM27&lt;=Condition!$F$16,Condition!$D$16,IF(HM27&lt;=Condition!$F$17,Condition!$D$17,IF(HM27&lt;=Condition!$F$18,Condition!$D$18,IF(HM27&gt;Condition!$E$19,Condition!$D$19,"")))))</f>
        <v>0</v>
      </c>
      <c r="HN70" s="85">
        <f>IF(HN27&lt;=Condition!$E$16,0,IF(HN27&lt;=Condition!$F$16,Condition!$D$16,IF(HN27&lt;=Condition!$F$17,Condition!$D$17,IF(HN27&lt;=Condition!$F$18,Condition!$D$18,IF(HN27&gt;Condition!$E$19,Condition!$D$19,"")))))</f>
        <v>0</v>
      </c>
      <c r="HO70" s="85">
        <f>IF(HO27&lt;=Condition!$E$16,0,IF(HO27&lt;=Condition!$F$16,Condition!$D$16,IF(HO27&lt;=Condition!$F$17,Condition!$D$17,IF(HO27&lt;=Condition!$F$18,Condition!$D$18,IF(HO27&gt;Condition!$E$19,Condition!$D$19,"")))))</f>
        <v>0</v>
      </c>
      <c r="HP70" s="85">
        <f>IF(HP27&lt;=Condition!$E$16,0,IF(HP27&lt;=Condition!$F$16,Condition!$D$16,IF(HP27&lt;=Condition!$F$17,Condition!$D$17,IF(HP27&lt;=Condition!$F$18,Condition!$D$18,IF(HP27&gt;Condition!$E$19,Condition!$D$19,"")))))</f>
        <v>0</v>
      </c>
      <c r="HQ70" s="85">
        <f>IF(HQ27&lt;=Condition!$E$16,0,IF(HQ27&lt;=Condition!$F$16,Condition!$D$16,IF(HQ27&lt;=Condition!$F$17,Condition!$D$17,IF(HQ27&lt;=Condition!$F$18,Condition!$D$18,IF(HQ27&gt;Condition!$E$19,Condition!$D$19,"")))))</f>
        <v>0</v>
      </c>
      <c r="HR70" s="85">
        <f>IF(HR27&lt;=Condition!$E$16,0,IF(HR27&lt;=Condition!$F$16,Condition!$D$16,IF(HR27&lt;=Condition!$F$17,Condition!$D$17,IF(HR27&lt;=Condition!$F$18,Condition!$D$18,IF(HR27&gt;Condition!$E$19,Condition!$D$19,"")))))</f>
        <v>0</v>
      </c>
      <c r="HS70" s="85">
        <f>IF(HS27&lt;=Condition!$E$16,0,IF(HS27&lt;=Condition!$F$16,Condition!$D$16,IF(HS27&lt;=Condition!$F$17,Condition!$D$17,IF(HS27&lt;=Condition!$F$18,Condition!$D$18,IF(HS27&gt;Condition!$E$19,Condition!$D$19,"")))))</f>
        <v>0</v>
      </c>
      <c r="HT70" s="85">
        <f>IF(HT27&lt;=Condition!$E$16,0,IF(HT27&lt;=Condition!$F$16,Condition!$D$16,IF(HT27&lt;=Condition!$F$17,Condition!$D$17,IF(HT27&lt;=Condition!$F$18,Condition!$D$18,IF(HT27&gt;Condition!$E$19,Condition!$D$19,"")))))</f>
        <v>0</v>
      </c>
      <c r="HU70" s="85">
        <f>IF(HU27&lt;=Condition!$E$16,0,IF(HU27&lt;=Condition!$F$16,Condition!$D$16,IF(HU27&lt;=Condition!$F$17,Condition!$D$17,IF(HU27&lt;=Condition!$F$18,Condition!$D$18,IF(HU27&gt;Condition!$E$19,Condition!$D$19,"")))))</f>
        <v>0</v>
      </c>
      <c r="HV70" s="85">
        <f>IF(HV27&lt;=Condition!$E$16,0,IF(HV27&lt;=Condition!$F$16,Condition!$D$16,IF(HV27&lt;=Condition!$F$17,Condition!$D$17,IF(HV27&lt;=Condition!$F$18,Condition!$D$18,IF(HV27&gt;Condition!$E$19,Condition!$D$19,"")))))</f>
        <v>0</v>
      </c>
      <c r="HW70" s="85">
        <f>IF(HW27&lt;=Condition!$E$16,0,IF(HW27&lt;=Condition!$F$16,Condition!$D$16,IF(HW27&lt;=Condition!$F$17,Condition!$D$17,IF(HW27&lt;=Condition!$F$18,Condition!$D$18,IF(HW27&gt;Condition!$E$19,Condition!$D$19,"")))))</f>
        <v>0</v>
      </c>
      <c r="HX70" s="85">
        <f>IF(HX27&lt;=Condition!$E$16,0,IF(HX27&lt;=Condition!$F$16,Condition!$D$16,IF(HX27&lt;=Condition!$F$17,Condition!$D$17,IF(HX27&lt;=Condition!$F$18,Condition!$D$18,IF(HX27&gt;Condition!$E$19,Condition!$D$19,"")))))</f>
        <v>0</v>
      </c>
      <c r="HY70" s="85">
        <f>IF(HY27&lt;=Condition!$E$16,0,IF(HY27&lt;=Condition!$F$16,Condition!$D$16,IF(HY27&lt;=Condition!$F$17,Condition!$D$17,IF(HY27&lt;=Condition!$F$18,Condition!$D$18,IF(HY27&gt;Condition!$E$19,Condition!$D$19,"")))))</f>
        <v>0</v>
      </c>
      <c r="HZ70" s="85">
        <f>IF(HZ27&lt;=Condition!$E$16,0,IF(HZ27&lt;=Condition!$F$16,Condition!$D$16,IF(HZ27&lt;=Condition!$F$17,Condition!$D$17,IF(HZ27&lt;=Condition!$F$18,Condition!$D$18,IF(HZ27&gt;Condition!$E$19,Condition!$D$19,"")))))</f>
        <v>0</v>
      </c>
      <c r="IA70" s="85">
        <f>IF(IA27&lt;=Condition!$E$16,0,IF(IA27&lt;=Condition!$F$16,Condition!$D$16,IF(IA27&lt;=Condition!$F$17,Condition!$D$17,IF(IA27&lt;=Condition!$F$18,Condition!$D$18,IF(IA27&gt;Condition!$E$19,Condition!$D$19,"")))))</f>
        <v>0</v>
      </c>
      <c r="IB70" s="85">
        <f>IF(IB27&lt;=Condition!$E$16,0,IF(IB27&lt;=Condition!$F$16,Condition!$D$16,IF(IB27&lt;=Condition!$F$17,Condition!$D$17,IF(IB27&lt;=Condition!$F$18,Condition!$D$18,IF(IB27&gt;Condition!$E$19,Condition!$D$19,"")))))</f>
        <v>0</v>
      </c>
      <c r="IC70" s="85">
        <f>IF(IC27&lt;=Condition!$E$16,0,IF(IC27&lt;=Condition!$F$16,Condition!$D$16,IF(IC27&lt;=Condition!$F$17,Condition!$D$17,IF(IC27&lt;=Condition!$F$18,Condition!$D$18,IF(IC27&gt;Condition!$E$19,Condition!$D$19,"")))))</f>
        <v>0</v>
      </c>
      <c r="ID70" s="85">
        <f>IF(ID27&lt;=Condition!$E$16,0,IF(ID27&lt;=Condition!$F$16,Condition!$D$16,IF(ID27&lt;=Condition!$F$17,Condition!$D$17,IF(ID27&lt;=Condition!$F$18,Condition!$D$18,IF(ID27&gt;Condition!$E$19,Condition!$D$19,"")))))</f>
        <v>0</v>
      </c>
      <c r="IE70" s="85">
        <f>IF(IE27&lt;=Condition!$E$16,0,IF(IE27&lt;=Condition!$F$16,Condition!$D$16,IF(IE27&lt;=Condition!$F$17,Condition!$D$17,IF(IE27&lt;=Condition!$F$18,Condition!$D$18,IF(IE27&gt;Condition!$E$19,Condition!$D$19,"")))))</f>
        <v>0</v>
      </c>
      <c r="IF70" s="85">
        <f>IF(IF27&lt;=Condition!$E$16,0,IF(IF27&lt;=Condition!$F$16,Condition!$D$16,IF(IF27&lt;=Condition!$F$17,Condition!$D$17,IF(IF27&lt;=Condition!$F$18,Condition!$D$18,IF(IF27&gt;Condition!$E$19,Condition!$D$19,"")))))</f>
        <v>0</v>
      </c>
      <c r="IG70" s="85">
        <f>IF(IG27&lt;=Condition!$E$16,0,IF(IG27&lt;=Condition!$F$16,Condition!$D$16,IF(IG27&lt;=Condition!$F$17,Condition!$D$17,IF(IG27&lt;=Condition!$F$18,Condition!$D$18,IF(IG27&gt;Condition!$E$19,Condition!$D$19,"")))))</f>
        <v>0</v>
      </c>
      <c r="IH70" s="85">
        <f>IF(IH27&lt;=Condition!$E$16,0,IF(IH27&lt;=Condition!$F$16,Condition!$D$16,IF(IH27&lt;=Condition!$F$17,Condition!$D$17,IF(IH27&lt;=Condition!$F$18,Condition!$D$18,IF(IH27&gt;Condition!$E$19,Condition!$D$19,"")))))</f>
        <v>0</v>
      </c>
      <c r="II70" s="85">
        <f>IF(II27&lt;=Condition!$E$16,0,IF(II27&lt;=Condition!$F$16,Condition!$D$16,IF(II27&lt;=Condition!$F$17,Condition!$D$17,IF(II27&lt;=Condition!$F$18,Condition!$D$18,IF(II27&gt;Condition!$E$19,Condition!$D$19,"")))))</f>
        <v>0</v>
      </c>
      <c r="IJ70" s="85">
        <f>IF(IJ27&lt;=Condition!$E$16,0,IF(IJ27&lt;=Condition!$F$16,Condition!$D$16,IF(IJ27&lt;=Condition!$F$17,Condition!$D$17,IF(IJ27&lt;=Condition!$F$18,Condition!$D$18,IF(IJ27&gt;Condition!$E$19,Condition!$D$19,"")))))</f>
        <v>0</v>
      </c>
      <c r="IK70" s="85">
        <f>IF(IK27&lt;=Condition!$E$16,0,IF(IK27&lt;=Condition!$F$16,Condition!$D$16,IF(IK27&lt;=Condition!$F$17,Condition!$D$17,IF(IK27&lt;=Condition!$F$18,Condition!$D$18,IF(IK27&gt;Condition!$E$19,Condition!$D$19,"")))))</f>
        <v>0</v>
      </c>
      <c r="IL70" s="85">
        <f>IF(IL27&lt;=Condition!$E$16,0,IF(IL27&lt;=Condition!$F$16,Condition!$D$16,IF(IL27&lt;=Condition!$F$17,Condition!$D$17,IF(IL27&lt;=Condition!$F$18,Condition!$D$18,IF(IL27&gt;Condition!$E$19,Condition!$D$19,"")))))</f>
        <v>0</v>
      </c>
      <c r="IM70" s="85">
        <f>IF(IM27&lt;=Condition!$E$16,0,IF(IM27&lt;=Condition!$F$16,Condition!$D$16,IF(IM27&lt;=Condition!$F$17,Condition!$D$17,IF(IM27&lt;=Condition!$F$18,Condition!$D$18,IF(IM27&gt;Condition!$E$19,Condition!$D$19,"")))))</f>
        <v>0</v>
      </c>
      <c r="IN70" s="85">
        <f>IF(IN27&lt;=Condition!$E$16,0,IF(IN27&lt;=Condition!$F$16,Condition!$D$16,IF(IN27&lt;=Condition!$F$17,Condition!$D$17,IF(IN27&lt;=Condition!$F$18,Condition!$D$18,IF(IN27&gt;Condition!$E$19,Condition!$D$19,"")))))</f>
        <v>0</v>
      </c>
      <c r="IO70" s="85">
        <f>IF(IO27&lt;=Condition!$E$16,0,IF(IO27&lt;=Condition!$F$16,Condition!$D$16,IF(IO27&lt;=Condition!$F$17,Condition!$D$17,IF(IO27&lt;=Condition!$F$18,Condition!$D$18,IF(IO27&gt;Condition!$E$19,Condition!$D$19,"")))))</f>
        <v>0</v>
      </c>
      <c r="IP70" s="85">
        <f>IF(IP27&lt;=Condition!$E$16,0,IF(IP27&lt;=Condition!$F$16,Condition!$D$16,IF(IP27&lt;=Condition!$F$17,Condition!$D$17,IF(IP27&lt;=Condition!$F$18,Condition!$D$18,IF(IP27&gt;Condition!$E$19,Condition!$D$19,"")))))</f>
        <v>0</v>
      </c>
      <c r="IQ70" s="85">
        <f>IF(IQ27&lt;=Condition!$E$16,0,IF(IQ27&lt;=Condition!$F$16,Condition!$D$16,IF(IQ27&lt;=Condition!$F$17,Condition!$D$17,IF(IQ27&lt;=Condition!$F$18,Condition!$D$18,IF(IQ27&gt;Condition!$E$19,Condition!$D$19,"")))))</f>
        <v>0</v>
      </c>
      <c r="IR70" s="85">
        <f>IF(IR27&lt;=Condition!$E$16,0,IF(IR27&lt;=Condition!$F$16,Condition!$D$16,IF(IR27&lt;=Condition!$F$17,Condition!$D$17,IF(IR27&lt;=Condition!$F$18,Condition!$D$18,IF(IR27&gt;Condition!$E$19,Condition!$D$19,"")))))</f>
        <v>0</v>
      </c>
      <c r="IS70" s="85">
        <f>IF(IS27&lt;=Condition!$E$16,0,IF(IS27&lt;=Condition!$F$16,Condition!$D$16,IF(IS27&lt;=Condition!$F$17,Condition!$D$17,IF(IS27&lt;=Condition!$F$18,Condition!$D$18,IF(IS27&gt;Condition!$E$19,Condition!$D$19,"")))))</f>
        <v>0</v>
      </c>
      <c r="IT70" s="85">
        <f>IF(IT27&lt;=Condition!$E$16,0,IF(IT27&lt;=Condition!$F$16,Condition!$D$16,IF(IT27&lt;=Condition!$F$17,Condition!$D$17,IF(IT27&lt;=Condition!$F$18,Condition!$D$18,IF(IT27&gt;Condition!$E$19,Condition!$D$19,"")))))</f>
        <v>0</v>
      </c>
      <c r="IU70" s="85">
        <f>IF(IU27&lt;=Condition!$E$16,0,IF(IU27&lt;=Condition!$F$16,Condition!$D$16,IF(IU27&lt;=Condition!$F$17,Condition!$D$17,IF(IU27&lt;=Condition!$F$18,Condition!$D$18,IF(IU27&gt;Condition!$E$19,Condition!$D$19,"")))))</f>
        <v>0</v>
      </c>
      <c r="IV70" s="85">
        <f>IF(IV27&lt;=Condition!$E$16,0,IF(IV27&lt;=Condition!$F$16,Condition!$D$16,IF(IV27&lt;=Condition!$F$17,Condition!$D$17,IF(IV27&lt;=Condition!$F$18,Condition!$D$18,IF(IV27&gt;Condition!$E$19,Condition!$D$19,"")))))</f>
        <v>0</v>
      </c>
      <c r="IW70" s="85">
        <f>IF(IW27&lt;=Condition!$E$16,0,IF(IW27&lt;=Condition!$F$16,Condition!$D$16,IF(IW27&lt;=Condition!$F$17,Condition!$D$17,IF(IW27&lt;=Condition!$F$18,Condition!$D$18,IF(IW27&gt;Condition!$E$19,Condition!$D$19,"")))))</f>
        <v>0</v>
      </c>
      <c r="IX70" s="85">
        <f>IF(IX27&lt;=Condition!$E$16,0,IF(IX27&lt;=Condition!$F$16,Condition!$D$16,IF(IX27&lt;=Condition!$F$17,Condition!$D$17,IF(IX27&lt;=Condition!$F$18,Condition!$D$18,IF(IX27&gt;Condition!$E$19,Condition!$D$19,"")))))</f>
        <v>0</v>
      </c>
      <c r="IY70" s="85">
        <f>IF(IY27&lt;=Condition!$E$16,0,IF(IY27&lt;=Condition!$F$16,Condition!$D$16,IF(IY27&lt;=Condition!$F$17,Condition!$D$17,IF(IY27&lt;=Condition!$F$18,Condition!$D$18,IF(IY27&gt;Condition!$E$19,Condition!$D$19,"")))))</f>
        <v>0</v>
      </c>
      <c r="IZ70" s="85">
        <f>IF(IZ27&lt;=Condition!$E$16,0,IF(IZ27&lt;=Condition!$F$16,Condition!$D$16,IF(IZ27&lt;=Condition!$F$17,Condition!$D$17,IF(IZ27&lt;=Condition!$F$18,Condition!$D$18,IF(IZ27&gt;Condition!$E$19,Condition!$D$19,"")))))</f>
        <v>0</v>
      </c>
      <c r="JA70" s="85">
        <f>IF(JA27&lt;=Condition!$E$16,0,IF(JA27&lt;=Condition!$F$16,Condition!$D$16,IF(JA27&lt;=Condition!$F$17,Condition!$D$17,IF(JA27&lt;=Condition!$F$18,Condition!$D$18,IF(JA27&gt;Condition!$E$19,Condition!$D$19,"")))))</f>
        <v>0</v>
      </c>
      <c r="JB70" s="85">
        <f>IF(JB27&lt;=Condition!$E$16,0,IF(JB27&lt;=Condition!$F$16,Condition!$D$16,IF(JB27&lt;=Condition!$F$17,Condition!$D$17,IF(JB27&lt;=Condition!$F$18,Condition!$D$18,IF(JB27&gt;Condition!$E$19,Condition!$D$19,"")))))</f>
        <v>0</v>
      </c>
      <c r="JC70" s="85">
        <f>IF(JC27&lt;=Condition!$E$16,0,IF(JC27&lt;=Condition!$F$16,Condition!$D$16,IF(JC27&lt;=Condition!$F$17,Condition!$D$17,IF(JC27&lt;=Condition!$F$18,Condition!$D$18,IF(JC27&gt;Condition!$E$19,Condition!$D$19,"")))))</f>
        <v>0</v>
      </c>
      <c r="JD70" s="85">
        <f>IF(JD27&lt;=Condition!$E$16,0,IF(JD27&lt;=Condition!$F$16,Condition!$D$16,IF(JD27&lt;=Condition!$F$17,Condition!$D$17,IF(JD27&lt;=Condition!$F$18,Condition!$D$18,IF(JD27&gt;Condition!$E$19,Condition!$D$19,"")))))</f>
        <v>0</v>
      </c>
      <c r="JE70" s="85">
        <f>IF(JE27&lt;=Condition!$E$16,0,IF(JE27&lt;=Condition!$F$16,Condition!$D$16,IF(JE27&lt;=Condition!$F$17,Condition!$D$17,IF(JE27&lt;=Condition!$F$18,Condition!$D$18,IF(JE27&gt;Condition!$E$19,Condition!$D$19,"")))))</f>
        <v>0</v>
      </c>
      <c r="JF70" s="85">
        <f>IF(JF27&lt;=Condition!$E$16,0,IF(JF27&lt;=Condition!$F$16,Condition!$D$16,IF(JF27&lt;=Condition!$F$17,Condition!$D$17,IF(JF27&lt;=Condition!$F$18,Condition!$D$18,IF(JF27&gt;Condition!$E$19,Condition!$D$19,"")))))</f>
        <v>0</v>
      </c>
      <c r="JG70" s="85">
        <f>IF(JG27&lt;=Condition!$E$16,0,IF(JG27&lt;=Condition!$F$16,Condition!$D$16,IF(JG27&lt;=Condition!$F$17,Condition!$D$17,IF(JG27&lt;=Condition!$F$18,Condition!$D$18,IF(JG27&gt;Condition!$E$19,Condition!$D$19,"")))))</f>
        <v>0</v>
      </c>
      <c r="JH70" s="85">
        <f>IF(JH27&lt;=Condition!$E$16,0,IF(JH27&lt;=Condition!$F$16,Condition!$D$16,IF(JH27&lt;=Condition!$F$17,Condition!$D$17,IF(JH27&lt;=Condition!$F$18,Condition!$D$18,IF(JH27&gt;Condition!$E$19,Condition!$D$19,"")))))</f>
        <v>0</v>
      </c>
      <c r="JI70" s="85">
        <f>IF(JI27&lt;=Condition!$E$16,0,IF(JI27&lt;=Condition!$F$16,Condition!$D$16,IF(JI27&lt;=Condition!$F$17,Condition!$D$17,IF(JI27&lt;=Condition!$F$18,Condition!$D$18,IF(JI27&gt;Condition!$E$19,Condition!$D$19,"")))))</f>
        <v>0</v>
      </c>
      <c r="JJ70" s="85">
        <f>IF(JJ27&lt;=Condition!$E$16,0,IF(JJ27&lt;=Condition!$F$16,Condition!$D$16,IF(JJ27&lt;=Condition!$F$17,Condition!$D$17,IF(JJ27&lt;=Condition!$F$18,Condition!$D$18,IF(JJ27&gt;Condition!$E$19,Condition!$D$19,"")))))</f>
        <v>0</v>
      </c>
      <c r="JK70" s="85">
        <f>IF(JK27&lt;=Condition!$E$16,0,IF(JK27&lt;=Condition!$F$16,Condition!$D$16,IF(JK27&lt;=Condition!$F$17,Condition!$D$17,IF(JK27&lt;=Condition!$F$18,Condition!$D$18,IF(JK27&gt;Condition!$E$19,Condition!$D$19,"")))))</f>
        <v>0</v>
      </c>
      <c r="JL70" s="85">
        <f>IF(JL27&lt;=Condition!$E$16,0,IF(JL27&lt;=Condition!$F$16,Condition!$D$16,IF(JL27&lt;=Condition!$F$17,Condition!$D$17,IF(JL27&lt;=Condition!$F$18,Condition!$D$18,IF(JL27&gt;Condition!$E$19,Condition!$D$19,"")))))</f>
        <v>0</v>
      </c>
      <c r="JM70" s="85">
        <f>IF(JM27&lt;=Condition!$E$16,0,IF(JM27&lt;=Condition!$F$16,Condition!$D$16,IF(JM27&lt;=Condition!$F$17,Condition!$D$17,IF(JM27&lt;=Condition!$F$18,Condition!$D$18,IF(JM27&gt;Condition!$E$19,Condition!$D$19,"")))))</f>
        <v>0</v>
      </c>
      <c r="JN70" s="85">
        <f>IF(JN27&lt;=Condition!$E$16,0,IF(JN27&lt;=Condition!$F$16,Condition!$D$16,IF(JN27&lt;=Condition!$F$17,Condition!$D$17,IF(JN27&lt;=Condition!$F$18,Condition!$D$18,IF(JN27&gt;Condition!$E$19,Condition!$D$19,"")))))</f>
        <v>0</v>
      </c>
      <c r="JO70" s="85">
        <f>IF(JO27&lt;=Condition!$E$16,0,IF(JO27&lt;=Condition!$F$16,Condition!$D$16,IF(JO27&lt;=Condition!$F$17,Condition!$D$17,IF(JO27&lt;=Condition!$F$18,Condition!$D$18,IF(JO27&gt;Condition!$E$19,Condition!$D$19,"")))))</f>
        <v>0</v>
      </c>
      <c r="JP70" s="85">
        <f>IF(JP27&lt;=Condition!$E$16,0,IF(JP27&lt;=Condition!$F$16,Condition!$D$16,IF(JP27&lt;=Condition!$F$17,Condition!$D$17,IF(JP27&lt;=Condition!$F$18,Condition!$D$18,IF(JP27&gt;Condition!$E$19,Condition!$D$19,"")))))</f>
        <v>0</v>
      </c>
      <c r="JQ70" s="85">
        <f>IF(JQ27&lt;=Condition!$E$16,0,IF(JQ27&lt;=Condition!$F$16,Condition!$D$16,IF(JQ27&lt;=Condition!$F$17,Condition!$D$17,IF(JQ27&lt;=Condition!$F$18,Condition!$D$18,IF(JQ27&gt;Condition!$E$19,Condition!$D$19,"")))))</f>
        <v>0</v>
      </c>
      <c r="JR70" s="85">
        <f>IF(JR27&lt;=Condition!$E$16,0,IF(JR27&lt;=Condition!$F$16,Condition!$D$16,IF(JR27&lt;=Condition!$F$17,Condition!$D$17,IF(JR27&lt;=Condition!$F$18,Condition!$D$18,IF(JR27&gt;Condition!$E$19,Condition!$D$19,"")))))</f>
        <v>0</v>
      </c>
      <c r="JS70" s="85">
        <f>IF(JS27&lt;=Condition!$E$16,0,IF(JS27&lt;=Condition!$F$16,Condition!$D$16,IF(JS27&lt;=Condition!$F$17,Condition!$D$17,IF(JS27&lt;=Condition!$F$18,Condition!$D$18,IF(JS27&gt;Condition!$E$19,Condition!$D$19,"")))))</f>
        <v>0</v>
      </c>
      <c r="JT70" s="85">
        <f>IF(JT27&lt;=Condition!$E$16,0,IF(JT27&lt;=Condition!$F$16,Condition!$D$16,IF(JT27&lt;=Condition!$F$17,Condition!$D$17,IF(JT27&lt;=Condition!$F$18,Condition!$D$18,IF(JT27&gt;Condition!$E$19,Condition!$D$19,"")))))</f>
        <v>0</v>
      </c>
      <c r="JU70" s="85">
        <f>IF(JU27&lt;=Condition!$E$16,0,IF(JU27&lt;=Condition!$F$16,Condition!$D$16,IF(JU27&lt;=Condition!$F$17,Condition!$D$17,IF(JU27&lt;=Condition!$F$18,Condition!$D$18,IF(JU27&gt;Condition!$E$19,Condition!$D$19,"")))))</f>
        <v>0</v>
      </c>
      <c r="JV70" s="85">
        <f>IF(JV27&lt;=Condition!$E$16,0,IF(JV27&lt;=Condition!$F$16,Condition!$D$16,IF(JV27&lt;=Condition!$F$17,Condition!$D$17,IF(JV27&lt;=Condition!$F$18,Condition!$D$18,IF(JV27&gt;Condition!$E$19,Condition!$D$19,"")))))</f>
        <v>0</v>
      </c>
      <c r="JW70" s="85">
        <f>IF(JW27&lt;=Condition!$E$16,0,IF(JW27&lt;=Condition!$F$16,Condition!$D$16,IF(JW27&lt;=Condition!$F$17,Condition!$D$17,IF(JW27&lt;=Condition!$F$18,Condition!$D$18,IF(JW27&gt;Condition!$E$19,Condition!$D$19,"")))))</f>
        <v>0</v>
      </c>
      <c r="JX70" s="85">
        <f>IF(JX27&lt;=Condition!$E$16,0,IF(JX27&lt;=Condition!$F$16,Condition!$D$16,IF(JX27&lt;=Condition!$F$17,Condition!$D$17,IF(JX27&lt;=Condition!$F$18,Condition!$D$18,IF(JX27&gt;Condition!$E$19,Condition!$D$19,"")))))</f>
        <v>0</v>
      </c>
      <c r="JY70" s="85">
        <f>IF(JY27&lt;=Condition!$E$16,0,IF(JY27&lt;=Condition!$F$16,Condition!$D$16,IF(JY27&lt;=Condition!$F$17,Condition!$D$17,IF(JY27&lt;=Condition!$F$18,Condition!$D$18,IF(JY27&gt;Condition!$E$19,Condition!$D$19,"")))))</f>
        <v>0</v>
      </c>
      <c r="JZ70" s="85">
        <f>IF(JZ27&lt;=Condition!$E$16,0,IF(JZ27&lt;=Condition!$F$16,Condition!$D$16,IF(JZ27&lt;=Condition!$F$17,Condition!$D$17,IF(JZ27&lt;=Condition!$F$18,Condition!$D$18,IF(JZ27&gt;Condition!$E$19,Condition!$D$19,"")))))</f>
        <v>0</v>
      </c>
      <c r="KA70" s="85">
        <f>IF(KA27&lt;=Condition!$E$16,0,IF(KA27&lt;=Condition!$F$16,Condition!$D$16,IF(KA27&lt;=Condition!$F$17,Condition!$D$17,IF(KA27&lt;=Condition!$F$18,Condition!$D$18,IF(KA27&gt;Condition!$E$19,Condition!$D$19,"")))))</f>
        <v>0</v>
      </c>
      <c r="KB70" s="85">
        <f>IF(KB27&lt;=Condition!$E$16,0,IF(KB27&lt;=Condition!$F$16,Condition!$D$16,IF(KB27&lt;=Condition!$F$17,Condition!$D$17,IF(KB27&lt;=Condition!$F$18,Condition!$D$18,IF(KB27&gt;Condition!$E$19,Condition!$D$19,"")))))</f>
        <v>0</v>
      </c>
      <c r="KC70" s="85">
        <f>IF(KC27&lt;=Condition!$E$16,0,IF(KC27&lt;=Condition!$F$16,Condition!$D$16,IF(KC27&lt;=Condition!$F$17,Condition!$D$17,IF(KC27&lt;=Condition!$F$18,Condition!$D$18,IF(KC27&gt;Condition!$E$19,Condition!$D$19,"")))))</f>
        <v>0</v>
      </c>
      <c r="KD70" s="85">
        <f>IF(KD27&lt;=Condition!$E$16,0,IF(KD27&lt;=Condition!$F$16,Condition!$D$16,IF(KD27&lt;=Condition!$F$17,Condition!$D$17,IF(KD27&lt;=Condition!$F$18,Condition!$D$18,IF(KD27&gt;Condition!$E$19,Condition!$D$19,"")))))</f>
        <v>0</v>
      </c>
      <c r="KE70" s="85">
        <f>IF(KE27&lt;=Condition!$E$16,0,IF(KE27&lt;=Condition!$F$16,Condition!$D$16,IF(KE27&lt;=Condition!$F$17,Condition!$D$17,IF(KE27&lt;=Condition!$F$18,Condition!$D$18,IF(KE27&gt;Condition!$E$19,Condition!$D$19,"")))))</f>
        <v>0</v>
      </c>
      <c r="KF70" s="85">
        <f>IF(KF27&lt;=Condition!$E$16,0,IF(KF27&lt;=Condition!$F$16,Condition!$D$16,IF(KF27&lt;=Condition!$F$17,Condition!$D$17,IF(KF27&lt;=Condition!$F$18,Condition!$D$18,IF(KF27&gt;Condition!$E$19,Condition!$D$19,"")))))</f>
        <v>0</v>
      </c>
      <c r="KG70" s="85">
        <f>IF(KG27&lt;=Condition!$E$16,0,IF(KG27&lt;=Condition!$F$16,Condition!$D$16,IF(KG27&lt;=Condition!$F$17,Condition!$D$17,IF(KG27&lt;=Condition!$F$18,Condition!$D$18,IF(KG27&gt;Condition!$E$19,Condition!$D$19,"")))))</f>
        <v>0</v>
      </c>
      <c r="KH70" s="85">
        <f>IF(KH27&lt;=Condition!$E$16,0,IF(KH27&lt;=Condition!$F$16,Condition!$D$16,IF(KH27&lt;=Condition!$F$17,Condition!$D$17,IF(KH27&lt;=Condition!$F$18,Condition!$D$18,IF(KH27&gt;Condition!$E$19,Condition!$D$19,"")))))</f>
        <v>0</v>
      </c>
      <c r="KI70" s="85">
        <f>IF(KI27&lt;=Condition!$E$16,0,IF(KI27&lt;=Condition!$F$16,Condition!$D$16,IF(KI27&lt;=Condition!$F$17,Condition!$D$17,IF(KI27&lt;=Condition!$F$18,Condition!$D$18,IF(KI27&gt;Condition!$E$19,Condition!$D$19,"")))))</f>
        <v>0</v>
      </c>
    </row>
    <row r="71" spans="2:295" x14ac:dyDescent="0.25">
      <c r="B71" s="15">
        <f t="shared" ref="B71:E71" si="26">B28</f>
        <v>16</v>
      </c>
      <c r="C71" s="25" t="str">
        <f t="shared" si="26"/>
        <v/>
      </c>
      <c r="D71" s="25" t="str">
        <f t="shared" si="26"/>
        <v>New-3</v>
      </c>
      <c r="E71" s="26" t="str">
        <f t="shared" si="26"/>
        <v/>
      </c>
      <c r="F71" s="112">
        <f t="shared" si="4"/>
        <v>0</v>
      </c>
      <c r="G71" s="112">
        <f t="shared" si="5"/>
        <v>0</v>
      </c>
      <c r="H71" s="85">
        <f>IF(H28&lt;=Condition!$E$16,0,IF(H28&lt;=Condition!$F$16,Condition!$D$16,IF(H28&lt;=Condition!$F$17,Condition!$D$17,IF(H28&lt;=Condition!$F$18,Condition!$D$18,IF(H28&gt;Condition!$E$19,Condition!$D$19,"")))))</f>
        <v>0</v>
      </c>
      <c r="I71" s="85">
        <f>IF(I28&lt;=Condition!$E$16,0,IF(I28&lt;=Condition!$F$16,Condition!$D$16,IF(I28&lt;=Condition!$F$17,Condition!$D$17,IF(I28&lt;=Condition!$F$18,Condition!$D$18,IF(I28&gt;Condition!$E$19,Condition!$D$19,"")))))</f>
        <v>0</v>
      </c>
      <c r="J71" s="85">
        <f>IF(J28&lt;=Condition!$E$16,0,IF(J28&lt;=Condition!$F$16,Condition!$D$16,IF(J28&lt;=Condition!$F$17,Condition!$D$17,IF(J28&lt;=Condition!$F$18,Condition!$D$18,IF(J28&gt;Condition!$E$19,Condition!$D$19,"")))))</f>
        <v>0</v>
      </c>
      <c r="K71" s="85">
        <f>IF(K28&lt;=Condition!$E$16,0,IF(K28&lt;=Condition!$F$16,Condition!$D$16,IF(K28&lt;=Condition!$F$17,Condition!$D$17,IF(K28&lt;=Condition!$F$18,Condition!$D$18,IF(K28&gt;Condition!$E$19,Condition!$D$19,"")))))</f>
        <v>0</v>
      </c>
      <c r="L71" s="85">
        <f>IF(L28&lt;=Condition!$E$16,0,IF(L28&lt;=Condition!$F$16,Condition!$D$16,IF(L28&lt;=Condition!$F$17,Condition!$D$17,IF(L28&lt;=Condition!$F$18,Condition!$D$18,IF(L28&gt;Condition!$E$19,Condition!$D$19,"")))))</f>
        <v>0</v>
      </c>
      <c r="M71" s="85">
        <f>IF(M28&lt;=Condition!$E$16,0,IF(M28&lt;=Condition!$F$16,Condition!$D$16,IF(M28&lt;=Condition!$F$17,Condition!$D$17,IF(M28&lt;=Condition!$F$18,Condition!$D$18,IF(M28&gt;Condition!$E$19,Condition!$D$19,"")))))</f>
        <v>0</v>
      </c>
      <c r="N71" s="85">
        <f>IF(N28&lt;=Condition!$E$16,0,IF(N28&lt;=Condition!$F$16,Condition!$D$16,IF(N28&lt;=Condition!$F$17,Condition!$D$17,IF(N28&lt;=Condition!$F$18,Condition!$D$18,IF(N28&gt;Condition!$E$19,Condition!$D$19,"")))))</f>
        <v>0</v>
      </c>
      <c r="O71" s="85">
        <f>IF(O28&lt;=Condition!$E$16,0,IF(O28&lt;=Condition!$F$16,Condition!$D$16,IF(O28&lt;=Condition!$F$17,Condition!$D$17,IF(O28&lt;=Condition!$F$18,Condition!$D$18,IF(O28&gt;Condition!$E$19,Condition!$D$19,"")))))</f>
        <v>0</v>
      </c>
      <c r="P71" s="85">
        <f>IF(P28&lt;=Condition!$E$16,0,IF(P28&lt;=Condition!$F$16,Condition!$D$16,IF(P28&lt;=Condition!$F$17,Condition!$D$17,IF(P28&lt;=Condition!$F$18,Condition!$D$18,IF(P28&gt;Condition!$E$19,Condition!$D$19,"")))))</f>
        <v>0</v>
      </c>
      <c r="Q71" s="85">
        <f>IF(Q28&lt;=Condition!$E$16,0,IF(Q28&lt;=Condition!$F$16,Condition!$D$16,IF(Q28&lt;=Condition!$F$17,Condition!$D$17,IF(Q28&lt;=Condition!$F$18,Condition!$D$18,IF(Q28&gt;Condition!$E$19,Condition!$D$19,"")))))</f>
        <v>0</v>
      </c>
      <c r="R71" s="85">
        <f>IF(R28&lt;=Condition!$E$16,0,IF(R28&lt;=Condition!$F$16,Condition!$D$16,IF(R28&lt;=Condition!$F$17,Condition!$D$17,IF(R28&lt;=Condition!$F$18,Condition!$D$18,IF(R28&gt;Condition!$E$19,Condition!$D$19,"")))))</f>
        <v>0</v>
      </c>
      <c r="S71" s="85">
        <f>IF(S28&lt;=Condition!$E$16,0,IF(S28&lt;=Condition!$F$16,Condition!$D$16,IF(S28&lt;=Condition!$F$17,Condition!$D$17,IF(S28&lt;=Condition!$F$18,Condition!$D$18,IF(S28&gt;Condition!$E$19,Condition!$D$19,"")))))</f>
        <v>0</v>
      </c>
      <c r="T71" s="85">
        <f>IF(T28&lt;=Condition!$E$16,0,IF(T28&lt;=Condition!$F$16,Condition!$D$16,IF(T28&lt;=Condition!$F$17,Condition!$D$17,IF(T28&lt;=Condition!$F$18,Condition!$D$18,IF(T28&gt;Condition!$E$19,Condition!$D$19,"")))))</f>
        <v>0</v>
      </c>
      <c r="U71" s="85">
        <f>IF(U28&lt;=Condition!$E$16,0,IF(U28&lt;=Condition!$F$16,Condition!$D$16,IF(U28&lt;=Condition!$F$17,Condition!$D$17,IF(U28&lt;=Condition!$F$18,Condition!$D$18,IF(U28&gt;Condition!$E$19,Condition!$D$19,"")))))</f>
        <v>0</v>
      </c>
      <c r="V71" s="85">
        <f>IF(V28&lt;=Condition!$E$16,0,IF(V28&lt;=Condition!$F$16,Condition!$D$16,IF(V28&lt;=Condition!$F$17,Condition!$D$17,IF(V28&lt;=Condition!$F$18,Condition!$D$18,IF(V28&gt;Condition!$E$19,Condition!$D$19,"")))))</f>
        <v>0</v>
      </c>
      <c r="W71" s="85">
        <f>IF(W28&lt;=Condition!$E$16,0,IF(W28&lt;=Condition!$F$16,Condition!$D$16,IF(W28&lt;=Condition!$F$17,Condition!$D$17,IF(W28&lt;=Condition!$F$18,Condition!$D$18,IF(W28&gt;Condition!$E$19,Condition!$D$19,"")))))</f>
        <v>0</v>
      </c>
      <c r="X71" s="85">
        <f>IF(X28&lt;=Condition!$E$16,0,IF(X28&lt;=Condition!$F$16,Condition!$D$16,IF(X28&lt;=Condition!$F$17,Condition!$D$17,IF(X28&lt;=Condition!$F$18,Condition!$D$18,IF(X28&gt;Condition!$E$19,Condition!$D$19,"")))))</f>
        <v>0</v>
      </c>
      <c r="Y71" s="85">
        <f>IF(Y28&lt;=Condition!$E$16,0,IF(Y28&lt;=Condition!$F$16,Condition!$D$16,IF(Y28&lt;=Condition!$F$17,Condition!$D$17,IF(Y28&lt;=Condition!$F$18,Condition!$D$18,IF(Y28&gt;Condition!$E$19,Condition!$D$19,"")))))</f>
        <v>0</v>
      </c>
      <c r="Z71" s="85">
        <f>IF(Z28&lt;=Condition!$E$16,0,IF(Z28&lt;=Condition!$F$16,Condition!$D$16,IF(Z28&lt;=Condition!$F$17,Condition!$D$17,IF(Z28&lt;=Condition!$F$18,Condition!$D$18,IF(Z28&gt;Condition!$E$19,Condition!$D$19,"")))))</f>
        <v>0</v>
      </c>
      <c r="AA71" s="85">
        <f>IF(AA28&lt;=Condition!$E$16,0,IF(AA28&lt;=Condition!$F$16,Condition!$D$16,IF(AA28&lt;=Condition!$F$17,Condition!$D$17,IF(AA28&lt;=Condition!$F$18,Condition!$D$18,IF(AA28&gt;Condition!$E$19,Condition!$D$19,"")))))</f>
        <v>0</v>
      </c>
      <c r="AB71" s="85">
        <f>IF(AB28&lt;=Condition!$E$16,0,IF(AB28&lt;=Condition!$F$16,Condition!$D$16,IF(AB28&lt;=Condition!$F$17,Condition!$D$17,IF(AB28&lt;=Condition!$F$18,Condition!$D$18,IF(AB28&gt;Condition!$E$19,Condition!$D$19,"")))))</f>
        <v>0</v>
      </c>
      <c r="AC71" s="85">
        <f>IF(AC28&lt;=Condition!$E$16,0,IF(AC28&lt;=Condition!$F$16,Condition!$D$16,IF(AC28&lt;=Condition!$F$17,Condition!$D$17,IF(AC28&lt;=Condition!$F$18,Condition!$D$18,IF(AC28&gt;Condition!$E$19,Condition!$D$19,"")))))</f>
        <v>0</v>
      </c>
      <c r="AD71" s="85">
        <f>IF(AD28&lt;=Condition!$E$16,0,IF(AD28&lt;=Condition!$F$16,Condition!$D$16,IF(AD28&lt;=Condition!$F$17,Condition!$D$17,IF(AD28&lt;=Condition!$F$18,Condition!$D$18,IF(AD28&gt;Condition!$E$19,Condition!$D$19,"")))))</f>
        <v>0</v>
      </c>
      <c r="AE71" s="85">
        <f>IF(AE28&lt;=Condition!$E$16,0,IF(AE28&lt;=Condition!$F$16,Condition!$D$16,IF(AE28&lt;=Condition!$F$17,Condition!$D$17,IF(AE28&lt;=Condition!$F$18,Condition!$D$18,IF(AE28&gt;Condition!$E$19,Condition!$D$19,"")))))</f>
        <v>0</v>
      </c>
      <c r="AF71" s="85">
        <f>IF(AF28&lt;=Condition!$E$16,0,IF(AF28&lt;=Condition!$F$16,Condition!$D$16,IF(AF28&lt;=Condition!$F$17,Condition!$D$17,IF(AF28&lt;=Condition!$F$18,Condition!$D$18,IF(AF28&gt;Condition!$E$19,Condition!$D$19,"")))))</f>
        <v>0</v>
      </c>
      <c r="AG71" s="85">
        <f>IF(AG28&lt;=Condition!$E$16,0,IF(AG28&lt;=Condition!$F$16,Condition!$D$16,IF(AG28&lt;=Condition!$F$17,Condition!$D$17,IF(AG28&lt;=Condition!$F$18,Condition!$D$18,IF(AG28&gt;Condition!$E$19,Condition!$D$19,"")))))</f>
        <v>0</v>
      </c>
      <c r="AH71" s="85">
        <f>IF(AH28&lt;=Condition!$E$16,0,IF(AH28&lt;=Condition!$F$16,Condition!$D$16,IF(AH28&lt;=Condition!$F$17,Condition!$D$17,IF(AH28&lt;=Condition!$F$18,Condition!$D$18,IF(AH28&gt;Condition!$E$19,Condition!$D$19,"")))))</f>
        <v>0</v>
      </c>
      <c r="AI71" s="85">
        <f>IF(AI28&lt;=Condition!$E$16,0,IF(AI28&lt;=Condition!$F$16,Condition!$D$16,IF(AI28&lt;=Condition!$F$17,Condition!$D$17,IF(AI28&lt;=Condition!$F$18,Condition!$D$18,IF(AI28&gt;Condition!$E$19,Condition!$D$19,"")))))</f>
        <v>0</v>
      </c>
      <c r="AJ71" s="85">
        <f>IF(AJ28&lt;=Condition!$E$16,0,IF(AJ28&lt;=Condition!$F$16,Condition!$D$16,IF(AJ28&lt;=Condition!$F$17,Condition!$D$17,IF(AJ28&lt;=Condition!$F$18,Condition!$D$18,IF(AJ28&gt;Condition!$E$19,Condition!$D$19,"")))))</f>
        <v>0</v>
      </c>
      <c r="AK71" s="85">
        <f>IF(AK28&lt;=Condition!$E$16,0,IF(AK28&lt;=Condition!$F$16,Condition!$D$16,IF(AK28&lt;=Condition!$F$17,Condition!$D$17,IF(AK28&lt;=Condition!$F$18,Condition!$D$18,IF(AK28&gt;Condition!$E$19,Condition!$D$19,"")))))</f>
        <v>0</v>
      </c>
      <c r="AL71" s="85">
        <f>IF(AL28&lt;=Condition!$E$16,0,IF(AL28&lt;=Condition!$F$16,Condition!$D$16,IF(AL28&lt;=Condition!$F$17,Condition!$D$17,IF(AL28&lt;=Condition!$F$18,Condition!$D$18,IF(AL28&gt;Condition!$E$19,Condition!$D$19,"")))))</f>
        <v>0</v>
      </c>
      <c r="AM71" s="85">
        <f>IF(AM28&lt;=Condition!$E$16,0,IF(AM28&lt;=Condition!$F$16,Condition!$D$16,IF(AM28&lt;=Condition!$F$17,Condition!$D$17,IF(AM28&lt;=Condition!$F$18,Condition!$D$18,IF(AM28&gt;Condition!$E$19,Condition!$D$19,"")))))</f>
        <v>0</v>
      </c>
      <c r="AN71" s="85">
        <f>IF(AN28&lt;=Condition!$E$16,0,IF(AN28&lt;=Condition!$F$16,Condition!$D$16,IF(AN28&lt;=Condition!$F$17,Condition!$D$17,IF(AN28&lt;=Condition!$F$18,Condition!$D$18,IF(AN28&gt;Condition!$E$19,Condition!$D$19,"")))))</f>
        <v>0</v>
      </c>
      <c r="AO71" s="85">
        <f>IF(AO28&lt;=Condition!$E$16,0,IF(AO28&lt;=Condition!$F$16,Condition!$D$16,IF(AO28&lt;=Condition!$F$17,Condition!$D$17,IF(AO28&lt;=Condition!$F$18,Condition!$D$18,IF(AO28&gt;Condition!$E$19,Condition!$D$19,"")))))</f>
        <v>0</v>
      </c>
      <c r="AP71" s="85">
        <f>IF(AP28&lt;=Condition!$E$16,0,IF(AP28&lt;=Condition!$F$16,Condition!$D$16,IF(AP28&lt;=Condition!$F$17,Condition!$D$17,IF(AP28&lt;=Condition!$F$18,Condition!$D$18,IF(AP28&gt;Condition!$E$19,Condition!$D$19,"")))))</f>
        <v>0</v>
      </c>
      <c r="AQ71" s="85">
        <f>IF(AQ28&lt;=Condition!$E$16,0,IF(AQ28&lt;=Condition!$F$16,Condition!$D$16,IF(AQ28&lt;=Condition!$F$17,Condition!$D$17,IF(AQ28&lt;=Condition!$F$18,Condition!$D$18,IF(AQ28&gt;Condition!$E$19,Condition!$D$19,"")))))</f>
        <v>0</v>
      </c>
      <c r="AR71" s="85">
        <f>IF(AR28&lt;=Condition!$E$16,0,IF(AR28&lt;=Condition!$F$16,Condition!$D$16,IF(AR28&lt;=Condition!$F$17,Condition!$D$17,IF(AR28&lt;=Condition!$F$18,Condition!$D$18,IF(AR28&gt;Condition!$E$19,Condition!$D$19,"")))))</f>
        <v>0</v>
      </c>
      <c r="AS71" s="85">
        <f>IF(AS28&lt;=Condition!$E$16,0,IF(AS28&lt;=Condition!$F$16,Condition!$D$16,IF(AS28&lt;=Condition!$F$17,Condition!$D$17,IF(AS28&lt;=Condition!$F$18,Condition!$D$18,IF(AS28&gt;Condition!$E$19,Condition!$D$19,"")))))</f>
        <v>0</v>
      </c>
      <c r="AT71" s="85">
        <f>IF(AT28&lt;=Condition!$E$16,0,IF(AT28&lt;=Condition!$F$16,Condition!$D$16,IF(AT28&lt;=Condition!$F$17,Condition!$D$17,IF(AT28&lt;=Condition!$F$18,Condition!$D$18,IF(AT28&gt;Condition!$E$19,Condition!$D$19,"")))))</f>
        <v>0</v>
      </c>
      <c r="AU71" s="85">
        <f>IF(AU28&lt;=Condition!$E$16,0,IF(AU28&lt;=Condition!$F$16,Condition!$D$16,IF(AU28&lt;=Condition!$F$17,Condition!$D$17,IF(AU28&lt;=Condition!$F$18,Condition!$D$18,IF(AU28&gt;Condition!$E$19,Condition!$D$19,"")))))</f>
        <v>0</v>
      </c>
      <c r="AV71" s="85">
        <f>IF(AV28&lt;=Condition!$E$16,0,IF(AV28&lt;=Condition!$F$16,Condition!$D$16,IF(AV28&lt;=Condition!$F$17,Condition!$D$17,IF(AV28&lt;=Condition!$F$18,Condition!$D$18,IF(AV28&gt;Condition!$E$19,Condition!$D$19,"")))))</f>
        <v>0</v>
      </c>
      <c r="AW71" s="85">
        <f>IF(AW28&lt;=Condition!$E$16,0,IF(AW28&lt;=Condition!$F$16,Condition!$D$16,IF(AW28&lt;=Condition!$F$17,Condition!$D$17,IF(AW28&lt;=Condition!$F$18,Condition!$D$18,IF(AW28&gt;Condition!$E$19,Condition!$D$19,"")))))</f>
        <v>0</v>
      </c>
      <c r="AX71" s="85">
        <f>IF(AX28&lt;=Condition!$E$16,0,IF(AX28&lt;=Condition!$F$16,Condition!$D$16,IF(AX28&lt;=Condition!$F$17,Condition!$D$17,IF(AX28&lt;=Condition!$F$18,Condition!$D$18,IF(AX28&gt;Condition!$E$19,Condition!$D$19,"")))))</f>
        <v>0</v>
      </c>
      <c r="AY71" s="85">
        <f>IF(AY28&lt;=Condition!$E$16,0,IF(AY28&lt;=Condition!$F$16,Condition!$D$16,IF(AY28&lt;=Condition!$F$17,Condition!$D$17,IF(AY28&lt;=Condition!$F$18,Condition!$D$18,IF(AY28&gt;Condition!$E$19,Condition!$D$19,"")))))</f>
        <v>0</v>
      </c>
      <c r="AZ71" s="85">
        <f>IF(AZ28&lt;=Condition!$E$16,0,IF(AZ28&lt;=Condition!$F$16,Condition!$D$16,IF(AZ28&lt;=Condition!$F$17,Condition!$D$17,IF(AZ28&lt;=Condition!$F$18,Condition!$D$18,IF(AZ28&gt;Condition!$E$19,Condition!$D$19,"")))))</f>
        <v>0</v>
      </c>
      <c r="BA71" s="85">
        <f>IF(BA28&lt;=Condition!$E$16,0,IF(BA28&lt;=Condition!$F$16,Condition!$D$16,IF(BA28&lt;=Condition!$F$17,Condition!$D$17,IF(BA28&lt;=Condition!$F$18,Condition!$D$18,IF(BA28&gt;Condition!$E$19,Condition!$D$19,"")))))</f>
        <v>0</v>
      </c>
      <c r="BB71" s="85">
        <f>IF(BB28&lt;=Condition!$E$16,0,IF(BB28&lt;=Condition!$F$16,Condition!$D$16,IF(BB28&lt;=Condition!$F$17,Condition!$D$17,IF(BB28&lt;=Condition!$F$18,Condition!$D$18,IF(BB28&gt;Condition!$E$19,Condition!$D$19,"")))))</f>
        <v>0</v>
      </c>
      <c r="BC71" s="85">
        <f>IF(BC28&lt;=Condition!$E$16,0,IF(BC28&lt;=Condition!$F$16,Condition!$D$16,IF(BC28&lt;=Condition!$F$17,Condition!$D$17,IF(BC28&lt;=Condition!$F$18,Condition!$D$18,IF(BC28&gt;Condition!$E$19,Condition!$D$19,"")))))</f>
        <v>0</v>
      </c>
      <c r="BD71" s="85">
        <f>IF(BD28&lt;=Condition!$E$16,0,IF(BD28&lt;=Condition!$F$16,Condition!$D$16,IF(BD28&lt;=Condition!$F$17,Condition!$D$17,IF(BD28&lt;=Condition!$F$18,Condition!$D$18,IF(BD28&gt;Condition!$E$19,Condition!$D$19,"")))))</f>
        <v>0</v>
      </c>
      <c r="BE71" s="85">
        <f>IF(BE28&lt;=Condition!$E$16,0,IF(BE28&lt;=Condition!$F$16,Condition!$D$16,IF(BE28&lt;=Condition!$F$17,Condition!$D$17,IF(BE28&lt;=Condition!$F$18,Condition!$D$18,IF(BE28&gt;Condition!$E$19,Condition!$D$19,"")))))</f>
        <v>0</v>
      </c>
      <c r="BF71" s="85">
        <f>IF(BF28&lt;=Condition!$E$16,0,IF(BF28&lt;=Condition!$F$16,Condition!$D$16,IF(BF28&lt;=Condition!$F$17,Condition!$D$17,IF(BF28&lt;=Condition!$F$18,Condition!$D$18,IF(BF28&gt;Condition!$E$19,Condition!$D$19,"")))))</f>
        <v>0</v>
      </c>
      <c r="BG71" s="85">
        <f>IF(BG28&lt;=Condition!$E$16,0,IF(BG28&lt;=Condition!$F$16,Condition!$D$16,IF(BG28&lt;=Condition!$F$17,Condition!$D$17,IF(BG28&lt;=Condition!$F$18,Condition!$D$18,IF(BG28&gt;Condition!$E$19,Condition!$D$19,"")))))</f>
        <v>0</v>
      </c>
      <c r="BH71" s="85">
        <f>IF(BH28&lt;=Condition!$E$16,0,IF(BH28&lt;=Condition!$F$16,Condition!$D$16,IF(BH28&lt;=Condition!$F$17,Condition!$D$17,IF(BH28&lt;=Condition!$F$18,Condition!$D$18,IF(BH28&gt;Condition!$E$19,Condition!$D$19,"")))))</f>
        <v>0</v>
      </c>
      <c r="BI71" s="85">
        <f>IF(BI28&lt;=Condition!$E$16,0,IF(BI28&lt;=Condition!$F$16,Condition!$D$16,IF(BI28&lt;=Condition!$F$17,Condition!$D$17,IF(BI28&lt;=Condition!$F$18,Condition!$D$18,IF(BI28&gt;Condition!$E$19,Condition!$D$19,"")))))</f>
        <v>0</v>
      </c>
      <c r="BJ71" s="85">
        <f>IF(BJ28&lt;=Condition!$E$16,0,IF(BJ28&lt;=Condition!$F$16,Condition!$D$16,IF(BJ28&lt;=Condition!$F$17,Condition!$D$17,IF(BJ28&lt;=Condition!$F$18,Condition!$D$18,IF(BJ28&gt;Condition!$E$19,Condition!$D$19,"")))))</f>
        <v>0</v>
      </c>
      <c r="BK71" s="85">
        <f>IF(BK28&lt;=Condition!$E$16,0,IF(BK28&lt;=Condition!$F$16,Condition!$D$16,IF(BK28&lt;=Condition!$F$17,Condition!$D$17,IF(BK28&lt;=Condition!$F$18,Condition!$D$18,IF(BK28&gt;Condition!$E$19,Condition!$D$19,"")))))</f>
        <v>0</v>
      </c>
      <c r="BL71" s="85">
        <f>IF(BL28&lt;=Condition!$E$16,0,IF(BL28&lt;=Condition!$F$16,Condition!$D$16,IF(BL28&lt;=Condition!$F$17,Condition!$D$17,IF(BL28&lt;=Condition!$F$18,Condition!$D$18,IF(BL28&gt;Condition!$E$19,Condition!$D$19,"")))))</f>
        <v>0</v>
      </c>
      <c r="BM71" s="85">
        <f>IF(BM28&lt;=Condition!$E$16,0,IF(BM28&lt;=Condition!$F$16,Condition!$D$16,IF(BM28&lt;=Condition!$F$17,Condition!$D$17,IF(BM28&lt;=Condition!$F$18,Condition!$D$18,IF(BM28&gt;Condition!$E$19,Condition!$D$19,"")))))</f>
        <v>0</v>
      </c>
      <c r="BN71" s="85">
        <f>IF(BN28&lt;=Condition!$E$16,0,IF(BN28&lt;=Condition!$F$16,Condition!$D$16,IF(BN28&lt;=Condition!$F$17,Condition!$D$17,IF(BN28&lt;=Condition!$F$18,Condition!$D$18,IF(BN28&gt;Condition!$E$19,Condition!$D$19,"")))))</f>
        <v>0</v>
      </c>
      <c r="BO71" s="85">
        <f>IF(BO28&lt;=Condition!$E$16,0,IF(BO28&lt;=Condition!$F$16,Condition!$D$16,IF(BO28&lt;=Condition!$F$17,Condition!$D$17,IF(BO28&lt;=Condition!$F$18,Condition!$D$18,IF(BO28&gt;Condition!$E$19,Condition!$D$19,"")))))</f>
        <v>0</v>
      </c>
      <c r="BP71" s="85">
        <f>IF(BP28&lt;=Condition!$E$16,0,IF(BP28&lt;=Condition!$F$16,Condition!$D$16,IF(BP28&lt;=Condition!$F$17,Condition!$D$17,IF(BP28&lt;=Condition!$F$18,Condition!$D$18,IF(BP28&gt;Condition!$E$19,Condition!$D$19,"")))))</f>
        <v>0</v>
      </c>
      <c r="BQ71" s="85">
        <f>IF(BQ28&lt;=Condition!$E$16,0,IF(BQ28&lt;=Condition!$F$16,Condition!$D$16,IF(BQ28&lt;=Condition!$F$17,Condition!$D$17,IF(BQ28&lt;=Condition!$F$18,Condition!$D$18,IF(BQ28&gt;Condition!$E$19,Condition!$D$19,"")))))</f>
        <v>0</v>
      </c>
      <c r="BR71" s="85">
        <f>IF(BR28&lt;=Condition!$E$16,0,IF(BR28&lt;=Condition!$F$16,Condition!$D$16,IF(BR28&lt;=Condition!$F$17,Condition!$D$17,IF(BR28&lt;=Condition!$F$18,Condition!$D$18,IF(BR28&gt;Condition!$E$19,Condition!$D$19,"")))))</f>
        <v>0</v>
      </c>
      <c r="BS71" s="85">
        <f>IF(BS28&lt;=Condition!$E$16,0,IF(BS28&lt;=Condition!$F$16,Condition!$D$16,IF(BS28&lt;=Condition!$F$17,Condition!$D$17,IF(BS28&lt;=Condition!$F$18,Condition!$D$18,IF(BS28&gt;Condition!$E$19,Condition!$D$19,"")))))</f>
        <v>0</v>
      </c>
      <c r="BT71" s="85">
        <f>IF(BT28&lt;=Condition!$E$16,0,IF(BT28&lt;=Condition!$F$16,Condition!$D$16,IF(BT28&lt;=Condition!$F$17,Condition!$D$17,IF(BT28&lt;=Condition!$F$18,Condition!$D$18,IF(BT28&gt;Condition!$E$19,Condition!$D$19,"")))))</f>
        <v>0</v>
      </c>
      <c r="BU71" s="85">
        <f>IF(BU28&lt;=Condition!$E$16,0,IF(BU28&lt;=Condition!$F$16,Condition!$D$16,IF(BU28&lt;=Condition!$F$17,Condition!$D$17,IF(BU28&lt;=Condition!$F$18,Condition!$D$18,IF(BU28&gt;Condition!$E$19,Condition!$D$19,"")))))</f>
        <v>0</v>
      </c>
      <c r="BV71" s="85">
        <f>IF(BV28&lt;=Condition!$E$16,0,IF(BV28&lt;=Condition!$F$16,Condition!$D$16,IF(BV28&lt;=Condition!$F$17,Condition!$D$17,IF(BV28&lt;=Condition!$F$18,Condition!$D$18,IF(BV28&gt;Condition!$E$19,Condition!$D$19,"")))))</f>
        <v>0</v>
      </c>
      <c r="BW71" s="85">
        <f>IF(BW28&lt;=Condition!$E$16,0,IF(BW28&lt;=Condition!$F$16,Condition!$D$16,IF(BW28&lt;=Condition!$F$17,Condition!$D$17,IF(BW28&lt;=Condition!$F$18,Condition!$D$18,IF(BW28&gt;Condition!$E$19,Condition!$D$19,"")))))</f>
        <v>0</v>
      </c>
      <c r="BX71" s="85">
        <f>IF(BX28&lt;=Condition!$E$16,0,IF(BX28&lt;=Condition!$F$16,Condition!$D$16,IF(BX28&lt;=Condition!$F$17,Condition!$D$17,IF(BX28&lt;=Condition!$F$18,Condition!$D$18,IF(BX28&gt;Condition!$E$19,Condition!$D$19,"")))))</f>
        <v>0</v>
      </c>
      <c r="BY71" s="85">
        <f>IF(BY28&lt;=Condition!$E$16,0,IF(BY28&lt;=Condition!$F$16,Condition!$D$16,IF(BY28&lt;=Condition!$F$17,Condition!$D$17,IF(BY28&lt;=Condition!$F$18,Condition!$D$18,IF(BY28&gt;Condition!$E$19,Condition!$D$19,"")))))</f>
        <v>0</v>
      </c>
      <c r="BZ71" s="85">
        <f>IF(BZ28&lt;=Condition!$E$16,0,IF(BZ28&lt;=Condition!$F$16,Condition!$D$16,IF(BZ28&lt;=Condition!$F$17,Condition!$D$17,IF(BZ28&lt;=Condition!$F$18,Condition!$D$18,IF(BZ28&gt;Condition!$E$19,Condition!$D$19,"")))))</f>
        <v>0</v>
      </c>
      <c r="CA71" s="85">
        <f>IF(CA28&lt;=Condition!$E$16,0,IF(CA28&lt;=Condition!$F$16,Condition!$D$16,IF(CA28&lt;=Condition!$F$17,Condition!$D$17,IF(CA28&lt;=Condition!$F$18,Condition!$D$18,IF(CA28&gt;Condition!$E$19,Condition!$D$19,"")))))</f>
        <v>0</v>
      </c>
      <c r="CB71" s="85">
        <f>IF(CB28&lt;=Condition!$E$16,0,IF(CB28&lt;=Condition!$F$16,Condition!$D$16,IF(CB28&lt;=Condition!$F$17,Condition!$D$17,IF(CB28&lt;=Condition!$F$18,Condition!$D$18,IF(CB28&gt;Condition!$E$19,Condition!$D$19,"")))))</f>
        <v>0</v>
      </c>
      <c r="CC71" s="85">
        <f>IF(CC28&lt;=Condition!$E$16,0,IF(CC28&lt;=Condition!$F$16,Condition!$D$16,IF(CC28&lt;=Condition!$F$17,Condition!$D$17,IF(CC28&lt;=Condition!$F$18,Condition!$D$18,IF(CC28&gt;Condition!$E$19,Condition!$D$19,"")))))</f>
        <v>0</v>
      </c>
      <c r="CD71" s="85">
        <f>IF(CD28&lt;=Condition!$E$16,0,IF(CD28&lt;=Condition!$F$16,Condition!$D$16,IF(CD28&lt;=Condition!$F$17,Condition!$D$17,IF(CD28&lt;=Condition!$F$18,Condition!$D$18,IF(CD28&gt;Condition!$E$19,Condition!$D$19,"")))))</f>
        <v>0</v>
      </c>
      <c r="CE71" s="85">
        <f>IF(CE28&lt;=Condition!$E$16,0,IF(CE28&lt;=Condition!$F$16,Condition!$D$16,IF(CE28&lt;=Condition!$F$17,Condition!$D$17,IF(CE28&lt;=Condition!$F$18,Condition!$D$18,IF(CE28&gt;Condition!$E$19,Condition!$D$19,"")))))</f>
        <v>0</v>
      </c>
      <c r="CF71" s="85">
        <f>IF(CF28&lt;=Condition!$E$16,0,IF(CF28&lt;=Condition!$F$16,Condition!$D$16,IF(CF28&lt;=Condition!$F$17,Condition!$D$17,IF(CF28&lt;=Condition!$F$18,Condition!$D$18,IF(CF28&gt;Condition!$E$19,Condition!$D$19,"")))))</f>
        <v>0</v>
      </c>
      <c r="CG71" s="85">
        <f>IF(CG28&lt;=Condition!$E$16,0,IF(CG28&lt;=Condition!$F$16,Condition!$D$16,IF(CG28&lt;=Condition!$F$17,Condition!$D$17,IF(CG28&lt;=Condition!$F$18,Condition!$D$18,IF(CG28&gt;Condition!$E$19,Condition!$D$19,"")))))</f>
        <v>0</v>
      </c>
      <c r="CH71" s="85">
        <f>IF(CH28&lt;=Condition!$E$16,0,IF(CH28&lt;=Condition!$F$16,Condition!$D$16,IF(CH28&lt;=Condition!$F$17,Condition!$D$17,IF(CH28&lt;=Condition!$F$18,Condition!$D$18,IF(CH28&gt;Condition!$E$19,Condition!$D$19,"")))))</f>
        <v>0</v>
      </c>
      <c r="CI71" s="85">
        <f>IF(CI28&lt;=Condition!$E$16,0,IF(CI28&lt;=Condition!$F$16,Condition!$D$16,IF(CI28&lt;=Condition!$F$17,Condition!$D$17,IF(CI28&lt;=Condition!$F$18,Condition!$D$18,IF(CI28&gt;Condition!$E$19,Condition!$D$19,"")))))</f>
        <v>0</v>
      </c>
      <c r="CJ71" s="85">
        <f>IF(CJ28&lt;=Condition!$E$16,0,IF(CJ28&lt;=Condition!$F$16,Condition!$D$16,IF(CJ28&lt;=Condition!$F$17,Condition!$D$17,IF(CJ28&lt;=Condition!$F$18,Condition!$D$18,IF(CJ28&gt;Condition!$E$19,Condition!$D$19,"")))))</f>
        <v>0</v>
      </c>
      <c r="CK71" s="85">
        <f>IF(CK28&lt;=Condition!$E$16,0,IF(CK28&lt;=Condition!$F$16,Condition!$D$16,IF(CK28&lt;=Condition!$F$17,Condition!$D$17,IF(CK28&lt;=Condition!$F$18,Condition!$D$18,IF(CK28&gt;Condition!$E$19,Condition!$D$19,"")))))</f>
        <v>0</v>
      </c>
      <c r="CL71" s="85">
        <f>IF(CL28&lt;=Condition!$E$16,0,IF(CL28&lt;=Condition!$F$16,Condition!$D$16,IF(CL28&lt;=Condition!$F$17,Condition!$D$17,IF(CL28&lt;=Condition!$F$18,Condition!$D$18,IF(CL28&gt;Condition!$E$19,Condition!$D$19,"")))))</f>
        <v>0</v>
      </c>
      <c r="CM71" s="85">
        <f>IF(CM28&lt;=Condition!$E$16,0,IF(CM28&lt;=Condition!$F$16,Condition!$D$16,IF(CM28&lt;=Condition!$F$17,Condition!$D$17,IF(CM28&lt;=Condition!$F$18,Condition!$D$18,IF(CM28&gt;Condition!$E$19,Condition!$D$19,"")))))</f>
        <v>0</v>
      </c>
      <c r="CN71" s="85">
        <f>IF(CN28&lt;=Condition!$E$16,0,IF(CN28&lt;=Condition!$F$16,Condition!$D$16,IF(CN28&lt;=Condition!$F$17,Condition!$D$17,IF(CN28&lt;=Condition!$F$18,Condition!$D$18,IF(CN28&gt;Condition!$E$19,Condition!$D$19,"")))))</f>
        <v>0</v>
      </c>
      <c r="CO71" s="85">
        <f>IF(CO28&lt;=Condition!$E$16,0,IF(CO28&lt;=Condition!$F$16,Condition!$D$16,IF(CO28&lt;=Condition!$F$17,Condition!$D$17,IF(CO28&lt;=Condition!$F$18,Condition!$D$18,IF(CO28&gt;Condition!$E$19,Condition!$D$19,"")))))</f>
        <v>0</v>
      </c>
      <c r="CP71" s="85">
        <f>IF(CP28&lt;=Condition!$E$16,0,IF(CP28&lt;=Condition!$F$16,Condition!$D$16,IF(CP28&lt;=Condition!$F$17,Condition!$D$17,IF(CP28&lt;=Condition!$F$18,Condition!$D$18,IF(CP28&gt;Condition!$E$19,Condition!$D$19,"")))))</f>
        <v>0</v>
      </c>
      <c r="CQ71" s="85">
        <f>IF(CQ28&lt;=Condition!$E$16,0,IF(CQ28&lt;=Condition!$F$16,Condition!$D$16,IF(CQ28&lt;=Condition!$F$17,Condition!$D$17,IF(CQ28&lt;=Condition!$F$18,Condition!$D$18,IF(CQ28&gt;Condition!$E$19,Condition!$D$19,"")))))</f>
        <v>0</v>
      </c>
      <c r="CR71" s="85">
        <f>IF(CR28&lt;=Condition!$E$16,0,IF(CR28&lt;=Condition!$F$16,Condition!$D$16,IF(CR28&lt;=Condition!$F$17,Condition!$D$17,IF(CR28&lt;=Condition!$F$18,Condition!$D$18,IF(CR28&gt;Condition!$E$19,Condition!$D$19,"")))))</f>
        <v>0</v>
      </c>
      <c r="CS71" s="85">
        <f>IF(CS28&lt;=Condition!$E$16,0,IF(CS28&lt;=Condition!$F$16,Condition!$D$16,IF(CS28&lt;=Condition!$F$17,Condition!$D$17,IF(CS28&lt;=Condition!$F$18,Condition!$D$18,IF(CS28&gt;Condition!$E$19,Condition!$D$19,"")))))</f>
        <v>0</v>
      </c>
      <c r="CT71" s="85">
        <f>IF(CT28&lt;=Condition!$E$16,0,IF(CT28&lt;=Condition!$F$16,Condition!$D$16,IF(CT28&lt;=Condition!$F$17,Condition!$D$17,IF(CT28&lt;=Condition!$F$18,Condition!$D$18,IF(CT28&gt;Condition!$E$19,Condition!$D$19,"")))))</f>
        <v>0</v>
      </c>
      <c r="CU71" s="85">
        <f>IF(CU28&lt;=Condition!$E$16,0,IF(CU28&lt;=Condition!$F$16,Condition!$D$16,IF(CU28&lt;=Condition!$F$17,Condition!$D$17,IF(CU28&lt;=Condition!$F$18,Condition!$D$18,IF(CU28&gt;Condition!$E$19,Condition!$D$19,"")))))</f>
        <v>0</v>
      </c>
      <c r="CV71" s="85">
        <f>IF(CV28&lt;=Condition!$E$16,0,IF(CV28&lt;=Condition!$F$16,Condition!$D$16,IF(CV28&lt;=Condition!$F$17,Condition!$D$17,IF(CV28&lt;=Condition!$F$18,Condition!$D$18,IF(CV28&gt;Condition!$E$19,Condition!$D$19,"")))))</f>
        <v>0</v>
      </c>
      <c r="CW71" s="85">
        <f>IF(CW28&lt;=Condition!$E$16,0,IF(CW28&lt;=Condition!$F$16,Condition!$D$16,IF(CW28&lt;=Condition!$F$17,Condition!$D$17,IF(CW28&lt;=Condition!$F$18,Condition!$D$18,IF(CW28&gt;Condition!$E$19,Condition!$D$19,"")))))</f>
        <v>0</v>
      </c>
      <c r="CX71" s="85">
        <f>IF(CX28&lt;=Condition!$E$16,0,IF(CX28&lt;=Condition!$F$16,Condition!$D$16,IF(CX28&lt;=Condition!$F$17,Condition!$D$17,IF(CX28&lt;=Condition!$F$18,Condition!$D$18,IF(CX28&gt;Condition!$E$19,Condition!$D$19,"")))))</f>
        <v>0</v>
      </c>
      <c r="CY71" s="85">
        <f>IF(CY28&lt;=Condition!$E$16,0,IF(CY28&lt;=Condition!$F$16,Condition!$D$16,IF(CY28&lt;=Condition!$F$17,Condition!$D$17,IF(CY28&lt;=Condition!$F$18,Condition!$D$18,IF(CY28&gt;Condition!$E$19,Condition!$D$19,"")))))</f>
        <v>0</v>
      </c>
      <c r="CZ71" s="85">
        <f>IF(CZ28&lt;=Condition!$E$16,0,IF(CZ28&lt;=Condition!$F$16,Condition!$D$16,IF(CZ28&lt;=Condition!$F$17,Condition!$D$17,IF(CZ28&lt;=Condition!$F$18,Condition!$D$18,IF(CZ28&gt;Condition!$E$19,Condition!$D$19,"")))))</f>
        <v>0</v>
      </c>
      <c r="DA71" s="85">
        <f>IF(DA28&lt;=Condition!$E$16,0,IF(DA28&lt;=Condition!$F$16,Condition!$D$16,IF(DA28&lt;=Condition!$F$17,Condition!$D$17,IF(DA28&lt;=Condition!$F$18,Condition!$D$18,IF(DA28&gt;Condition!$E$19,Condition!$D$19,"")))))</f>
        <v>0</v>
      </c>
      <c r="DB71" s="85">
        <f>IF(DB28&lt;=Condition!$E$16,0,IF(DB28&lt;=Condition!$F$16,Condition!$D$16,IF(DB28&lt;=Condition!$F$17,Condition!$D$17,IF(DB28&lt;=Condition!$F$18,Condition!$D$18,IF(DB28&gt;Condition!$E$19,Condition!$D$19,"")))))</f>
        <v>0</v>
      </c>
      <c r="DC71" s="85">
        <f>IF(DC28&lt;=Condition!$E$16,0,IF(DC28&lt;=Condition!$F$16,Condition!$D$16,IF(DC28&lt;=Condition!$F$17,Condition!$D$17,IF(DC28&lt;=Condition!$F$18,Condition!$D$18,IF(DC28&gt;Condition!$E$19,Condition!$D$19,"")))))</f>
        <v>0</v>
      </c>
      <c r="DD71" s="85">
        <f>IF(DD28&lt;=Condition!$E$16,0,IF(DD28&lt;=Condition!$F$16,Condition!$D$16,IF(DD28&lt;=Condition!$F$17,Condition!$D$17,IF(DD28&lt;=Condition!$F$18,Condition!$D$18,IF(DD28&gt;Condition!$E$19,Condition!$D$19,"")))))</f>
        <v>0</v>
      </c>
      <c r="DE71" s="85">
        <f>IF(DE28&lt;=Condition!$E$16,0,IF(DE28&lt;=Condition!$F$16,Condition!$D$16,IF(DE28&lt;=Condition!$F$17,Condition!$D$17,IF(DE28&lt;=Condition!$F$18,Condition!$D$18,IF(DE28&gt;Condition!$E$19,Condition!$D$19,"")))))</f>
        <v>0</v>
      </c>
      <c r="DF71" s="85">
        <f>IF(DF28&lt;=Condition!$E$16,0,IF(DF28&lt;=Condition!$F$16,Condition!$D$16,IF(DF28&lt;=Condition!$F$17,Condition!$D$17,IF(DF28&lt;=Condition!$F$18,Condition!$D$18,IF(DF28&gt;Condition!$E$19,Condition!$D$19,"")))))</f>
        <v>0</v>
      </c>
      <c r="DG71" s="85">
        <f>IF(DG28&lt;=Condition!$E$16,0,IF(DG28&lt;=Condition!$F$16,Condition!$D$16,IF(DG28&lt;=Condition!$F$17,Condition!$D$17,IF(DG28&lt;=Condition!$F$18,Condition!$D$18,IF(DG28&gt;Condition!$E$19,Condition!$D$19,"")))))</f>
        <v>0</v>
      </c>
      <c r="DH71" s="85">
        <f>IF(DH28&lt;=Condition!$E$16,0,IF(DH28&lt;=Condition!$F$16,Condition!$D$16,IF(DH28&lt;=Condition!$F$17,Condition!$D$17,IF(DH28&lt;=Condition!$F$18,Condition!$D$18,IF(DH28&gt;Condition!$E$19,Condition!$D$19,"")))))</f>
        <v>0</v>
      </c>
      <c r="DI71" s="85">
        <f>IF(DI28&lt;=Condition!$E$16,0,IF(DI28&lt;=Condition!$F$16,Condition!$D$16,IF(DI28&lt;=Condition!$F$17,Condition!$D$17,IF(DI28&lt;=Condition!$F$18,Condition!$D$18,IF(DI28&gt;Condition!$E$19,Condition!$D$19,"")))))</f>
        <v>0</v>
      </c>
      <c r="DJ71" s="85">
        <f>IF(DJ28&lt;=Condition!$E$16,0,IF(DJ28&lt;=Condition!$F$16,Condition!$D$16,IF(DJ28&lt;=Condition!$F$17,Condition!$D$17,IF(DJ28&lt;=Condition!$F$18,Condition!$D$18,IF(DJ28&gt;Condition!$E$19,Condition!$D$19,"")))))</f>
        <v>0</v>
      </c>
      <c r="DK71" s="85">
        <f>IF(DK28&lt;=Condition!$E$16,0,IF(DK28&lt;=Condition!$F$16,Condition!$D$16,IF(DK28&lt;=Condition!$F$17,Condition!$D$17,IF(DK28&lt;=Condition!$F$18,Condition!$D$18,IF(DK28&gt;Condition!$E$19,Condition!$D$19,"")))))</f>
        <v>0</v>
      </c>
      <c r="DL71" s="85">
        <f>IF(DL28&lt;=Condition!$E$16,0,IF(DL28&lt;=Condition!$F$16,Condition!$D$16,IF(DL28&lt;=Condition!$F$17,Condition!$D$17,IF(DL28&lt;=Condition!$F$18,Condition!$D$18,IF(DL28&gt;Condition!$E$19,Condition!$D$19,"")))))</f>
        <v>0</v>
      </c>
      <c r="DM71" s="85">
        <f>IF(DM28&lt;=Condition!$E$16,0,IF(DM28&lt;=Condition!$F$16,Condition!$D$16,IF(DM28&lt;=Condition!$F$17,Condition!$D$17,IF(DM28&lt;=Condition!$F$18,Condition!$D$18,IF(DM28&gt;Condition!$E$19,Condition!$D$19,"")))))</f>
        <v>0</v>
      </c>
      <c r="DN71" s="85">
        <f>IF(DN28&lt;=Condition!$E$16,0,IF(DN28&lt;=Condition!$F$16,Condition!$D$16,IF(DN28&lt;=Condition!$F$17,Condition!$D$17,IF(DN28&lt;=Condition!$F$18,Condition!$D$18,IF(DN28&gt;Condition!$E$19,Condition!$D$19,"")))))</f>
        <v>0</v>
      </c>
      <c r="DO71" s="85">
        <f>IF(DO28&lt;=Condition!$E$16,0,IF(DO28&lt;=Condition!$F$16,Condition!$D$16,IF(DO28&lt;=Condition!$F$17,Condition!$D$17,IF(DO28&lt;=Condition!$F$18,Condition!$D$18,IF(DO28&gt;Condition!$E$19,Condition!$D$19,"")))))</f>
        <v>0</v>
      </c>
      <c r="DP71" s="85">
        <f>IF(DP28&lt;=Condition!$E$16,0,IF(DP28&lt;=Condition!$F$16,Condition!$D$16,IF(DP28&lt;=Condition!$F$17,Condition!$D$17,IF(DP28&lt;=Condition!$F$18,Condition!$D$18,IF(DP28&gt;Condition!$E$19,Condition!$D$19,"")))))</f>
        <v>0</v>
      </c>
      <c r="DQ71" s="85">
        <f>IF(DQ28&lt;=Condition!$E$16,0,IF(DQ28&lt;=Condition!$F$16,Condition!$D$16,IF(DQ28&lt;=Condition!$F$17,Condition!$D$17,IF(DQ28&lt;=Condition!$F$18,Condition!$D$18,IF(DQ28&gt;Condition!$E$19,Condition!$D$19,"")))))</f>
        <v>0</v>
      </c>
      <c r="DR71" s="85">
        <f>IF(DR28&lt;=Condition!$E$16,0,IF(DR28&lt;=Condition!$F$16,Condition!$D$16,IF(DR28&lt;=Condition!$F$17,Condition!$D$17,IF(DR28&lt;=Condition!$F$18,Condition!$D$18,IF(DR28&gt;Condition!$E$19,Condition!$D$19,"")))))</f>
        <v>0</v>
      </c>
      <c r="DS71" s="85">
        <f>IF(DS28&lt;=Condition!$E$16,0,IF(DS28&lt;=Condition!$F$16,Condition!$D$16,IF(DS28&lt;=Condition!$F$17,Condition!$D$17,IF(DS28&lt;=Condition!$F$18,Condition!$D$18,IF(DS28&gt;Condition!$E$19,Condition!$D$19,"")))))</f>
        <v>0</v>
      </c>
      <c r="DT71" s="85">
        <f>IF(DT28&lt;=Condition!$E$16,0,IF(DT28&lt;=Condition!$F$16,Condition!$D$16,IF(DT28&lt;=Condition!$F$17,Condition!$D$17,IF(DT28&lt;=Condition!$F$18,Condition!$D$18,IF(DT28&gt;Condition!$E$19,Condition!$D$19,"")))))</f>
        <v>0</v>
      </c>
      <c r="DU71" s="85">
        <f>IF(DU28&lt;=Condition!$E$16,0,IF(DU28&lt;=Condition!$F$16,Condition!$D$16,IF(DU28&lt;=Condition!$F$17,Condition!$D$17,IF(DU28&lt;=Condition!$F$18,Condition!$D$18,IF(DU28&gt;Condition!$E$19,Condition!$D$19,"")))))</f>
        <v>0</v>
      </c>
      <c r="DV71" s="85">
        <f>IF(DV28&lt;=Condition!$E$16,0,IF(DV28&lt;=Condition!$F$16,Condition!$D$16,IF(DV28&lt;=Condition!$F$17,Condition!$D$17,IF(DV28&lt;=Condition!$F$18,Condition!$D$18,IF(DV28&gt;Condition!$E$19,Condition!$D$19,"")))))</f>
        <v>0</v>
      </c>
      <c r="DW71" s="85">
        <f>IF(DW28&lt;=Condition!$E$16,0,IF(DW28&lt;=Condition!$F$16,Condition!$D$16,IF(DW28&lt;=Condition!$F$17,Condition!$D$17,IF(DW28&lt;=Condition!$F$18,Condition!$D$18,IF(DW28&gt;Condition!$E$19,Condition!$D$19,"")))))</f>
        <v>0</v>
      </c>
      <c r="DX71" s="85">
        <f>IF(DX28&lt;=Condition!$E$16,0,IF(DX28&lt;=Condition!$F$16,Condition!$D$16,IF(DX28&lt;=Condition!$F$17,Condition!$D$17,IF(DX28&lt;=Condition!$F$18,Condition!$D$18,IF(DX28&gt;Condition!$E$19,Condition!$D$19,"")))))</f>
        <v>0</v>
      </c>
      <c r="DY71" s="85">
        <f>IF(DY28&lt;=Condition!$E$16,0,IF(DY28&lt;=Condition!$F$16,Condition!$D$16,IF(DY28&lt;=Condition!$F$17,Condition!$D$17,IF(DY28&lt;=Condition!$F$18,Condition!$D$18,IF(DY28&gt;Condition!$E$19,Condition!$D$19,"")))))</f>
        <v>0</v>
      </c>
      <c r="DZ71" s="85">
        <f>IF(DZ28&lt;=Condition!$E$16,0,IF(DZ28&lt;=Condition!$F$16,Condition!$D$16,IF(DZ28&lt;=Condition!$F$17,Condition!$D$17,IF(DZ28&lt;=Condition!$F$18,Condition!$D$18,IF(DZ28&gt;Condition!$E$19,Condition!$D$19,"")))))</f>
        <v>0</v>
      </c>
      <c r="EA71" s="85">
        <f>IF(EA28&lt;=Condition!$E$16,0,IF(EA28&lt;=Condition!$F$16,Condition!$D$16,IF(EA28&lt;=Condition!$F$17,Condition!$D$17,IF(EA28&lt;=Condition!$F$18,Condition!$D$18,IF(EA28&gt;Condition!$E$19,Condition!$D$19,"")))))</f>
        <v>0</v>
      </c>
      <c r="EB71" s="85">
        <f>IF(EB28&lt;=Condition!$E$16,0,IF(EB28&lt;=Condition!$F$16,Condition!$D$16,IF(EB28&lt;=Condition!$F$17,Condition!$D$17,IF(EB28&lt;=Condition!$F$18,Condition!$D$18,IF(EB28&gt;Condition!$E$19,Condition!$D$19,"")))))</f>
        <v>0</v>
      </c>
      <c r="EC71" s="85">
        <f>IF(EC28&lt;=Condition!$E$16,0,IF(EC28&lt;=Condition!$F$16,Condition!$D$16,IF(EC28&lt;=Condition!$F$17,Condition!$D$17,IF(EC28&lt;=Condition!$F$18,Condition!$D$18,IF(EC28&gt;Condition!$E$19,Condition!$D$19,"")))))</f>
        <v>0</v>
      </c>
      <c r="ED71" s="85">
        <f>IF(ED28&lt;=Condition!$E$16,0,IF(ED28&lt;=Condition!$F$16,Condition!$D$16,IF(ED28&lt;=Condition!$F$17,Condition!$D$17,IF(ED28&lt;=Condition!$F$18,Condition!$D$18,IF(ED28&gt;Condition!$E$19,Condition!$D$19,"")))))</f>
        <v>0</v>
      </c>
      <c r="EE71" s="85">
        <f>IF(EE28&lt;=Condition!$E$16,0,IF(EE28&lt;=Condition!$F$16,Condition!$D$16,IF(EE28&lt;=Condition!$F$17,Condition!$D$17,IF(EE28&lt;=Condition!$F$18,Condition!$D$18,IF(EE28&gt;Condition!$E$19,Condition!$D$19,"")))))</f>
        <v>0</v>
      </c>
      <c r="EF71" s="85">
        <f>IF(EF28&lt;=Condition!$E$16,0,IF(EF28&lt;=Condition!$F$16,Condition!$D$16,IF(EF28&lt;=Condition!$F$17,Condition!$D$17,IF(EF28&lt;=Condition!$F$18,Condition!$D$18,IF(EF28&gt;Condition!$E$19,Condition!$D$19,"")))))</f>
        <v>0</v>
      </c>
      <c r="EG71" s="85">
        <f>IF(EG28&lt;=Condition!$E$16,0,IF(EG28&lt;=Condition!$F$16,Condition!$D$16,IF(EG28&lt;=Condition!$F$17,Condition!$D$17,IF(EG28&lt;=Condition!$F$18,Condition!$D$18,IF(EG28&gt;Condition!$E$19,Condition!$D$19,"")))))</f>
        <v>0</v>
      </c>
      <c r="EH71" s="85">
        <f>IF(EH28&lt;=Condition!$E$16,0,IF(EH28&lt;=Condition!$F$16,Condition!$D$16,IF(EH28&lt;=Condition!$F$17,Condition!$D$17,IF(EH28&lt;=Condition!$F$18,Condition!$D$18,IF(EH28&gt;Condition!$E$19,Condition!$D$19,"")))))</f>
        <v>0</v>
      </c>
      <c r="EI71" s="85">
        <f>IF(EI28&lt;=Condition!$E$16,0,IF(EI28&lt;=Condition!$F$16,Condition!$D$16,IF(EI28&lt;=Condition!$F$17,Condition!$D$17,IF(EI28&lt;=Condition!$F$18,Condition!$D$18,IF(EI28&gt;Condition!$E$19,Condition!$D$19,"")))))</f>
        <v>0</v>
      </c>
      <c r="EJ71" s="85">
        <f>IF(EJ28&lt;=Condition!$E$16,0,IF(EJ28&lt;=Condition!$F$16,Condition!$D$16,IF(EJ28&lt;=Condition!$F$17,Condition!$D$17,IF(EJ28&lt;=Condition!$F$18,Condition!$D$18,IF(EJ28&gt;Condition!$E$19,Condition!$D$19,"")))))</f>
        <v>0</v>
      </c>
      <c r="EK71" s="85">
        <f>IF(EK28&lt;=Condition!$E$16,0,IF(EK28&lt;=Condition!$F$16,Condition!$D$16,IF(EK28&lt;=Condition!$F$17,Condition!$D$17,IF(EK28&lt;=Condition!$F$18,Condition!$D$18,IF(EK28&gt;Condition!$E$19,Condition!$D$19,"")))))</f>
        <v>0</v>
      </c>
      <c r="EL71" s="85">
        <f>IF(EL28&lt;=Condition!$E$16,0,IF(EL28&lt;=Condition!$F$16,Condition!$D$16,IF(EL28&lt;=Condition!$F$17,Condition!$D$17,IF(EL28&lt;=Condition!$F$18,Condition!$D$18,IF(EL28&gt;Condition!$E$19,Condition!$D$19,"")))))</f>
        <v>0</v>
      </c>
      <c r="EM71" s="85">
        <f>IF(EM28&lt;=Condition!$E$16,0,IF(EM28&lt;=Condition!$F$16,Condition!$D$16,IF(EM28&lt;=Condition!$F$17,Condition!$D$17,IF(EM28&lt;=Condition!$F$18,Condition!$D$18,IF(EM28&gt;Condition!$E$19,Condition!$D$19,"")))))</f>
        <v>0</v>
      </c>
      <c r="EN71" s="85">
        <f>IF(EN28&lt;=Condition!$E$16,0,IF(EN28&lt;=Condition!$F$16,Condition!$D$16,IF(EN28&lt;=Condition!$F$17,Condition!$D$17,IF(EN28&lt;=Condition!$F$18,Condition!$D$18,IF(EN28&gt;Condition!$E$19,Condition!$D$19,"")))))</f>
        <v>0</v>
      </c>
      <c r="EO71" s="85">
        <f>IF(EO28&lt;=Condition!$E$16,0,IF(EO28&lt;=Condition!$F$16,Condition!$D$16,IF(EO28&lt;=Condition!$F$17,Condition!$D$17,IF(EO28&lt;=Condition!$F$18,Condition!$D$18,IF(EO28&gt;Condition!$E$19,Condition!$D$19,"")))))</f>
        <v>0</v>
      </c>
      <c r="EP71" s="85">
        <f>IF(EP28&lt;=Condition!$E$16,0,IF(EP28&lt;=Condition!$F$16,Condition!$D$16,IF(EP28&lt;=Condition!$F$17,Condition!$D$17,IF(EP28&lt;=Condition!$F$18,Condition!$D$18,IF(EP28&gt;Condition!$E$19,Condition!$D$19,"")))))</f>
        <v>0</v>
      </c>
      <c r="EQ71" s="85">
        <f>IF(EQ28&lt;=Condition!$E$16,0,IF(EQ28&lt;=Condition!$F$16,Condition!$D$16,IF(EQ28&lt;=Condition!$F$17,Condition!$D$17,IF(EQ28&lt;=Condition!$F$18,Condition!$D$18,IF(EQ28&gt;Condition!$E$19,Condition!$D$19,"")))))</f>
        <v>0</v>
      </c>
      <c r="ER71" s="85">
        <f>IF(ER28&lt;=Condition!$E$16,0,IF(ER28&lt;=Condition!$F$16,Condition!$D$16,IF(ER28&lt;=Condition!$F$17,Condition!$D$17,IF(ER28&lt;=Condition!$F$18,Condition!$D$18,IF(ER28&gt;Condition!$E$19,Condition!$D$19,"")))))</f>
        <v>0</v>
      </c>
      <c r="ES71" s="85">
        <f>IF(ES28&lt;=Condition!$E$16,0,IF(ES28&lt;=Condition!$F$16,Condition!$D$16,IF(ES28&lt;=Condition!$F$17,Condition!$D$17,IF(ES28&lt;=Condition!$F$18,Condition!$D$18,IF(ES28&gt;Condition!$E$19,Condition!$D$19,"")))))</f>
        <v>0</v>
      </c>
      <c r="ET71" s="85">
        <f>IF(ET28&lt;=Condition!$E$16,0,IF(ET28&lt;=Condition!$F$16,Condition!$D$16,IF(ET28&lt;=Condition!$F$17,Condition!$D$17,IF(ET28&lt;=Condition!$F$18,Condition!$D$18,IF(ET28&gt;Condition!$E$19,Condition!$D$19,"")))))</f>
        <v>0</v>
      </c>
      <c r="EU71" s="85">
        <f>IF(EU28&lt;=Condition!$E$16,0,IF(EU28&lt;=Condition!$F$16,Condition!$D$16,IF(EU28&lt;=Condition!$F$17,Condition!$D$17,IF(EU28&lt;=Condition!$F$18,Condition!$D$18,IF(EU28&gt;Condition!$E$19,Condition!$D$19,"")))))</f>
        <v>0</v>
      </c>
      <c r="EV71" s="85">
        <f>IF(EV28&lt;=Condition!$E$16,0,IF(EV28&lt;=Condition!$F$16,Condition!$D$16,IF(EV28&lt;=Condition!$F$17,Condition!$D$17,IF(EV28&lt;=Condition!$F$18,Condition!$D$18,IF(EV28&gt;Condition!$E$19,Condition!$D$19,"")))))</f>
        <v>0</v>
      </c>
      <c r="EW71" s="85">
        <f>IF(EW28&lt;=Condition!$E$16,0,IF(EW28&lt;=Condition!$F$16,Condition!$D$16,IF(EW28&lt;=Condition!$F$17,Condition!$D$17,IF(EW28&lt;=Condition!$F$18,Condition!$D$18,IF(EW28&gt;Condition!$E$19,Condition!$D$19,"")))))</f>
        <v>0</v>
      </c>
      <c r="EX71" s="85">
        <f>IF(EX28&lt;=Condition!$E$16,0,IF(EX28&lt;=Condition!$F$16,Condition!$D$16,IF(EX28&lt;=Condition!$F$17,Condition!$D$17,IF(EX28&lt;=Condition!$F$18,Condition!$D$18,IF(EX28&gt;Condition!$E$19,Condition!$D$19,"")))))</f>
        <v>0</v>
      </c>
      <c r="EY71" s="85">
        <f>IF(EY28&lt;=Condition!$E$16,0,IF(EY28&lt;=Condition!$F$16,Condition!$D$16,IF(EY28&lt;=Condition!$F$17,Condition!$D$17,IF(EY28&lt;=Condition!$F$18,Condition!$D$18,IF(EY28&gt;Condition!$E$19,Condition!$D$19,"")))))</f>
        <v>0</v>
      </c>
      <c r="EZ71" s="85">
        <f>IF(EZ28&lt;=Condition!$E$16,0,IF(EZ28&lt;=Condition!$F$16,Condition!$D$16,IF(EZ28&lt;=Condition!$F$17,Condition!$D$17,IF(EZ28&lt;=Condition!$F$18,Condition!$D$18,IF(EZ28&gt;Condition!$E$19,Condition!$D$19,"")))))</f>
        <v>0</v>
      </c>
      <c r="FA71" s="85">
        <f>IF(FA28&lt;=Condition!$E$16,0,IF(FA28&lt;=Condition!$F$16,Condition!$D$16,IF(FA28&lt;=Condition!$F$17,Condition!$D$17,IF(FA28&lt;=Condition!$F$18,Condition!$D$18,IF(FA28&gt;Condition!$E$19,Condition!$D$19,"")))))</f>
        <v>0</v>
      </c>
      <c r="FB71" s="85">
        <f>IF(FB28&lt;=Condition!$E$16,0,IF(FB28&lt;=Condition!$F$16,Condition!$D$16,IF(FB28&lt;=Condition!$F$17,Condition!$D$17,IF(FB28&lt;=Condition!$F$18,Condition!$D$18,IF(FB28&gt;Condition!$E$19,Condition!$D$19,"")))))</f>
        <v>0</v>
      </c>
      <c r="FC71" s="85">
        <f>IF(FC28&lt;=Condition!$E$16,0,IF(FC28&lt;=Condition!$F$16,Condition!$D$16,IF(FC28&lt;=Condition!$F$17,Condition!$D$17,IF(FC28&lt;=Condition!$F$18,Condition!$D$18,IF(FC28&gt;Condition!$E$19,Condition!$D$19,"")))))</f>
        <v>0</v>
      </c>
      <c r="FD71" s="85">
        <f>IF(FD28&lt;=Condition!$E$16,0,IF(FD28&lt;=Condition!$F$16,Condition!$D$16,IF(FD28&lt;=Condition!$F$17,Condition!$D$17,IF(FD28&lt;=Condition!$F$18,Condition!$D$18,IF(FD28&gt;Condition!$E$19,Condition!$D$19,"")))))</f>
        <v>0</v>
      </c>
      <c r="FE71" s="85">
        <f>IF(FE28&lt;=Condition!$E$16,0,IF(FE28&lt;=Condition!$F$16,Condition!$D$16,IF(FE28&lt;=Condition!$F$17,Condition!$D$17,IF(FE28&lt;=Condition!$F$18,Condition!$D$18,IF(FE28&gt;Condition!$E$19,Condition!$D$19,"")))))</f>
        <v>0</v>
      </c>
      <c r="FF71" s="85">
        <f>IF(FF28&lt;=Condition!$E$16,0,IF(FF28&lt;=Condition!$F$16,Condition!$D$16,IF(FF28&lt;=Condition!$F$17,Condition!$D$17,IF(FF28&lt;=Condition!$F$18,Condition!$D$18,IF(FF28&gt;Condition!$E$19,Condition!$D$19,"")))))</f>
        <v>0</v>
      </c>
      <c r="FG71" s="85">
        <f>IF(FG28&lt;=Condition!$E$16,0,IF(FG28&lt;=Condition!$F$16,Condition!$D$16,IF(FG28&lt;=Condition!$F$17,Condition!$D$17,IF(FG28&lt;=Condition!$F$18,Condition!$D$18,IF(FG28&gt;Condition!$E$19,Condition!$D$19,"")))))</f>
        <v>0</v>
      </c>
      <c r="FH71" s="85">
        <f>IF(FH28&lt;=Condition!$E$16,0,IF(FH28&lt;=Condition!$F$16,Condition!$D$16,IF(FH28&lt;=Condition!$F$17,Condition!$D$17,IF(FH28&lt;=Condition!$F$18,Condition!$D$18,IF(FH28&gt;Condition!$E$19,Condition!$D$19,"")))))</f>
        <v>0</v>
      </c>
      <c r="FI71" s="85">
        <f>IF(FI28&lt;=Condition!$E$16,0,IF(FI28&lt;=Condition!$F$16,Condition!$D$16,IF(FI28&lt;=Condition!$F$17,Condition!$D$17,IF(FI28&lt;=Condition!$F$18,Condition!$D$18,IF(FI28&gt;Condition!$E$19,Condition!$D$19,"")))))</f>
        <v>0</v>
      </c>
      <c r="FJ71" s="85">
        <f>IF(FJ28&lt;=Condition!$E$16,0,IF(FJ28&lt;=Condition!$F$16,Condition!$D$16,IF(FJ28&lt;=Condition!$F$17,Condition!$D$17,IF(FJ28&lt;=Condition!$F$18,Condition!$D$18,IF(FJ28&gt;Condition!$E$19,Condition!$D$19,"")))))</f>
        <v>0</v>
      </c>
      <c r="FK71" s="85">
        <f>IF(FK28&lt;=Condition!$E$16,0,IF(FK28&lt;=Condition!$F$16,Condition!$D$16,IF(FK28&lt;=Condition!$F$17,Condition!$D$17,IF(FK28&lt;=Condition!$F$18,Condition!$D$18,IF(FK28&gt;Condition!$E$19,Condition!$D$19,"")))))</f>
        <v>0</v>
      </c>
      <c r="FL71" s="85">
        <f>IF(FL28&lt;=Condition!$E$16,0,IF(FL28&lt;=Condition!$F$16,Condition!$D$16,IF(FL28&lt;=Condition!$F$17,Condition!$D$17,IF(FL28&lt;=Condition!$F$18,Condition!$D$18,IF(FL28&gt;Condition!$E$19,Condition!$D$19,"")))))</f>
        <v>0</v>
      </c>
      <c r="FM71" s="85">
        <f>IF(FM28&lt;=Condition!$E$16,0,IF(FM28&lt;=Condition!$F$16,Condition!$D$16,IF(FM28&lt;=Condition!$F$17,Condition!$D$17,IF(FM28&lt;=Condition!$F$18,Condition!$D$18,IF(FM28&gt;Condition!$E$19,Condition!$D$19,"")))))</f>
        <v>0</v>
      </c>
      <c r="FN71" s="85">
        <f>IF(FN28&lt;=Condition!$E$16,0,IF(FN28&lt;=Condition!$F$16,Condition!$D$16,IF(FN28&lt;=Condition!$F$17,Condition!$D$17,IF(FN28&lt;=Condition!$F$18,Condition!$D$18,IF(FN28&gt;Condition!$E$19,Condition!$D$19,"")))))</f>
        <v>0</v>
      </c>
      <c r="FO71" s="85">
        <f>IF(FO28&lt;=Condition!$E$16,0,IF(FO28&lt;=Condition!$F$16,Condition!$D$16,IF(FO28&lt;=Condition!$F$17,Condition!$D$17,IF(FO28&lt;=Condition!$F$18,Condition!$D$18,IF(FO28&gt;Condition!$E$19,Condition!$D$19,"")))))</f>
        <v>0</v>
      </c>
      <c r="FP71" s="85">
        <f>IF(FP28&lt;=Condition!$E$16,0,IF(FP28&lt;=Condition!$F$16,Condition!$D$16,IF(FP28&lt;=Condition!$F$17,Condition!$D$17,IF(FP28&lt;=Condition!$F$18,Condition!$D$18,IF(FP28&gt;Condition!$E$19,Condition!$D$19,"")))))</f>
        <v>0</v>
      </c>
      <c r="FQ71" s="85">
        <f>IF(FQ28&lt;=Condition!$E$16,0,IF(FQ28&lt;=Condition!$F$16,Condition!$D$16,IF(FQ28&lt;=Condition!$F$17,Condition!$D$17,IF(FQ28&lt;=Condition!$F$18,Condition!$D$18,IF(FQ28&gt;Condition!$E$19,Condition!$D$19,"")))))</f>
        <v>0</v>
      </c>
      <c r="FR71" s="85">
        <f>IF(FR28&lt;=Condition!$E$16,0,IF(FR28&lt;=Condition!$F$16,Condition!$D$16,IF(FR28&lt;=Condition!$F$17,Condition!$D$17,IF(FR28&lt;=Condition!$F$18,Condition!$D$18,IF(FR28&gt;Condition!$E$19,Condition!$D$19,"")))))</f>
        <v>0</v>
      </c>
      <c r="FS71" s="85">
        <f>IF(FS28&lt;=Condition!$E$16,0,IF(FS28&lt;=Condition!$F$16,Condition!$D$16,IF(FS28&lt;=Condition!$F$17,Condition!$D$17,IF(FS28&lt;=Condition!$F$18,Condition!$D$18,IF(FS28&gt;Condition!$E$19,Condition!$D$19,"")))))</f>
        <v>0</v>
      </c>
      <c r="FT71" s="85">
        <f>IF(FT28&lt;=Condition!$E$16,0,IF(FT28&lt;=Condition!$F$16,Condition!$D$16,IF(FT28&lt;=Condition!$F$17,Condition!$D$17,IF(FT28&lt;=Condition!$F$18,Condition!$D$18,IF(FT28&gt;Condition!$E$19,Condition!$D$19,"")))))</f>
        <v>0</v>
      </c>
      <c r="FU71" s="85">
        <f>IF(FU28&lt;=Condition!$E$16,0,IF(FU28&lt;=Condition!$F$16,Condition!$D$16,IF(FU28&lt;=Condition!$F$17,Condition!$D$17,IF(FU28&lt;=Condition!$F$18,Condition!$D$18,IF(FU28&gt;Condition!$E$19,Condition!$D$19,"")))))</f>
        <v>0</v>
      </c>
      <c r="FV71" s="85">
        <f>IF(FV28&lt;=Condition!$E$16,0,IF(FV28&lt;=Condition!$F$16,Condition!$D$16,IF(FV28&lt;=Condition!$F$17,Condition!$D$17,IF(FV28&lt;=Condition!$F$18,Condition!$D$18,IF(FV28&gt;Condition!$E$19,Condition!$D$19,"")))))</f>
        <v>0</v>
      </c>
      <c r="FW71" s="85">
        <f>IF(FW28&lt;=Condition!$E$16,0,IF(FW28&lt;=Condition!$F$16,Condition!$D$16,IF(FW28&lt;=Condition!$F$17,Condition!$D$17,IF(FW28&lt;=Condition!$F$18,Condition!$D$18,IF(FW28&gt;Condition!$E$19,Condition!$D$19,"")))))</f>
        <v>0</v>
      </c>
      <c r="FX71" s="85">
        <f>IF(FX28&lt;=Condition!$E$16,0,IF(FX28&lt;=Condition!$F$16,Condition!$D$16,IF(FX28&lt;=Condition!$F$17,Condition!$D$17,IF(FX28&lt;=Condition!$F$18,Condition!$D$18,IF(FX28&gt;Condition!$E$19,Condition!$D$19,"")))))</f>
        <v>0</v>
      </c>
      <c r="FY71" s="85">
        <f>IF(FY28&lt;=Condition!$E$16,0,IF(FY28&lt;=Condition!$F$16,Condition!$D$16,IF(FY28&lt;=Condition!$F$17,Condition!$D$17,IF(FY28&lt;=Condition!$F$18,Condition!$D$18,IF(FY28&gt;Condition!$E$19,Condition!$D$19,"")))))</f>
        <v>0</v>
      </c>
      <c r="FZ71" s="85">
        <f>IF(FZ28&lt;=Condition!$E$16,0,IF(FZ28&lt;=Condition!$F$16,Condition!$D$16,IF(FZ28&lt;=Condition!$F$17,Condition!$D$17,IF(FZ28&lt;=Condition!$F$18,Condition!$D$18,IF(FZ28&gt;Condition!$E$19,Condition!$D$19,"")))))</f>
        <v>0</v>
      </c>
      <c r="GA71" s="85">
        <f>IF(GA28&lt;=Condition!$E$16,0,IF(GA28&lt;=Condition!$F$16,Condition!$D$16,IF(GA28&lt;=Condition!$F$17,Condition!$D$17,IF(GA28&lt;=Condition!$F$18,Condition!$D$18,IF(GA28&gt;Condition!$E$19,Condition!$D$19,"")))))</f>
        <v>0</v>
      </c>
      <c r="GB71" s="85">
        <f>IF(GB28&lt;=Condition!$E$16,0,IF(GB28&lt;=Condition!$F$16,Condition!$D$16,IF(GB28&lt;=Condition!$F$17,Condition!$D$17,IF(GB28&lt;=Condition!$F$18,Condition!$D$18,IF(GB28&gt;Condition!$E$19,Condition!$D$19,"")))))</f>
        <v>0</v>
      </c>
      <c r="GC71" s="85">
        <f>IF(GC28&lt;=Condition!$E$16,0,IF(GC28&lt;=Condition!$F$16,Condition!$D$16,IF(GC28&lt;=Condition!$F$17,Condition!$D$17,IF(GC28&lt;=Condition!$F$18,Condition!$D$18,IF(GC28&gt;Condition!$E$19,Condition!$D$19,"")))))</f>
        <v>0</v>
      </c>
      <c r="GD71" s="85">
        <f>IF(GD28&lt;=Condition!$E$16,0,IF(GD28&lt;=Condition!$F$16,Condition!$D$16,IF(GD28&lt;=Condition!$F$17,Condition!$D$17,IF(GD28&lt;=Condition!$F$18,Condition!$D$18,IF(GD28&gt;Condition!$E$19,Condition!$D$19,"")))))</f>
        <v>0</v>
      </c>
      <c r="GE71" s="85">
        <f>IF(GE28&lt;=Condition!$E$16,0,IF(GE28&lt;=Condition!$F$16,Condition!$D$16,IF(GE28&lt;=Condition!$F$17,Condition!$D$17,IF(GE28&lt;=Condition!$F$18,Condition!$D$18,IF(GE28&gt;Condition!$E$19,Condition!$D$19,"")))))</f>
        <v>0</v>
      </c>
      <c r="GF71" s="85">
        <f>IF(GF28&lt;=Condition!$E$16,0,IF(GF28&lt;=Condition!$F$16,Condition!$D$16,IF(GF28&lt;=Condition!$F$17,Condition!$D$17,IF(GF28&lt;=Condition!$F$18,Condition!$D$18,IF(GF28&gt;Condition!$E$19,Condition!$D$19,"")))))</f>
        <v>0</v>
      </c>
      <c r="GG71" s="85">
        <f>IF(GG28&lt;=Condition!$E$16,0,IF(GG28&lt;=Condition!$F$16,Condition!$D$16,IF(GG28&lt;=Condition!$F$17,Condition!$D$17,IF(GG28&lt;=Condition!$F$18,Condition!$D$18,IF(GG28&gt;Condition!$E$19,Condition!$D$19,"")))))</f>
        <v>0</v>
      </c>
      <c r="GH71" s="85">
        <f>IF(GH28&lt;=Condition!$E$16,0,IF(GH28&lt;=Condition!$F$16,Condition!$D$16,IF(GH28&lt;=Condition!$F$17,Condition!$D$17,IF(GH28&lt;=Condition!$F$18,Condition!$D$18,IF(GH28&gt;Condition!$E$19,Condition!$D$19,"")))))</f>
        <v>0</v>
      </c>
      <c r="GI71" s="85">
        <f>IF(GI28&lt;=Condition!$E$16,0,IF(GI28&lt;=Condition!$F$16,Condition!$D$16,IF(GI28&lt;=Condition!$F$17,Condition!$D$17,IF(GI28&lt;=Condition!$F$18,Condition!$D$18,IF(GI28&gt;Condition!$E$19,Condition!$D$19,"")))))</f>
        <v>0</v>
      </c>
      <c r="GJ71" s="85">
        <f>IF(GJ28&lt;=Condition!$E$16,0,IF(GJ28&lt;=Condition!$F$16,Condition!$D$16,IF(GJ28&lt;=Condition!$F$17,Condition!$D$17,IF(GJ28&lt;=Condition!$F$18,Condition!$D$18,IF(GJ28&gt;Condition!$E$19,Condition!$D$19,"")))))</f>
        <v>0</v>
      </c>
      <c r="GK71" s="85">
        <f>IF(GK28&lt;=Condition!$E$16,0,IF(GK28&lt;=Condition!$F$16,Condition!$D$16,IF(GK28&lt;=Condition!$F$17,Condition!$D$17,IF(GK28&lt;=Condition!$F$18,Condition!$D$18,IF(GK28&gt;Condition!$E$19,Condition!$D$19,"")))))</f>
        <v>0</v>
      </c>
      <c r="GL71" s="85">
        <f>IF(GL28&lt;=Condition!$E$16,0,IF(GL28&lt;=Condition!$F$16,Condition!$D$16,IF(GL28&lt;=Condition!$F$17,Condition!$D$17,IF(GL28&lt;=Condition!$F$18,Condition!$D$18,IF(GL28&gt;Condition!$E$19,Condition!$D$19,"")))))</f>
        <v>0</v>
      </c>
      <c r="GM71" s="85">
        <f>IF(GM28&lt;=Condition!$E$16,0,IF(GM28&lt;=Condition!$F$16,Condition!$D$16,IF(GM28&lt;=Condition!$F$17,Condition!$D$17,IF(GM28&lt;=Condition!$F$18,Condition!$D$18,IF(GM28&gt;Condition!$E$19,Condition!$D$19,"")))))</f>
        <v>0</v>
      </c>
      <c r="GN71" s="85">
        <f>IF(GN28&lt;=Condition!$E$16,0,IF(GN28&lt;=Condition!$F$16,Condition!$D$16,IF(GN28&lt;=Condition!$F$17,Condition!$D$17,IF(GN28&lt;=Condition!$F$18,Condition!$D$18,IF(GN28&gt;Condition!$E$19,Condition!$D$19,"")))))</f>
        <v>0</v>
      </c>
      <c r="GO71" s="85">
        <f>IF(GO28&lt;=Condition!$E$16,0,IF(GO28&lt;=Condition!$F$16,Condition!$D$16,IF(GO28&lt;=Condition!$F$17,Condition!$D$17,IF(GO28&lt;=Condition!$F$18,Condition!$D$18,IF(GO28&gt;Condition!$E$19,Condition!$D$19,"")))))</f>
        <v>0</v>
      </c>
      <c r="GP71" s="85">
        <f>IF(GP28&lt;=Condition!$E$16,0,IF(GP28&lt;=Condition!$F$16,Condition!$D$16,IF(GP28&lt;=Condition!$F$17,Condition!$D$17,IF(GP28&lt;=Condition!$F$18,Condition!$D$18,IF(GP28&gt;Condition!$E$19,Condition!$D$19,"")))))</f>
        <v>0</v>
      </c>
      <c r="GQ71" s="85">
        <f>IF(GQ28&lt;=Condition!$E$16,0,IF(GQ28&lt;=Condition!$F$16,Condition!$D$16,IF(GQ28&lt;=Condition!$F$17,Condition!$D$17,IF(GQ28&lt;=Condition!$F$18,Condition!$D$18,IF(GQ28&gt;Condition!$E$19,Condition!$D$19,"")))))</f>
        <v>0</v>
      </c>
      <c r="GR71" s="85">
        <f>IF(GR28&lt;=Condition!$E$16,0,IF(GR28&lt;=Condition!$F$16,Condition!$D$16,IF(GR28&lt;=Condition!$F$17,Condition!$D$17,IF(GR28&lt;=Condition!$F$18,Condition!$D$18,IF(GR28&gt;Condition!$E$19,Condition!$D$19,"")))))</f>
        <v>0</v>
      </c>
      <c r="GS71" s="85">
        <f>IF(GS28&lt;=Condition!$E$16,0,IF(GS28&lt;=Condition!$F$16,Condition!$D$16,IF(GS28&lt;=Condition!$F$17,Condition!$D$17,IF(GS28&lt;=Condition!$F$18,Condition!$D$18,IF(GS28&gt;Condition!$E$19,Condition!$D$19,"")))))</f>
        <v>0</v>
      </c>
      <c r="GT71" s="85">
        <f>IF(GT28&lt;=Condition!$E$16,0,IF(GT28&lt;=Condition!$F$16,Condition!$D$16,IF(GT28&lt;=Condition!$F$17,Condition!$D$17,IF(GT28&lt;=Condition!$F$18,Condition!$D$18,IF(GT28&gt;Condition!$E$19,Condition!$D$19,"")))))</f>
        <v>0</v>
      </c>
      <c r="GU71" s="85">
        <f>IF(GU28&lt;=Condition!$E$16,0,IF(GU28&lt;=Condition!$F$16,Condition!$D$16,IF(GU28&lt;=Condition!$F$17,Condition!$D$17,IF(GU28&lt;=Condition!$F$18,Condition!$D$18,IF(GU28&gt;Condition!$E$19,Condition!$D$19,"")))))</f>
        <v>0</v>
      </c>
      <c r="GV71" s="85">
        <f>IF(GV28&lt;=Condition!$E$16,0,IF(GV28&lt;=Condition!$F$16,Condition!$D$16,IF(GV28&lt;=Condition!$F$17,Condition!$D$17,IF(GV28&lt;=Condition!$F$18,Condition!$D$18,IF(GV28&gt;Condition!$E$19,Condition!$D$19,"")))))</f>
        <v>0</v>
      </c>
      <c r="GW71" s="85">
        <f>IF(GW28&lt;=Condition!$E$16,0,IF(GW28&lt;=Condition!$F$16,Condition!$D$16,IF(GW28&lt;=Condition!$F$17,Condition!$D$17,IF(GW28&lt;=Condition!$F$18,Condition!$D$18,IF(GW28&gt;Condition!$E$19,Condition!$D$19,"")))))</f>
        <v>0</v>
      </c>
      <c r="GX71" s="85">
        <f>IF(GX28&lt;=Condition!$E$16,0,IF(GX28&lt;=Condition!$F$16,Condition!$D$16,IF(GX28&lt;=Condition!$F$17,Condition!$D$17,IF(GX28&lt;=Condition!$F$18,Condition!$D$18,IF(GX28&gt;Condition!$E$19,Condition!$D$19,"")))))</f>
        <v>0</v>
      </c>
      <c r="GY71" s="85">
        <f>IF(GY28&lt;=Condition!$E$16,0,IF(GY28&lt;=Condition!$F$16,Condition!$D$16,IF(GY28&lt;=Condition!$F$17,Condition!$D$17,IF(GY28&lt;=Condition!$F$18,Condition!$D$18,IF(GY28&gt;Condition!$E$19,Condition!$D$19,"")))))</f>
        <v>0</v>
      </c>
      <c r="GZ71" s="85">
        <f>IF(GZ28&lt;=Condition!$E$16,0,IF(GZ28&lt;=Condition!$F$16,Condition!$D$16,IF(GZ28&lt;=Condition!$F$17,Condition!$D$17,IF(GZ28&lt;=Condition!$F$18,Condition!$D$18,IF(GZ28&gt;Condition!$E$19,Condition!$D$19,"")))))</f>
        <v>0</v>
      </c>
      <c r="HA71" s="85">
        <f>IF(HA28&lt;=Condition!$E$16,0,IF(HA28&lt;=Condition!$F$16,Condition!$D$16,IF(HA28&lt;=Condition!$F$17,Condition!$D$17,IF(HA28&lt;=Condition!$F$18,Condition!$D$18,IF(HA28&gt;Condition!$E$19,Condition!$D$19,"")))))</f>
        <v>0</v>
      </c>
      <c r="HB71" s="85">
        <f>IF(HB28&lt;=Condition!$E$16,0,IF(HB28&lt;=Condition!$F$16,Condition!$D$16,IF(HB28&lt;=Condition!$F$17,Condition!$D$17,IF(HB28&lt;=Condition!$F$18,Condition!$D$18,IF(HB28&gt;Condition!$E$19,Condition!$D$19,"")))))</f>
        <v>0</v>
      </c>
      <c r="HC71" s="85">
        <f>IF(HC28&lt;=Condition!$E$16,0,IF(HC28&lt;=Condition!$F$16,Condition!$D$16,IF(HC28&lt;=Condition!$F$17,Condition!$D$17,IF(HC28&lt;=Condition!$F$18,Condition!$D$18,IF(HC28&gt;Condition!$E$19,Condition!$D$19,"")))))</f>
        <v>0</v>
      </c>
      <c r="HD71" s="85">
        <f>IF(HD28&lt;=Condition!$E$16,0,IF(HD28&lt;=Condition!$F$16,Condition!$D$16,IF(HD28&lt;=Condition!$F$17,Condition!$D$17,IF(HD28&lt;=Condition!$F$18,Condition!$D$18,IF(HD28&gt;Condition!$E$19,Condition!$D$19,"")))))</f>
        <v>0</v>
      </c>
      <c r="HE71" s="85">
        <f>IF(HE28&lt;=Condition!$E$16,0,IF(HE28&lt;=Condition!$F$16,Condition!$D$16,IF(HE28&lt;=Condition!$F$17,Condition!$D$17,IF(HE28&lt;=Condition!$F$18,Condition!$D$18,IF(HE28&gt;Condition!$E$19,Condition!$D$19,"")))))</f>
        <v>0</v>
      </c>
      <c r="HF71" s="85">
        <f>IF(HF28&lt;=Condition!$E$16,0,IF(HF28&lt;=Condition!$F$16,Condition!$D$16,IF(HF28&lt;=Condition!$F$17,Condition!$D$17,IF(HF28&lt;=Condition!$F$18,Condition!$D$18,IF(HF28&gt;Condition!$E$19,Condition!$D$19,"")))))</f>
        <v>0</v>
      </c>
      <c r="HG71" s="85">
        <f>IF(HG28&lt;=Condition!$E$16,0,IF(HG28&lt;=Condition!$F$16,Condition!$D$16,IF(HG28&lt;=Condition!$F$17,Condition!$D$17,IF(HG28&lt;=Condition!$F$18,Condition!$D$18,IF(HG28&gt;Condition!$E$19,Condition!$D$19,"")))))</f>
        <v>0</v>
      </c>
      <c r="HH71" s="85">
        <f>IF(HH28&lt;=Condition!$E$16,0,IF(HH28&lt;=Condition!$F$16,Condition!$D$16,IF(HH28&lt;=Condition!$F$17,Condition!$D$17,IF(HH28&lt;=Condition!$F$18,Condition!$D$18,IF(HH28&gt;Condition!$E$19,Condition!$D$19,"")))))</f>
        <v>0</v>
      </c>
      <c r="HI71" s="85">
        <f>IF(HI28&lt;=Condition!$E$16,0,IF(HI28&lt;=Condition!$F$16,Condition!$D$16,IF(HI28&lt;=Condition!$F$17,Condition!$D$17,IF(HI28&lt;=Condition!$F$18,Condition!$D$18,IF(HI28&gt;Condition!$E$19,Condition!$D$19,"")))))</f>
        <v>0</v>
      </c>
      <c r="HJ71" s="85">
        <f>IF(HJ28&lt;=Condition!$E$16,0,IF(HJ28&lt;=Condition!$F$16,Condition!$D$16,IF(HJ28&lt;=Condition!$F$17,Condition!$D$17,IF(HJ28&lt;=Condition!$F$18,Condition!$D$18,IF(HJ28&gt;Condition!$E$19,Condition!$D$19,"")))))</f>
        <v>0</v>
      </c>
      <c r="HK71" s="85">
        <f>IF(HK28&lt;=Condition!$E$16,0,IF(HK28&lt;=Condition!$F$16,Condition!$D$16,IF(HK28&lt;=Condition!$F$17,Condition!$D$17,IF(HK28&lt;=Condition!$F$18,Condition!$D$18,IF(HK28&gt;Condition!$E$19,Condition!$D$19,"")))))</f>
        <v>0</v>
      </c>
      <c r="HL71" s="85">
        <f>IF(HL28&lt;=Condition!$E$16,0,IF(HL28&lt;=Condition!$F$16,Condition!$D$16,IF(HL28&lt;=Condition!$F$17,Condition!$D$17,IF(HL28&lt;=Condition!$F$18,Condition!$D$18,IF(HL28&gt;Condition!$E$19,Condition!$D$19,"")))))</f>
        <v>0</v>
      </c>
      <c r="HM71" s="85">
        <f>IF(HM28&lt;=Condition!$E$16,0,IF(HM28&lt;=Condition!$F$16,Condition!$D$16,IF(HM28&lt;=Condition!$F$17,Condition!$D$17,IF(HM28&lt;=Condition!$F$18,Condition!$D$18,IF(HM28&gt;Condition!$E$19,Condition!$D$19,"")))))</f>
        <v>0</v>
      </c>
      <c r="HN71" s="85">
        <f>IF(HN28&lt;=Condition!$E$16,0,IF(HN28&lt;=Condition!$F$16,Condition!$D$16,IF(HN28&lt;=Condition!$F$17,Condition!$D$17,IF(HN28&lt;=Condition!$F$18,Condition!$D$18,IF(HN28&gt;Condition!$E$19,Condition!$D$19,"")))))</f>
        <v>0</v>
      </c>
      <c r="HO71" s="85">
        <f>IF(HO28&lt;=Condition!$E$16,0,IF(HO28&lt;=Condition!$F$16,Condition!$D$16,IF(HO28&lt;=Condition!$F$17,Condition!$D$17,IF(HO28&lt;=Condition!$F$18,Condition!$D$18,IF(HO28&gt;Condition!$E$19,Condition!$D$19,"")))))</f>
        <v>0</v>
      </c>
      <c r="HP71" s="85">
        <f>IF(HP28&lt;=Condition!$E$16,0,IF(HP28&lt;=Condition!$F$16,Condition!$D$16,IF(HP28&lt;=Condition!$F$17,Condition!$D$17,IF(HP28&lt;=Condition!$F$18,Condition!$D$18,IF(HP28&gt;Condition!$E$19,Condition!$D$19,"")))))</f>
        <v>0</v>
      </c>
      <c r="HQ71" s="85">
        <f>IF(HQ28&lt;=Condition!$E$16,0,IF(HQ28&lt;=Condition!$F$16,Condition!$D$16,IF(HQ28&lt;=Condition!$F$17,Condition!$D$17,IF(HQ28&lt;=Condition!$F$18,Condition!$D$18,IF(HQ28&gt;Condition!$E$19,Condition!$D$19,"")))))</f>
        <v>0</v>
      </c>
      <c r="HR71" s="85">
        <f>IF(HR28&lt;=Condition!$E$16,0,IF(HR28&lt;=Condition!$F$16,Condition!$D$16,IF(HR28&lt;=Condition!$F$17,Condition!$D$17,IF(HR28&lt;=Condition!$F$18,Condition!$D$18,IF(HR28&gt;Condition!$E$19,Condition!$D$19,"")))))</f>
        <v>0</v>
      </c>
      <c r="HS71" s="85">
        <f>IF(HS28&lt;=Condition!$E$16,0,IF(HS28&lt;=Condition!$F$16,Condition!$D$16,IF(HS28&lt;=Condition!$F$17,Condition!$D$17,IF(HS28&lt;=Condition!$F$18,Condition!$D$18,IF(HS28&gt;Condition!$E$19,Condition!$D$19,"")))))</f>
        <v>0</v>
      </c>
      <c r="HT71" s="85">
        <f>IF(HT28&lt;=Condition!$E$16,0,IF(HT28&lt;=Condition!$F$16,Condition!$D$16,IF(HT28&lt;=Condition!$F$17,Condition!$D$17,IF(HT28&lt;=Condition!$F$18,Condition!$D$18,IF(HT28&gt;Condition!$E$19,Condition!$D$19,"")))))</f>
        <v>0</v>
      </c>
      <c r="HU71" s="85">
        <f>IF(HU28&lt;=Condition!$E$16,0,IF(HU28&lt;=Condition!$F$16,Condition!$D$16,IF(HU28&lt;=Condition!$F$17,Condition!$D$17,IF(HU28&lt;=Condition!$F$18,Condition!$D$18,IF(HU28&gt;Condition!$E$19,Condition!$D$19,"")))))</f>
        <v>0</v>
      </c>
      <c r="HV71" s="85">
        <f>IF(HV28&lt;=Condition!$E$16,0,IF(HV28&lt;=Condition!$F$16,Condition!$D$16,IF(HV28&lt;=Condition!$F$17,Condition!$D$17,IF(HV28&lt;=Condition!$F$18,Condition!$D$18,IF(HV28&gt;Condition!$E$19,Condition!$D$19,"")))))</f>
        <v>0</v>
      </c>
      <c r="HW71" s="85">
        <f>IF(HW28&lt;=Condition!$E$16,0,IF(HW28&lt;=Condition!$F$16,Condition!$D$16,IF(HW28&lt;=Condition!$F$17,Condition!$D$17,IF(HW28&lt;=Condition!$F$18,Condition!$D$18,IF(HW28&gt;Condition!$E$19,Condition!$D$19,"")))))</f>
        <v>0</v>
      </c>
      <c r="HX71" s="85">
        <f>IF(HX28&lt;=Condition!$E$16,0,IF(HX28&lt;=Condition!$F$16,Condition!$D$16,IF(HX28&lt;=Condition!$F$17,Condition!$D$17,IF(HX28&lt;=Condition!$F$18,Condition!$D$18,IF(HX28&gt;Condition!$E$19,Condition!$D$19,"")))))</f>
        <v>0</v>
      </c>
      <c r="HY71" s="85">
        <f>IF(HY28&lt;=Condition!$E$16,0,IF(HY28&lt;=Condition!$F$16,Condition!$D$16,IF(HY28&lt;=Condition!$F$17,Condition!$D$17,IF(HY28&lt;=Condition!$F$18,Condition!$D$18,IF(HY28&gt;Condition!$E$19,Condition!$D$19,"")))))</f>
        <v>0</v>
      </c>
      <c r="HZ71" s="85">
        <f>IF(HZ28&lt;=Condition!$E$16,0,IF(HZ28&lt;=Condition!$F$16,Condition!$D$16,IF(HZ28&lt;=Condition!$F$17,Condition!$D$17,IF(HZ28&lt;=Condition!$F$18,Condition!$D$18,IF(HZ28&gt;Condition!$E$19,Condition!$D$19,"")))))</f>
        <v>0</v>
      </c>
      <c r="IA71" s="85">
        <f>IF(IA28&lt;=Condition!$E$16,0,IF(IA28&lt;=Condition!$F$16,Condition!$D$16,IF(IA28&lt;=Condition!$F$17,Condition!$D$17,IF(IA28&lt;=Condition!$F$18,Condition!$D$18,IF(IA28&gt;Condition!$E$19,Condition!$D$19,"")))))</f>
        <v>0</v>
      </c>
      <c r="IB71" s="85">
        <f>IF(IB28&lt;=Condition!$E$16,0,IF(IB28&lt;=Condition!$F$16,Condition!$D$16,IF(IB28&lt;=Condition!$F$17,Condition!$D$17,IF(IB28&lt;=Condition!$F$18,Condition!$D$18,IF(IB28&gt;Condition!$E$19,Condition!$D$19,"")))))</f>
        <v>0</v>
      </c>
      <c r="IC71" s="85">
        <f>IF(IC28&lt;=Condition!$E$16,0,IF(IC28&lt;=Condition!$F$16,Condition!$D$16,IF(IC28&lt;=Condition!$F$17,Condition!$D$17,IF(IC28&lt;=Condition!$F$18,Condition!$D$18,IF(IC28&gt;Condition!$E$19,Condition!$D$19,"")))))</f>
        <v>0</v>
      </c>
      <c r="ID71" s="85">
        <f>IF(ID28&lt;=Condition!$E$16,0,IF(ID28&lt;=Condition!$F$16,Condition!$D$16,IF(ID28&lt;=Condition!$F$17,Condition!$D$17,IF(ID28&lt;=Condition!$F$18,Condition!$D$18,IF(ID28&gt;Condition!$E$19,Condition!$D$19,"")))))</f>
        <v>0</v>
      </c>
      <c r="IE71" s="85">
        <f>IF(IE28&lt;=Condition!$E$16,0,IF(IE28&lt;=Condition!$F$16,Condition!$D$16,IF(IE28&lt;=Condition!$F$17,Condition!$D$17,IF(IE28&lt;=Condition!$F$18,Condition!$D$18,IF(IE28&gt;Condition!$E$19,Condition!$D$19,"")))))</f>
        <v>0</v>
      </c>
      <c r="IF71" s="85">
        <f>IF(IF28&lt;=Condition!$E$16,0,IF(IF28&lt;=Condition!$F$16,Condition!$D$16,IF(IF28&lt;=Condition!$F$17,Condition!$D$17,IF(IF28&lt;=Condition!$F$18,Condition!$D$18,IF(IF28&gt;Condition!$E$19,Condition!$D$19,"")))))</f>
        <v>0</v>
      </c>
      <c r="IG71" s="85">
        <f>IF(IG28&lt;=Condition!$E$16,0,IF(IG28&lt;=Condition!$F$16,Condition!$D$16,IF(IG28&lt;=Condition!$F$17,Condition!$D$17,IF(IG28&lt;=Condition!$F$18,Condition!$D$18,IF(IG28&gt;Condition!$E$19,Condition!$D$19,"")))))</f>
        <v>0</v>
      </c>
      <c r="IH71" s="85">
        <f>IF(IH28&lt;=Condition!$E$16,0,IF(IH28&lt;=Condition!$F$16,Condition!$D$16,IF(IH28&lt;=Condition!$F$17,Condition!$D$17,IF(IH28&lt;=Condition!$F$18,Condition!$D$18,IF(IH28&gt;Condition!$E$19,Condition!$D$19,"")))))</f>
        <v>0</v>
      </c>
      <c r="II71" s="85">
        <f>IF(II28&lt;=Condition!$E$16,0,IF(II28&lt;=Condition!$F$16,Condition!$D$16,IF(II28&lt;=Condition!$F$17,Condition!$D$17,IF(II28&lt;=Condition!$F$18,Condition!$D$18,IF(II28&gt;Condition!$E$19,Condition!$D$19,"")))))</f>
        <v>0</v>
      </c>
      <c r="IJ71" s="85">
        <f>IF(IJ28&lt;=Condition!$E$16,0,IF(IJ28&lt;=Condition!$F$16,Condition!$D$16,IF(IJ28&lt;=Condition!$F$17,Condition!$D$17,IF(IJ28&lt;=Condition!$F$18,Condition!$D$18,IF(IJ28&gt;Condition!$E$19,Condition!$D$19,"")))))</f>
        <v>0</v>
      </c>
      <c r="IK71" s="85">
        <f>IF(IK28&lt;=Condition!$E$16,0,IF(IK28&lt;=Condition!$F$16,Condition!$D$16,IF(IK28&lt;=Condition!$F$17,Condition!$D$17,IF(IK28&lt;=Condition!$F$18,Condition!$D$18,IF(IK28&gt;Condition!$E$19,Condition!$D$19,"")))))</f>
        <v>0</v>
      </c>
      <c r="IL71" s="85">
        <f>IF(IL28&lt;=Condition!$E$16,0,IF(IL28&lt;=Condition!$F$16,Condition!$D$16,IF(IL28&lt;=Condition!$F$17,Condition!$D$17,IF(IL28&lt;=Condition!$F$18,Condition!$D$18,IF(IL28&gt;Condition!$E$19,Condition!$D$19,"")))))</f>
        <v>0</v>
      </c>
      <c r="IM71" s="85">
        <f>IF(IM28&lt;=Condition!$E$16,0,IF(IM28&lt;=Condition!$F$16,Condition!$D$16,IF(IM28&lt;=Condition!$F$17,Condition!$D$17,IF(IM28&lt;=Condition!$F$18,Condition!$D$18,IF(IM28&gt;Condition!$E$19,Condition!$D$19,"")))))</f>
        <v>0</v>
      </c>
      <c r="IN71" s="85">
        <f>IF(IN28&lt;=Condition!$E$16,0,IF(IN28&lt;=Condition!$F$16,Condition!$D$16,IF(IN28&lt;=Condition!$F$17,Condition!$D$17,IF(IN28&lt;=Condition!$F$18,Condition!$D$18,IF(IN28&gt;Condition!$E$19,Condition!$D$19,"")))))</f>
        <v>0</v>
      </c>
      <c r="IO71" s="85">
        <f>IF(IO28&lt;=Condition!$E$16,0,IF(IO28&lt;=Condition!$F$16,Condition!$D$16,IF(IO28&lt;=Condition!$F$17,Condition!$D$17,IF(IO28&lt;=Condition!$F$18,Condition!$D$18,IF(IO28&gt;Condition!$E$19,Condition!$D$19,"")))))</f>
        <v>0</v>
      </c>
      <c r="IP71" s="85">
        <f>IF(IP28&lt;=Condition!$E$16,0,IF(IP28&lt;=Condition!$F$16,Condition!$D$16,IF(IP28&lt;=Condition!$F$17,Condition!$D$17,IF(IP28&lt;=Condition!$F$18,Condition!$D$18,IF(IP28&gt;Condition!$E$19,Condition!$D$19,"")))))</f>
        <v>0</v>
      </c>
      <c r="IQ71" s="85">
        <f>IF(IQ28&lt;=Condition!$E$16,0,IF(IQ28&lt;=Condition!$F$16,Condition!$D$16,IF(IQ28&lt;=Condition!$F$17,Condition!$D$17,IF(IQ28&lt;=Condition!$F$18,Condition!$D$18,IF(IQ28&gt;Condition!$E$19,Condition!$D$19,"")))))</f>
        <v>0</v>
      </c>
      <c r="IR71" s="85">
        <f>IF(IR28&lt;=Condition!$E$16,0,IF(IR28&lt;=Condition!$F$16,Condition!$D$16,IF(IR28&lt;=Condition!$F$17,Condition!$D$17,IF(IR28&lt;=Condition!$F$18,Condition!$D$18,IF(IR28&gt;Condition!$E$19,Condition!$D$19,"")))))</f>
        <v>0</v>
      </c>
      <c r="IS71" s="85">
        <f>IF(IS28&lt;=Condition!$E$16,0,IF(IS28&lt;=Condition!$F$16,Condition!$D$16,IF(IS28&lt;=Condition!$F$17,Condition!$D$17,IF(IS28&lt;=Condition!$F$18,Condition!$D$18,IF(IS28&gt;Condition!$E$19,Condition!$D$19,"")))))</f>
        <v>0</v>
      </c>
      <c r="IT71" s="85">
        <f>IF(IT28&lt;=Condition!$E$16,0,IF(IT28&lt;=Condition!$F$16,Condition!$D$16,IF(IT28&lt;=Condition!$F$17,Condition!$D$17,IF(IT28&lt;=Condition!$F$18,Condition!$D$18,IF(IT28&gt;Condition!$E$19,Condition!$D$19,"")))))</f>
        <v>0</v>
      </c>
      <c r="IU71" s="85">
        <f>IF(IU28&lt;=Condition!$E$16,0,IF(IU28&lt;=Condition!$F$16,Condition!$D$16,IF(IU28&lt;=Condition!$F$17,Condition!$D$17,IF(IU28&lt;=Condition!$F$18,Condition!$D$18,IF(IU28&gt;Condition!$E$19,Condition!$D$19,"")))))</f>
        <v>0</v>
      </c>
      <c r="IV71" s="85">
        <f>IF(IV28&lt;=Condition!$E$16,0,IF(IV28&lt;=Condition!$F$16,Condition!$D$16,IF(IV28&lt;=Condition!$F$17,Condition!$D$17,IF(IV28&lt;=Condition!$F$18,Condition!$D$18,IF(IV28&gt;Condition!$E$19,Condition!$D$19,"")))))</f>
        <v>0</v>
      </c>
      <c r="IW71" s="85">
        <f>IF(IW28&lt;=Condition!$E$16,0,IF(IW28&lt;=Condition!$F$16,Condition!$D$16,IF(IW28&lt;=Condition!$F$17,Condition!$D$17,IF(IW28&lt;=Condition!$F$18,Condition!$D$18,IF(IW28&gt;Condition!$E$19,Condition!$D$19,"")))))</f>
        <v>0</v>
      </c>
      <c r="IX71" s="85">
        <f>IF(IX28&lt;=Condition!$E$16,0,IF(IX28&lt;=Condition!$F$16,Condition!$D$16,IF(IX28&lt;=Condition!$F$17,Condition!$D$17,IF(IX28&lt;=Condition!$F$18,Condition!$D$18,IF(IX28&gt;Condition!$E$19,Condition!$D$19,"")))))</f>
        <v>0</v>
      </c>
      <c r="IY71" s="85">
        <f>IF(IY28&lt;=Condition!$E$16,0,IF(IY28&lt;=Condition!$F$16,Condition!$D$16,IF(IY28&lt;=Condition!$F$17,Condition!$D$17,IF(IY28&lt;=Condition!$F$18,Condition!$D$18,IF(IY28&gt;Condition!$E$19,Condition!$D$19,"")))))</f>
        <v>0</v>
      </c>
      <c r="IZ71" s="85">
        <f>IF(IZ28&lt;=Condition!$E$16,0,IF(IZ28&lt;=Condition!$F$16,Condition!$D$16,IF(IZ28&lt;=Condition!$F$17,Condition!$D$17,IF(IZ28&lt;=Condition!$F$18,Condition!$D$18,IF(IZ28&gt;Condition!$E$19,Condition!$D$19,"")))))</f>
        <v>0</v>
      </c>
      <c r="JA71" s="85">
        <f>IF(JA28&lt;=Condition!$E$16,0,IF(JA28&lt;=Condition!$F$16,Condition!$D$16,IF(JA28&lt;=Condition!$F$17,Condition!$D$17,IF(JA28&lt;=Condition!$F$18,Condition!$D$18,IF(JA28&gt;Condition!$E$19,Condition!$D$19,"")))))</f>
        <v>0</v>
      </c>
      <c r="JB71" s="85">
        <f>IF(JB28&lt;=Condition!$E$16,0,IF(JB28&lt;=Condition!$F$16,Condition!$D$16,IF(JB28&lt;=Condition!$F$17,Condition!$D$17,IF(JB28&lt;=Condition!$F$18,Condition!$D$18,IF(JB28&gt;Condition!$E$19,Condition!$D$19,"")))))</f>
        <v>0</v>
      </c>
      <c r="JC71" s="85">
        <f>IF(JC28&lt;=Condition!$E$16,0,IF(JC28&lt;=Condition!$F$16,Condition!$D$16,IF(JC28&lt;=Condition!$F$17,Condition!$D$17,IF(JC28&lt;=Condition!$F$18,Condition!$D$18,IF(JC28&gt;Condition!$E$19,Condition!$D$19,"")))))</f>
        <v>0</v>
      </c>
      <c r="JD71" s="85">
        <f>IF(JD28&lt;=Condition!$E$16,0,IF(JD28&lt;=Condition!$F$16,Condition!$D$16,IF(JD28&lt;=Condition!$F$17,Condition!$D$17,IF(JD28&lt;=Condition!$F$18,Condition!$D$18,IF(JD28&gt;Condition!$E$19,Condition!$D$19,"")))))</f>
        <v>0</v>
      </c>
      <c r="JE71" s="85">
        <f>IF(JE28&lt;=Condition!$E$16,0,IF(JE28&lt;=Condition!$F$16,Condition!$D$16,IF(JE28&lt;=Condition!$F$17,Condition!$D$17,IF(JE28&lt;=Condition!$F$18,Condition!$D$18,IF(JE28&gt;Condition!$E$19,Condition!$D$19,"")))))</f>
        <v>0</v>
      </c>
      <c r="JF71" s="85">
        <f>IF(JF28&lt;=Condition!$E$16,0,IF(JF28&lt;=Condition!$F$16,Condition!$D$16,IF(JF28&lt;=Condition!$F$17,Condition!$D$17,IF(JF28&lt;=Condition!$F$18,Condition!$D$18,IF(JF28&gt;Condition!$E$19,Condition!$D$19,"")))))</f>
        <v>0</v>
      </c>
      <c r="JG71" s="85">
        <f>IF(JG28&lt;=Condition!$E$16,0,IF(JG28&lt;=Condition!$F$16,Condition!$D$16,IF(JG28&lt;=Condition!$F$17,Condition!$D$17,IF(JG28&lt;=Condition!$F$18,Condition!$D$18,IF(JG28&gt;Condition!$E$19,Condition!$D$19,"")))))</f>
        <v>0</v>
      </c>
      <c r="JH71" s="85">
        <f>IF(JH28&lt;=Condition!$E$16,0,IF(JH28&lt;=Condition!$F$16,Condition!$D$16,IF(JH28&lt;=Condition!$F$17,Condition!$D$17,IF(JH28&lt;=Condition!$F$18,Condition!$D$18,IF(JH28&gt;Condition!$E$19,Condition!$D$19,"")))))</f>
        <v>0</v>
      </c>
      <c r="JI71" s="85">
        <f>IF(JI28&lt;=Condition!$E$16,0,IF(JI28&lt;=Condition!$F$16,Condition!$D$16,IF(JI28&lt;=Condition!$F$17,Condition!$D$17,IF(JI28&lt;=Condition!$F$18,Condition!$D$18,IF(JI28&gt;Condition!$E$19,Condition!$D$19,"")))))</f>
        <v>0</v>
      </c>
      <c r="JJ71" s="85">
        <f>IF(JJ28&lt;=Condition!$E$16,0,IF(JJ28&lt;=Condition!$F$16,Condition!$D$16,IF(JJ28&lt;=Condition!$F$17,Condition!$D$17,IF(JJ28&lt;=Condition!$F$18,Condition!$D$18,IF(JJ28&gt;Condition!$E$19,Condition!$D$19,"")))))</f>
        <v>0</v>
      </c>
      <c r="JK71" s="85">
        <f>IF(JK28&lt;=Condition!$E$16,0,IF(JK28&lt;=Condition!$F$16,Condition!$D$16,IF(JK28&lt;=Condition!$F$17,Condition!$D$17,IF(JK28&lt;=Condition!$F$18,Condition!$D$18,IF(JK28&gt;Condition!$E$19,Condition!$D$19,"")))))</f>
        <v>0</v>
      </c>
      <c r="JL71" s="85">
        <f>IF(JL28&lt;=Condition!$E$16,0,IF(JL28&lt;=Condition!$F$16,Condition!$D$16,IF(JL28&lt;=Condition!$F$17,Condition!$D$17,IF(JL28&lt;=Condition!$F$18,Condition!$D$18,IF(JL28&gt;Condition!$E$19,Condition!$D$19,"")))))</f>
        <v>0</v>
      </c>
      <c r="JM71" s="85">
        <f>IF(JM28&lt;=Condition!$E$16,0,IF(JM28&lt;=Condition!$F$16,Condition!$D$16,IF(JM28&lt;=Condition!$F$17,Condition!$D$17,IF(JM28&lt;=Condition!$F$18,Condition!$D$18,IF(JM28&gt;Condition!$E$19,Condition!$D$19,"")))))</f>
        <v>0</v>
      </c>
      <c r="JN71" s="85">
        <f>IF(JN28&lt;=Condition!$E$16,0,IF(JN28&lt;=Condition!$F$16,Condition!$D$16,IF(JN28&lt;=Condition!$F$17,Condition!$D$17,IF(JN28&lt;=Condition!$F$18,Condition!$D$18,IF(JN28&gt;Condition!$E$19,Condition!$D$19,"")))))</f>
        <v>0</v>
      </c>
      <c r="JO71" s="85">
        <f>IF(JO28&lt;=Condition!$E$16,0,IF(JO28&lt;=Condition!$F$16,Condition!$D$16,IF(JO28&lt;=Condition!$F$17,Condition!$D$17,IF(JO28&lt;=Condition!$F$18,Condition!$D$18,IF(JO28&gt;Condition!$E$19,Condition!$D$19,"")))))</f>
        <v>0</v>
      </c>
      <c r="JP71" s="85">
        <f>IF(JP28&lt;=Condition!$E$16,0,IF(JP28&lt;=Condition!$F$16,Condition!$D$16,IF(JP28&lt;=Condition!$F$17,Condition!$D$17,IF(JP28&lt;=Condition!$F$18,Condition!$D$18,IF(JP28&gt;Condition!$E$19,Condition!$D$19,"")))))</f>
        <v>0</v>
      </c>
      <c r="JQ71" s="85">
        <f>IF(JQ28&lt;=Condition!$E$16,0,IF(JQ28&lt;=Condition!$F$16,Condition!$D$16,IF(JQ28&lt;=Condition!$F$17,Condition!$D$17,IF(JQ28&lt;=Condition!$F$18,Condition!$D$18,IF(JQ28&gt;Condition!$E$19,Condition!$D$19,"")))))</f>
        <v>0</v>
      </c>
      <c r="JR71" s="85">
        <f>IF(JR28&lt;=Condition!$E$16,0,IF(JR28&lt;=Condition!$F$16,Condition!$D$16,IF(JR28&lt;=Condition!$F$17,Condition!$D$17,IF(JR28&lt;=Condition!$F$18,Condition!$D$18,IF(JR28&gt;Condition!$E$19,Condition!$D$19,"")))))</f>
        <v>0</v>
      </c>
      <c r="JS71" s="85">
        <f>IF(JS28&lt;=Condition!$E$16,0,IF(JS28&lt;=Condition!$F$16,Condition!$D$16,IF(JS28&lt;=Condition!$F$17,Condition!$D$17,IF(JS28&lt;=Condition!$F$18,Condition!$D$18,IF(JS28&gt;Condition!$E$19,Condition!$D$19,"")))))</f>
        <v>0</v>
      </c>
      <c r="JT71" s="85">
        <f>IF(JT28&lt;=Condition!$E$16,0,IF(JT28&lt;=Condition!$F$16,Condition!$D$16,IF(JT28&lt;=Condition!$F$17,Condition!$D$17,IF(JT28&lt;=Condition!$F$18,Condition!$D$18,IF(JT28&gt;Condition!$E$19,Condition!$D$19,"")))))</f>
        <v>0</v>
      </c>
      <c r="JU71" s="85">
        <f>IF(JU28&lt;=Condition!$E$16,0,IF(JU28&lt;=Condition!$F$16,Condition!$D$16,IF(JU28&lt;=Condition!$F$17,Condition!$D$17,IF(JU28&lt;=Condition!$F$18,Condition!$D$18,IF(JU28&gt;Condition!$E$19,Condition!$D$19,"")))))</f>
        <v>0</v>
      </c>
      <c r="JV71" s="85">
        <f>IF(JV28&lt;=Condition!$E$16,0,IF(JV28&lt;=Condition!$F$16,Condition!$D$16,IF(JV28&lt;=Condition!$F$17,Condition!$D$17,IF(JV28&lt;=Condition!$F$18,Condition!$D$18,IF(JV28&gt;Condition!$E$19,Condition!$D$19,"")))))</f>
        <v>0</v>
      </c>
      <c r="JW71" s="85">
        <f>IF(JW28&lt;=Condition!$E$16,0,IF(JW28&lt;=Condition!$F$16,Condition!$D$16,IF(JW28&lt;=Condition!$F$17,Condition!$D$17,IF(JW28&lt;=Condition!$F$18,Condition!$D$18,IF(JW28&gt;Condition!$E$19,Condition!$D$19,"")))))</f>
        <v>0</v>
      </c>
      <c r="JX71" s="85">
        <f>IF(JX28&lt;=Condition!$E$16,0,IF(JX28&lt;=Condition!$F$16,Condition!$D$16,IF(JX28&lt;=Condition!$F$17,Condition!$D$17,IF(JX28&lt;=Condition!$F$18,Condition!$D$18,IF(JX28&gt;Condition!$E$19,Condition!$D$19,"")))))</f>
        <v>0</v>
      </c>
      <c r="JY71" s="85">
        <f>IF(JY28&lt;=Condition!$E$16,0,IF(JY28&lt;=Condition!$F$16,Condition!$D$16,IF(JY28&lt;=Condition!$F$17,Condition!$D$17,IF(JY28&lt;=Condition!$F$18,Condition!$D$18,IF(JY28&gt;Condition!$E$19,Condition!$D$19,"")))))</f>
        <v>0</v>
      </c>
      <c r="JZ71" s="85">
        <f>IF(JZ28&lt;=Condition!$E$16,0,IF(JZ28&lt;=Condition!$F$16,Condition!$D$16,IF(JZ28&lt;=Condition!$F$17,Condition!$D$17,IF(JZ28&lt;=Condition!$F$18,Condition!$D$18,IF(JZ28&gt;Condition!$E$19,Condition!$D$19,"")))))</f>
        <v>0</v>
      </c>
      <c r="KA71" s="85">
        <f>IF(KA28&lt;=Condition!$E$16,0,IF(KA28&lt;=Condition!$F$16,Condition!$D$16,IF(KA28&lt;=Condition!$F$17,Condition!$D$17,IF(KA28&lt;=Condition!$F$18,Condition!$D$18,IF(KA28&gt;Condition!$E$19,Condition!$D$19,"")))))</f>
        <v>0</v>
      </c>
      <c r="KB71" s="85">
        <f>IF(KB28&lt;=Condition!$E$16,0,IF(KB28&lt;=Condition!$F$16,Condition!$D$16,IF(KB28&lt;=Condition!$F$17,Condition!$D$17,IF(KB28&lt;=Condition!$F$18,Condition!$D$18,IF(KB28&gt;Condition!$E$19,Condition!$D$19,"")))))</f>
        <v>0</v>
      </c>
      <c r="KC71" s="85">
        <f>IF(KC28&lt;=Condition!$E$16,0,IF(KC28&lt;=Condition!$F$16,Condition!$D$16,IF(KC28&lt;=Condition!$F$17,Condition!$D$17,IF(KC28&lt;=Condition!$F$18,Condition!$D$18,IF(KC28&gt;Condition!$E$19,Condition!$D$19,"")))))</f>
        <v>0</v>
      </c>
      <c r="KD71" s="85">
        <f>IF(KD28&lt;=Condition!$E$16,0,IF(KD28&lt;=Condition!$F$16,Condition!$D$16,IF(KD28&lt;=Condition!$F$17,Condition!$D$17,IF(KD28&lt;=Condition!$F$18,Condition!$D$18,IF(KD28&gt;Condition!$E$19,Condition!$D$19,"")))))</f>
        <v>0</v>
      </c>
      <c r="KE71" s="85">
        <f>IF(KE28&lt;=Condition!$E$16,0,IF(KE28&lt;=Condition!$F$16,Condition!$D$16,IF(KE28&lt;=Condition!$F$17,Condition!$D$17,IF(KE28&lt;=Condition!$F$18,Condition!$D$18,IF(KE28&gt;Condition!$E$19,Condition!$D$19,"")))))</f>
        <v>0</v>
      </c>
      <c r="KF71" s="85">
        <f>IF(KF28&lt;=Condition!$E$16,0,IF(KF28&lt;=Condition!$F$16,Condition!$D$16,IF(KF28&lt;=Condition!$F$17,Condition!$D$17,IF(KF28&lt;=Condition!$F$18,Condition!$D$18,IF(KF28&gt;Condition!$E$19,Condition!$D$19,"")))))</f>
        <v>0</v>
      </c>
      <c r="KG71" s="85">
        <f>IF(KG28&lt;=Condition!$E$16,0,IF(KG28&lt;=Condition!$F$16,Condition!$D$16,IF(KG28&lt;=Condition!$F$17,Condition!$D$17,IF(KG28&lt;=Condition!$F$18,Condition!$D$18,IF(KG28&gt;Condition!$E$19,Condition!$D$19,"")))))</f>
        <v>0</v>
      </c>
      <c r="KH71" s="85">
        <f>IF(KH28&lt;=Condition!$E$16,0,IF(KH28&lt;=Condition!$F$16,Condition!$D$16,IF(KH28&lt;=Condition!$F$17,Condition!$D$17,IF(KH28&lt;=Condition!$F$18,Condition!$D$18,IF(KH28&gt;Condition!$E$19,Condition!$D$19,"")))))</f>
        <v>0</v>
      </c>
      <c r="KI71" s="85">
        <f>IF(KI28&lt;=Condition!$E$16,0,IF(KI28&lt;=Condition!$F$16,Condition!$D$16,IF(KI28&lt;=Condition!$F$17,Condition!$D$17,IF(KI28&lt;=Condition!$F$18,Condition!$D$18,IF(KI28&gt;Condition!$E$19,Condition!$D$19,"")))))</f>
        <v>0</v>
      </c>
    </row>
    <row r="72" spans="2:295" x14ac:dyDescent="0.25">
      <c r="B72" s="15">
        <f t="shared" ref="B72:E72" si="27">B29</f>
        <v>17</v>
      </c>
      <c r="C72" s="25" t="str">
        <f t="shared" si="27"/>
        <v/>
      </c>
      <c r="D72" s="25" t="str">
        <f t="shared" si="27"/>
        <v>New-4</v>
      </c>
      <c r="E72" s="26" t="str">
        <f t="shared" si="27"/>
        <v/>
      </c>
      <c r="F72" s="112">
        <f t="shared" si="4"/>
        <v>0</v>
      </c>
      <c r="G72" s="112">
        <f t="shared" si="5"/>
        <v>0</v>
      </c>
      <c r="H72" s="85">
        <f>IF(H29&lt;=Condition!$E$16,0,IF(H29&lt;=Condition!$F$16,Condition!$D$16,IF(H29&lt;=Condition!$F$17,Condition!$D$17,IF(H29&lt;=Condition!$F$18,Condition!$D$18,IF(H29&gt;Condition!$E$19,Condition!$D$19,"")))))</f>
        <v>0</v>
      </c>
      <c r="I72" s="85">
        <f>IF(I29&lt;=Condition!$E$16,0,IF(I29&lt;=Condition!$F$16,Condition!$D$16,IF(I29&lt;=Condition!$F$17,Condition!$D$17,IF(I29&lt;=Condition!$F$18,Condition!$D$18,IF(I29&gt;Condition!$E$19,Condition!$D$19,"")))))</f>
        <v>0</v>
      </c>
      <c r="J72" s="85">
        <f>IF(J29&lt;=Condition!$E$16,0,IF(J29&lt;=Condition!$F$16,Condition!$D$16,IF(J29&lt;=Condition!$F$17,Condition!$D$17,IF(J29&lt;=Condition!$F$18,Condition!$D$18,IF(J29&gt;Condition!$E$19,Condition!$D$19,"")))))</f>
        <v>0</v>
      </c>
      <c r="K72" s="85">
        <f>IF(K29&lt;=Condition!$E$16,0,IF(K29&lt;=Condition!$F$16,Condition!$D$16,IF(K29&lt;=Condition!$F$17,Condition!$D$17,IF(K29&lt;=Condition!$F$18,Condition!$D$18,IF(K29&gt;Condition!$E$19,Condition!$D$19,"")))))</f>
        <v>0</v>
      </c>
      <c r="L72" s="85">
        <f>IF(L29&lt;=Condition!$E$16,0,IF(L29&lt;=Condition!$F$16,Condition!$D$16,IF(L29&lt;=Condition!$F$17,Condition!$D$17,IF(L29&lt;=Condition!$F$18,Condition!$D$18,IF(L29&gt;Condition!$E$19,Condition!$D$19,"")))))</f>
        <v>0</v>
      </c>
      <c r="M72" s="85">
        <f>IF(M29&lt;=Condition!$E$16,0,IF(M29&lt;=Condition!$F$16,Condition!$D$16,IF(M29&lt;=Condition!$F$17,Condition!$D$17,IF(M29&lt;=Condition!$F$18,Condition!$D$18,IF(M29&gt;Condition!$E$19,Condition!$D$19,"")))))</f>
        <v>0</v>
      </c>
      <c r="N72" s="85">
        <f>IF(N29&lt;=Condition!$E$16,0,IF(N29&lt;=Condition!$F$16,Condition!$D$16,IF(N29&lt;=Condition!$F$17,Condition!$D$17,IF(N29&lt;=Condition!$F$18,Condition!$D$18,IF(N29&gt;Condition!$E$19,Condition!$D$19,"")))))</f>
        <v>0</v>
      </c>
      <c r="O72" s="85">
        <f>IF(O29&lt;=Condition!$E$16,0,IF(O29&lt;=Condition!$F$16,Condition!$D$16,IF(O29&lt;=Condition!$F$17,Condition!$D$17,IF(O29&lt;=Condition!$F$18,Condition!$D$18,IF(O29&gt;Condition!$E$19,Condition!$D$19,"")))))</f>
        <v>0</v>
      </c>
      <c r="P72" s="85">
        <f>IF(P29&lt;=Condition!$E$16,0,IF(P29&lt;=Condition!$F$16,Condition!$D$16,IF(P29&lt;=Condition!$F$17,Condition!$D$17,IF(P29&lt;=Condition!$F$18,Condition!$D$18,IF(P29&gt;Condition!$E$19,Condition!$D$19,"")))))</f>
        <v>0</v>
      </c>
      <c r="Q72" s="85">
        <f>IF(Q29&lt;=Condition!$E$16,0,IF(Q29&lt;=Condition!$F$16,Condition!$D$16,IF(Q29&lt;=Condition!$F$17,Condition!$D$17,IF(Q29&lt;=Condition!$F$18,Condition!$D$18,IF(Q29&gt;Condition!$E$19,Condition!$D$19,"")))))</f>
        <v>0</v>
      </c>
      <c r="R72" s="85">
        <f>IF(R29&lt;=Condition!$E$16,0,IF(R29&lt;=Condition!$F$16,Condition!$D$16,IF(R29&lt;=Condition!$F$17,Condition!$D$17,IF(R29&lt;=Condition!$F$18,Condition!$D$18,IF(R29&gt;Condition!$E$19,Condition!$D$19,"")))))</f>
        <v>0</v>
      </c>
      <c r="S72" s="85">
        <f>IF(S29&lt;=Condition!$E$16,0,IF(S29&lt;=Condition!$F$16,Condition!$D$16,IF(S29&lt;=Condition!$F$17,Condition!$D$17,IF(S29&lt;=Condition!$F$18,Condition!$D$18,IF(S29&gt;Condition!$E$19,Condition!$D$19,"")))))</f>
        <v>0</v>
      </c>
      <c r="T72" s="85">
        <f>IF(T29&lt;=Condition!$E$16,0,IF(T29&lt;=Condition!$F$16,Condition!$D$16,IF(T29&lt;=Condition!$F$17,Condition!$D$17,IF(T29&lt;=Condition!$F$18,Condition!$D$18,IF(T29&gt;Condition!$E$19,Condition!$D$19,"")))))</f>
        <v>0</v>
      </c>
      <c r="U72" s="85">
        <f>IF(U29&lt;=Condition!$E$16,0,IF(U29&lt;=Condition!$F$16,Condition!$D$16,IF(U29&lt;=Condition!$F$17,Condition!$D$17,IF(U29&lt;=Condition!$F$18,Condition!$D$18,IF(U29&gt;Condition!$E$19,Condition!$D$19,"")))))</f>
        <v>0</v>
      </c>
      <c r="V72" s="85">
        <f>IF(V29&lt;=Condition!$E$16,0,IF(V29&lt;=Condition!$F$16,Condition!$D$16,IF(V29&lt;=Condition!$F$17,Condition!$D$17,IF(V29&lt;=Condition!$F$18,Condition!$D$18,IF(V29&gt;Condition!$E$19,Condition!$D$19,"")))))</f>
        <v>0</v>
      </c>
      <c r="W72" s="85">
        <f>IF(W29&lt;=Condition!$E$16,0,IF(W29&lt;=Condition!$F$16,Condition!$D$16,IF(W29&lt;=Condition!$F$17,Condition!$D$17,IF(W29&lt;=Condition!$F$18,Condition!$D$18,IF(W29&gt;Condition!$E$19,Condition!$D$19,"")))))</f>
        <v>0</v>
      </c>
      <c r="X72" s="85">
        <f>IF(X29&lt;=Condition!$E$16,0,IF(X29&lt;=Condition!$F$16,Condition!$D$16,IF(X29&lt;=Condition!$F$17,Condition!$D$17,IF(X29&lt;=Condition!$F$18,Condition!$D$18,IF(X29&gt;Condition!$E$19,Condition!$D$19,"")))))</f>
        <v>0</v>
      </c>
      <c r="Y72" s="85">
        <f>IF(Y29&lt;=Condition!$E$16,0,IF(Y29&lt;=Condition!$F$16,Condition!$D$16,IF(Y29&lt;=Condition!$F$17,Condition!$D$17,IF(Y29&lt;=Condition!$F$18,Condition!$D$18,IF(Y29&gt;Condition!$E$19,Condition!$D$19,"")))))</f>
        <v>0</v>
      </c>
      <c r="Z72" s="85">
        <f>IF(Z29&lt;=Condition!$E$16,0,IF(Z29&lt;=Condition!$F$16,Condition!$D$16,IF(Z29&lt;=Condition!$F$17,Condition!$D$17,IF(Z29&lt;=Condition!$F$18,Condition!$D$18,IF(Z29&gt;Condition!$E$19,Condition!$D$19,"")))))</f>
        <v>0</v>
      </c>
      <c r="AA72" s="85">
        <f>IF(AA29&lt;=Condition!$E$16,0,IF(AA29&lt;=Condition!$F$16,Condition!$D$16,IF(AA29&lt;=Condition!$F$17,Condition!$D$17,IF(AA29&lt;=Condition!$F$18,Condition!$D$18,IF(AA29&gt;Condition!$E$19,Condition!$D$19,"")))))</f>
        <v>0</v>
      </c>
      <c r="AB72" s="85">
        <f>IF(AB29&lt;=Condition!$E$16,0,IF(AB29&lt;=Condition!$F$16,Condition!$D$16,IF(AB29&lt;=Condition!$F$17,Condition!$D$17,IF(AB29&lt;=Condition!$F$18,Condition!$D$18,IF(AB29&gt;Condition!$E$19,Condition!$D$19,"")))))</f>
        <v>0</v>
      </c>
      <c r="AC72" s="85">
        <f>IF(AC29&lt;=Condition!$E$16,0,IF(AC29&lt;=Condition!$F$16,Condition!$D$16,IF(AC29&lt;=Condition!$F$17,Condition!$D$17,IF(AC29&lt;=Condition!$F$18,Condition!$D$18,IF(AC29&gt;Condition!$E$19,Condition!$D$19,"")))))</f>
        <v>0</v>
      </c>
      <c r="AD72" s="85">
        <f>IF(AD29&lt;=Condition!$E$16,0,IF(AD29&lt;=Condition!$F$16,Condition!$D$16,IF(AD29&lt;=Condition!$F$17,Condition!$D$17,IF(AD29&lt;=Condition!$F$18,Condition!$D$18,IF(AD29&gt;Condition!$E$19,Condition!$D$19,"")))))</f>
        <v>0</v>
      </c>
      <c r="AE72" s="85">
        <f>IF(AE29&lt;=Condition!$E$16,0,IF(AE29&lt;=Condition!$F$16,Condition!$D$16,IF(AE29&lt;=Condition!$F$17,Condition!$D$17,IF(AE29&lt;=Condition!$F$18,Condition!$D$18,IF(AE29&gt;Condition!$E$19,Condition!$D$19,"")))))</f>
        <v>0</v>
      </c>
      <c r="AF72" s="85">
        <f>IF(AF29&lt;=Condition!$E$16,0,IF(AF29&lt;=Condition!$F$16,Condition!$D$16,IF(AF29&lt;=Condition!$F$17,Condition!$D$17,IF(AF29&lt;=Condition!$F$18,Condition!$D$18,IF(AF29&gt;Condition!$E$19,Condition!$D$19,"")))))</f>
        <v>0</v>
      </c>
      <c r="AG72" s="85">
        <f>IF(AG29&lt;=Condition!$E$16,0,IF(AG29&lt;=Condition!$F$16,Condition!$D$16,IF(AG29&lt;=Condition!$F$17,Condition!$D$17,IF(AG29&lt;=Condition!$F$18,Condition!$D$18,IF(AG29&gt;Condition!$E$19,Condition!$D$19,"")))))</f>
        <v>0</v>
      </c>
      <c r="AH72" s="85">
        <f>IF(AH29&lt;=Condition!$E$16,0,IF(AH29&lt;=Condition!$F$16,Condition!$D$16,IF(AH29&lt;=Condition!$F$17,Condition!$D$17,IF(AH29&lt;=Condition!$F$18,Condition!$D$18,IF(AH29&gt;Condition!$E$19,Condition!$D$19,"")))))</f>
        <v>0</v>
      </c>
      <c r="AI72" s="85">
        <f>IF(AI29&lt;=Condition!$E$16,0,IF(AI29&lt;=Condition!$F$16,Condition!$D$16,IF(AI29&lt;=Condition!$F$17,Condition!$D$17,IF(AI29&lt;=Condition!$F$18,Condition!$D$18,IF(AI29&gt;Condition!$E$19,Condition!$D$19,"")))))</f>
        <v>0</v>
      </c>
      <c r="AJ72" s="85">
        <f>IF(AJ29&lt;=Condition!$E$16,0,IF(AJ29&lt;=Condition!$F$16,Condition!$D$16,IF(AJ29&lt;=Condition!$F$17,Condition!$D$17,IF(AJ29&lt;=Condition!$F$18,Condition!$D$18,IF(AJ29&gt;Condition!$E$19,Condition!$D$19,"")))))</f>
        <v>0</v>
      </c>
      <c r="AK72" s="85">
        <f>IF(AK29&lt;=Condition!$E$16,0,IF(AK29&lt;=Condition!$F$16,Condition!$D$16,IF(AK29&lt;=Condition!$F$17,Condition!$D$17,IF(AK29&lt;=Condition!$F$18,Condition!$D$18,IF(AK29&gt;Condition!$E$19,Condition!$D$19,"")))))</f>
        <v>0</v>
      </c>
      <c r="AL72" s="85">
        <f>IF(AL29&lt;=Condition!$E$16,0,IF(AL29&lt;=Condition!$F$16,Condition!$D$16,IF(AL29&lt;=Condition!$F$17,Condition!$D$17,IF(AL29&lt;=Condition!$F$18,Condition!$D$18,IF(AL29&gt;Condition!$E$19,Condition!$D$19,"")))))</f>
        <v>0</v>
      </c>
      <c r="AM72" s="85">
        <f>IF(AM29&lt;=Condition!$E$16,0,IF(AM29&lt;=Condition!$F$16,Condition!$D$16,IF(AM29&lt;=Condition!$F$17,Condition!$D$17,IF(AM29&lt;=Condition!$F$18,Condition!$D$18,IF(AM29&gt;Condition!$E$19,Condition!$D$19,"")))))</f>
        <v>0</v>
      </c>
      <c r="AN72" s="85">
        <f>IF(AN29&lt;=Condition!$E$16,0,IF(AN29&lt;=Condition!$F$16,Condition!$D$16,IF(AN29&lt;=Condition!$F$17,Condition!$D$17,IF(AN29&lt;=Condition!$F$18,Condition!$D$18,IF(AN29&gt;Condition!$E$19,Condition!$D$19,"")))))</f>
        <v>0</v>
      </c>
      <c r="AO72" s="85">
        <f>IF(AO29&lt;=Condition!$E$16,0,IF(AO29&lt;=Condition!$F$16,Condition!$D$16,IF(AO29&lt;=Condition!$F$17,Condition!$D$17,IF(AO29&lt;=Condition!$F$18,Condition!$D$18,IF(AO29&gt;Condition!$E$19,Condition!$D$19,"")))))</f>
        <v>0</v>
      </c>
      <c r="AP72" s="85">
        <f>IF(AP29&lt;=Condition!$E$16,0,IF(AP29&lt;=Condition!$F$16,Condition!$D$16,IF(AP29&lt;=Condition!$F$17,Condition!$D$17,IF(AP29&lt;=Condition!$F$18,Condition!$D$18,IF(AP29&gt;Condition!$E$19,Condition!$D$19,"")))))</f>
        <v>0</v>
      </c>
      <c r="AQ72" s="85">
        <f>IF(AQ29&lt;=Condition!$E$16,0,IF(AQ29&lt;=Condition!$F$16,Condition!$D$16,IF(AQ29&lt;=Condition!$F$17,Condition!$D$17,IF(AQ29&lt;=Condition!$F$18,Condition!$D$18,IF(AQ29&gt;Condition!$E$19,Condition!$D$19,"")))))</f>
        <v>0</v>
      </c>
      <c r="AR72" s="85">
        <f>IF(AR29&lt;=Condition!$E$16,0,IF(AR29&lt;=Condition!$F$16,Condition!$D$16,IF(AR29&lt;=Condition!$F$17,Condition!$D$17,IF(AR29&lt;=Condition!$F$18,Condition!$D$18,IF(AR29&gt;Condition!$E$19,Condition!$D$19,"")))))</f>
        <v>0</v>
      </c>
      <c r="AS72" s="85">
        <f>IF(AS29&lt;=Condition!$E$16,0,IF(AS29&lt;=Condition!$F$16,Condition!$D$16,IF(AS29&lt;=Condition!$F$17,Condition!$D$17,IF(AS29&lt;=Condition!$F$18,Condition!$D$18,IF(AS29&gt;Condition!$E$19,Condition!$D$19,"")))))</f>
        <v>0</v>
      </c>
      <c r="AT72" s="85">
        <f>IF(AT29&lt;=Condition!$E$16,0,IF(AT29&lt;=Condition!$F$16,Condition!$D$16,IF(AT29&lt;=Condition!$F$17,Condition!$D$17,IF(AT29&lt;=Condition!$F$18,Condition!$D$18,IF(AT29&gt;Condition!$E$19,Condition!$D$19,"")))))</f>
        <v>0</v>
      </c>
      <c r="AU72" s="85">
        <f>IF(AU29&lt;=Condition!$E$16,0,IF(AU29&lt;=Condition!$F$16,Condition!$D$16,IF(AU29&lt;=Condition!$F$17,Condition!$D$17,IF(AU29&lt;=Condition!$F$18,Condition!$D$18,IF(AU29&gt;Condition!$E$19,Condition!$D$19,"")))))</f>
        <v>0</v>
      </c>
      <c r="AV72" s="85">
        <f>IF(AV29&lt;=Condition!$E$16,0,IF(AV29&lt;=Condition!$F$16,Condition!$D$16,IF(AV29&lt;=Condition!$F$17,Condition!$D$17,IF(AV29&lt;=Condition!$F$18,Condition!$D$18,IF(AV29&gt;Condition!$E$19,Condition!$D$19,"")))))</f>
        <v>0</v>
      </c>
      <c r="AW72" s="85">
        <f>IF(AW29&lt;=Condition!$E$16,0,IF(AW29&lt;=Condition!$F$16,Condition!$D$16,IF(AW29&lt;=Condition!$F$17,Condition!$D$17,IF(AW29&lt;=Condition!$F$18,Condition!$D$18,IF(AW29&gt;Condition!$E$19,Condition!$D$19,"")))))</f>
        <v>0</v>
      </c>
      <c r="AX72" s="85">
        <f>IF(AX29&lt;=Condition!$E$16,0,IF(AX29&lt;=Condition!$F$16,Condition!$D$16,IF(AX29&lt;=Condition!$F$17,Condition!$D$17,IF(AX29&lt;=Condition!$F$18,Condition!$D$18,IF(AX29&gt;Condition!$E$19,Condition!$D$19,"")))))</f>
        <v>0</v>
      </c>
      <c r="AY72" s="85">
        <f>IF(AY29&lt;=Condition!$E$16,0,IF(AY29&lt;=Condition!$F$16,Condition!$D$16,IF(AY29&lt;=Condition!$F$17,Condition!$D$17,IF(AY29&lt;=Condition!$F$18,Condition!$D$18,IF(AY29&gt;Condition!$E$19,Condition!$D$19,"")))))</f>
        <v>0</v>
      </c>
      <c r="AZ72" s="85">
        <f>IF(AZ29&lt;=Condition!$E$16,0,IF(AZ29&lt;=Condition!$F$16,Condition!$D$16,IF(AZ29&lt;=Condition!$F$17,Condition!$D$17,IF(AZ29&lt;=Condition!$F$18,Condition!$D$18,IF(AZ29&gt;Condition!$E$19,Condition!$D$19,"")))))</f>
        <v>0</v>
      </c>
      <c r="BA72" s="85">
        <f>IF(BA29&lt;=Condition!$E$16,0,IF(BA29&lt;=Condition!$F$16,Condition!$D$16,IF(BA29&lt;=Condition!$F$17,Condition!$D$17,IF(BA29&lt;=Condition!$F$18,Condition!$D$18,IF(BA29&gt;Condition!$E$19,Condition!$D$19,"")))))</f>
        <v>0</v>
      </c>
      <c r="BB72" s="85">
        <f>IF(BB29&lt;=Condition!$E$16,0,IF(BB29&lt;=Condition!$F$16,Condition!$D$16,IF(BB29&lt;=Condition!$F$17,Condition!$D$17,IF(BB29&lt;=Condition!$F$18,Condition!$D$18,IF(BB29&gt;Condition!$E$19,Condition!$D$19,"")))))</f>
        <v>0</v>
      </c>
      <c r="BC72" s="85">
        <f>IF(BC29&lt;=Condition!$E$16,0,IF(BC29&lt;=Condition!$F$16,Condition!$D$16,IF(BC29&lt;=Condition!$F$17,Condition!$D$17,IF(BC29&lt;=Condition!$F$18,Condition!$D$18,IF(BC29&gt;Condition!$E$19,Condition!$D$19,"")))))</f>
        <v>0</v>
      </c>
      <c r="BD72" s="85">
        <f>IF(BD29&lt;=Condition!$E$16,0,IF(BD29&lt;=Condition!$F$16,Condition!$D$16,IF(BD29&lt;=Condition!$F$17,Condition!$D$17,IF(BD29&lt;=Condition!$F$18,Condition!$D$18,IF(BD29&gt;Condition!$E$19,Condition!$D$19,"")))))</f>
        <v>0</v>
      </c>
      <c r="BE72" s="85">
        <f>IF(BE29&lt;=Condition!$E$16,0,IF(BE29&lt;=Condition!$F$16,Condition!$D$16,IF(BE29&lt;=Condition!$F$17,Condition!$D$17,IF(BE29&lt;=Condition!$F$18,Condition!$D$18,IF(BE29&gt;Condition!$E$19,Condition!$D$19,"")))))</f>
        <v>0</v>
      </c>
      <c r="BF72" s="85">
        <f>IF(BF29&lt;=Condition!$E$16,0,IF(BF29&lt;=Condition!$F$16,Condition!$D$16,IF(BF29&lt;=Condition!$F$17,Condition!$D$17,IF(BF29&lt;=Condition!$F$18,Condition!$D$18,IF(BF29&gt;Condition!$E$19,Condition!$D$19,"")))))</f>
        <v>0</v>
      </c>
      <c r="BG72" s="85">
        <f>IF(BG29&lt;=Condition!$E$16,0,IF(BG29&lt;=Condition!$F$16,Condition!$D$16,IF(BG29&lt;=Condition!$F$17,Condition!$D$17,IF(BG29&lt;=Condition!$F$18,Condition!$D$18,IF(BG29&gt;Condition!$E$19,Condition!$D$19,"")))))</f>
        <v>0</v>
      </c>
      <c r="BH72" s="85">
        <f>IF(BH29&lt;=Condition!$E$16,0,IF(BH29&lt;=Condition!$F$16,Condition!$D$16,IF(BH29&lt;=Condition!$F$17,Condition!$D$17,IF(BH29&lt;=Condition!$F$18,Condition!$D$18,IF(BH29&gt;Condition!$E$19,Condition!$D$19,"")))))</f>
        <v>0</v>
      </c>
      <c r="BI72" s="85">
        <f>IF(BI29&lt;=Condition!$E$16,0,IF(BI29&lt;=Condition!$F$16,Condition!$D$16,IF(BI29&lt;=Condition!$F$17,Condition!$D$17,IF(BI29&lt;=Condition!$F$18,Condition!$D$18,IF(BI29&gt;Condition!$E$19,Condition!$D$19,"")))))</f>
        <v>0</v>
      </c>
      <c r="BJ72" s="85">
        <f>IF(BJ29&lt;=Condition!$E$16,0,IF(BJ29&lt;=Condition!$F$16,Condition!$D$16,IF(BJ29&lt;=Condition!$F$17,Condition!$D$17,IF(BJ29&lt;=Condition!$F$18,Condition!$D$18,IF(BJ29&gt;Condition!$E$19,Condition!$D$19,"")))))</f>
        <v>0</v>
      </c>
      <c r="BK72" s="85">
        <f>IF(BK29&lt;=Condition!$E$16,0,IF(BK29&lt;=Condition!$F$16,Condition!$D$16,IF(BK29&lt;=Condition!$F$17,Condition!$D$17,IF(BK29&lt;=Condition!$F$18,Condition!$D$18,IF(BK29&gt;Condition!$E$19,Condition!$D$19,"")))))</f>
        <v>0</v>
      </c>
      <c r="BL72" s="85">
        <f>IF(BL29&lt;=Condition!$E$16,0,IF(BL29&lt;=Condition!$F$16,Condition!$D$16,IF(BL29&lt;=Condition!$F$17,Condition!$D$17,IF(BL29&lt;=Condition!$F$18,Condition!$D$18,IF(BL29&gt;Condition!$E$19,Condition!$D$19,"")))))</f>
        <v>0</v>
      </c>
      <c r="BM72" s="85">
        <f>IF(BM29&lt;=Condition!$E$16,0,IF(BM29&lt;=Condition!$F$16,Condition!$D$16,IF(BM29&lt;=Condition!$F$17,Condition!$D$17,IF(BM29&lt;=Condition!$F$18,Condition!$D$18,IF(BM29&gt;Condition!$E$19,Condition!$D$19,"")))))</f>
        <v>0</v>
      </c>
      <c r="BN72" s="85">
        <f>IF(BN29&lt;=Condition!$E$16,0,IF(BN29&lt;=Condition!$F$16,Condition!$D$16,IF(BN29&lt;=Condition!$F$17,Condition!$D$17,IF(BN29&lt;=Condition!$F$18,Condition!$D$18,IF(BN29&gt;Condition!$E$19,Condition!$D$19,"")))))</f>
        <v>0</v>
      </c>
      <c r="BO72" s="85">
        <f>IF(BO29&lt;=Condition!$E$16,0,IF(BO29&lt;=Condition!$F$16,Condition!$D$16,IF(BO29&lt;=Condition!$F$17,Condition!$D$17,IF(BO29&lt;=Condition!$F$18,Condition!$D$18,IF(BO29&gt;Condition!$E$19,Condition!$D$19,"")))))</f>
        <v>0</v>
      </c>
      <c r="BP72" s="85">
        <f>IF(BP29&lt;=Condition!$E$16,0,IF(BP29&lt;=Condition!$F$16,Condition!$D$16,IF(BP29&lt;=Condition!$F$17,Condition!$D$17,IF(BP29&lt;=Condition!$F$18,Condition!$D$18,IF(BP29&gt;Condition!$E$19,Condition!$D$19,"")))))</f>
        <v>0</v>
      </c>
      <c r="BQ72" s="85">
        <f>IF(BQ29&lt;=Condition!$E$16,0,IF(BQ29&lt;=Condition!$F$16,Condition!$D$16,IF(BQ29&lt;=Condition!$F$17,Condition!$D$17,IF(BQ29&lt;=Condition!$F$18,Condition!$D$18,IF(BQ29&gt;Condition!$E$19,Condition!$D$19,"")))))</f>
        <v>0</v>
      </c>
      <c r="BR72" s="85">
        <f>IF(BR29&lt;=Condition!$E$16,0,IF(BR29&lt;=Condition!$F$16,Condition!$D$16,IF(BR29&lt;=Condition!$F$17,Condition!$D$17,IF(BR29&lt;=Condition!$F$18,Condition!$D$18,IF(BR29&gt;Condition!$E$19,Condition!$D$19,"")))))</f>
        <v>0</v>
      </c>
      <c r="BS72" s="85">
        <f>IF(BS29&lt;=Condition!$E$16,0,IF(BS29&lt;=Condition!$F$16,Condition!$D$16,IF(BS29&lt;=Condition!$F$17,Condition!$D$17,IF(BS29&lt;=Condition!$F$18,Condition!$D$18,IF(BS29&gt;Condition!$E$19,Condition!$D$19,"")))))</f>
        <v>0</v>
      </c>
      <c r="BT72" s="85">
        <f>IF(BT29&lt;=Condition!$E$16,0,IF(BT29&lt;=Condition!$F$16,Condition!$D$16,IF(BT29&lt;=Condition!$F$17,Condition!$D$17,IF(BT29&lt;=Condition!$F$18,Condition!$D$18,IF(BT29&gt;Condition!$E$19,Condition!$D$19,"")))))</f>
        <v>0</v>
      </c>
      <c r="BU72" s="85">
        <f>IF(BU29&lt;=Condition!$E$16,0,IF(BU29&lt;=Condition!$F$16,Condition!$D$16,IF(BU29&lt;=Condition!$F$17,Condition!$D$17,IF(BU29&lt;=Condition!$F$18,Condition!$D$18,IF(BU29&gt;Condition!$E$19,Condition!$D$19,"")))))</f>
        <v>0</v>
      </c>
      <c r="BV72" s="85">
        <f>IF(BV29&lt;=Condition!$E$16,0,IF(BV29&lt;=Condition!$F$16,Condition!$D$16,IF(BV29&lt;=Condition!$F$17,Condition!$D$17,IF(BV29&lt;=Condition!$F$18,Condition!$D$18,IF(BV29&gt;Condition!$E$19,Condition!$D$19,"")))))</f>
        <v>0</v>
      </c>
      <c r="BW72" s="85">
        <f>IF(BW29&lt;=Condition!$E$16,0,IF(BW29&lt;=Condition!$F$16,Condition!$D$16,IF(BW29&lt;=Condition!$F$17,Condition!$D$17,IF(BW29&lt;=Condition!$F$18,Condition!$D$18,IF(BW29&gt;Condition!$E$19,Condition!$D$19,"")))))</f>
        <v>0</v>
      </c>
      <c r="BX72" s="85">
        <f>IF(BX29&lt;=Condition!$E$16,0,IF(BX29&lt;=Condition!$F$16,Condition!$D$16,IF(BX29&lt;=Condition!$F$17,Condition!$D$17,IF(BX29&lt;=Condition!$F$18,Condition!$D$18,IF(BX29&gt;Condition!$E$19,Condition!$D$19,"")))))</f>
        <v>0</v>
      </c>
      <c r="BY72" s="85">
        <f>IF(BY29&lt;=Condition!$E$16,0,IF(BY29&lt;=Condition!$F$16,Condition!$D$16,IF(BY29&lt;=Condition!$F$17,Condition!$D$17,IF(BY29&lt;=Condition!$F$18,Condition!$D$18,IF(BY29&gt;Condition!$E$19,Condition!$D$19,"")))))</f>
        <v>0</v>
      </c>
      <c r="BZ72" s="85">
        <f>IF(BZ29&lt;=Condition!$E$16,0,IF(BZ29&lt;=Condition!$F$16,Condition!$D$16,IF(BZ29&lt;=Condition!$F$17,Condition!$D$17,IF(BZ29&lt;=Condition!$F$18,Condition!$D$18,IF(BZ29&gt;Condition!$E$19,Condition!$D$19,"")))))</f>
        <v>0</v>
      </c>
      <c r="CA72" s="85">
        <f>IF(CA29&lt;=Condition!$E$16,0,IF(CA29&lt;=Condition!$F$16,Condition!$D$16,IF(CA29&lt;=Condition!$F$17,Condition!$D$17,IF(CA29&lt;=Condition!$F$18,Condition!$D$18,IF(CA29&gt;Condition!$E$19,Condition!$D$19,"")))))</f>
        <v>0</v>
      </c>
      <c r="CB72" s="85">
        <f>IF(CB29&lt;=Condition!$E$16,0,IF(CB29&lt;=Condition!$F$16,Condition!$D$16,IF(CB29&lt;=Condition!$F$17,Condition!$D$17,IF(CB29&lt;=Condition!$F$18,Condition!$D$18,IF(CB29&gt;Condition!$E$19,Condition!$D$19,"")))))</f>
        <v>0</v>
      </c>
      <c r="CC72" s="85">
        <f>IF(CC29&lt;=Condition!$E$16,0,IF(CC29&lt;=Condition!$F$16,Condition!$D$16,IF(CC29&lt;=Condition!$F$17,Condition!$D$17,IF(CC29&lt;=Condition!$F$18,Condition!$D$18,IF(CC29&gt;Condition!$E$19,Condition!$D$19,"")))))</f>
        <v>0</v>
      </c>
      <c r="CD72" s="85">
        <f>IF(CD29&lt;=Condition!$E$16,0,IF(CD29&lt;=Condition!$F$16,Condition!$D$16,IF(CD29&lt;=Condition!$F$17,Condition!$D$17,IF(CD29&lt;=Condition!$F$18,Condition!$D$18,IF(CD29&gt;Condition!$E$19,Condition!$D$19,"")))))</f>
        <v>0</v>
      </c>
      <c r="CE72" s="85">
        <f>IF(CE29&lt;=Condition!$E$16,0,IF(CE29&lt;=Condition!$F$16,Condition!$D$16,IF(CE29&lt;=Condition!$F$17,Condition!$D$17,IF(CE29&lt;=Condition!$F$18,Condition!$D$18,IF(CE29&gt;Condition!$E$19,Condition!$D$19,"")))))</f>
        <v>0</v>
      </c>
      <c r="CF72" s="85">
        <f>IF(CF29&lt;=Condition!$E$16,0,IF(CF29&lt;=Condition!$F$16,Condition!$D$16,IF(CF29&lt;=Condition!$F$17,Condition!$D$17,IF(CF29&lt;=Condition!$F$18,Condition!$D$18,IF(CF29&gt;Condition!$E$19,Condition!$D$19,"")))))</f>
        <v>0</v>
      </c>
      <c r="CG72" s="85">
        <f>IF(CG29&lt;=Condition!$E$16,0,IF(CG29&lt;=Condition!$F$16,Condition!$D$16,IF(CG29&lt;=Condition!$F$17,Condition!$D$17,IF(CG29&lt;=Condition!$F$18,Condition!$D$18,IF(CG29&gt;Condition!$E$19,Condition!$D$19,"")))))</f>
        <v>0</v>
      </c>
      <c r="CH72" s="85">
        <f>IF(CH29&lt;=Condition!$E$16,0,IF(CH29&lt;=Condition!$F$16,Condition!$D$16,IF(CH29&lt;=Condition!$F$17,Condition!$D$17,IF(CH29&lt;=Condition!$F$18,Condition!$D$18,IF(CH29&gt;Condition!$E$19,Condition!$D$19,"")))))</f>
        <v>0</v>
      </c>
      <c r="CI72" s="85">
        <f>IF(CI29&lt;=Condition!$E$16,0,IF(CI29&lt;=Condition!$F$16,Condition!$D$16,IF(CI29&lt;=Condition!$F$17,Condition!$D$17,IF(CI29&lt;=Condition!$F$18,Condition!$D$18,IF(CI29&gt;Condition!$E$19,Condition!$D$19,"")))))</f>
        <v>0</v>
      </c>
      <c r="CJ72" s="85">
        <f>IF(CJ29&lt;=Condition!$E$16,0,IF(CJ29&lt;=Condition!$F$16,Condition!$D$16,IF(CJ29&lt;=Condition!$F$17,Condition!$D$17,IF(CJ29&lt;=Condition!$F$18,Condition!$D$18,IF(CJ29&gt;Condition!$E$19,Condition!$D$19,"")))))</f>
        <v>0</v>
      </c>
      <c r="CK72" s="85">
        <f>IF(CK29&lt;=Condition!$E$16,0,IF(CK29&lt;=Condition!$F$16,Condition!$D$16,IF(CK29&lt;=Condition!$F$17,Condition!$D$17,IF(CK29&lt;=Condition!$F$18,Condition!$D$18,IF(CK29&gt;Condition!$E$19,Condition!$D$19,"")))))</f>
        <v>0</v>
      </c>
      <c r="CL72" s="85">
        <f>IF(CL29&lt;=Condition!$E$16,0,IF(CL29&lt;=Condition!$F$16,Condition!$D$16,IF(CL29&lt;=Condition!$F$17,Condition!$D$17,IF(CL29&lt;=Condition!$F$18,Condition!$D$18,IF(CL29&gt;Condition!$E$19,Condition!$D$19,"")))))</f>
        <v>0</v>
      </c>
      <c r="CM72" s="85">
        <f>IF(CM29&lt;=Condition!$E$16,0,IF(CM29&lt;=Condition!$F$16,Condition!$D$16,IF(CM29&lt;=Condition!$F$17,Condition!$D$17,IF(CM29&lt;=Condition!$F$18,Condition!$D$18,IF(CM29&gt;Condition!$E$19,Condition!$D$19,"")))))</f>
        <v>0</v>
      </c>
      <c r="CN72" s="85">
        <f>IF(CN29&lt;=Condition!$E$16,0,IF(CN29&lt;=Condition!$F$16,Condition!$D$16,IF(CN29&lt;=Condition!$F$17,Condition!$D$17,IF(CN29&lt;=Condition!$F$18,Condition!$D$18,IF(CN29&gt;Condition!$E$19,Condition!$D$19,"")))))</f>
        <v>0</v>
      </c>
      <c r="CO72" s="85">
        <f>IF(CO29&lt;=Condition!$E$16,0,IF(CO29&lt;=Condition!$F$16,Condition!$D$16,IF(CO29&lt;=Condition!$F$17,Condition!$D$17,IF(CO29&lt;=Condition!$F$18,Condition!$D$18,IF(CO29&gt;Condition!$E$19,Condition!$D$19,"")))))</f>
        <v>0</v>
      </c>
      <c r="CP72" s="85">
        <f>IF(CP29&lt;=Condition!$E$16,0,IF(CP29&lt;=Condition!$F$16,Condition!$D$16,IF(CP29&lt;=Condition!$F$17,Condition!$D$17,IF(CP29&lt;=Condition!$F$18,Condition!$D$18,IF(CP29&gt;Condition!$E$19,Condition!$D$19,"")))))</f>
        <v>0</v>
      </c>
      <c r="CQ72" s="85">
        <f>IF(CQ29&lt;=Condition!$E$16,0,IF(CQ29&lt;=Condition!$F$16,Condition!$D$16,IF(CQ29&lt;=Condition!$F$17,Condition!$D$17,IF(CQ29&lt;=Condition!$F$18,Condition!$D$18,IF(CQ29&gt;Condition!$E$19,Condition!$D$19,"")))))</f>
        <v>0</v>
      </c>
      <c r="CR72" s="85">
        <f>IF(CR29&lt;=Condition!$E$16,0,IF(CR29&lt;=Condition!$F$16,Condition!$D$16,IF(CR29&lt;=Condition!$F$17,Condition!$D$17,IF(CR29&lt;=Condition!$F$18,Condition!$D$18,IF(CR29&gt;Condition!$E$19,Condition!$D$19,"")))))</f>
        <v>0</v>
      </c>
      <c r="CS72" s="85">
        <f>IF(CS29&lt;=Condition!$E$16,0,IF(CS29&lt;=Condition!$F$16,Condition!$D$16,IF(CS29&lt;=Condition!$F$17,Condition!$D$17,IF(CS29&lt;=Condition!$F$18,Condition!$D$18,IF(CS29&gt;Condition!$E$19,Condition!$D$19,"")))))</f>
        <v>0</v>
      </c>
      <c r="CT72" s="85">
        <f>IF(CT29&lt;=Condition!$E$16,0,IF(CT29&lt;=Condition!$F$16,Condition!$D$16,IF(CT29&lt;=Condition!$F$17,Condition!$D$17,IF(CT29&lt;=Condition!$F$18,Condition!$D$18,IF(CT29&gt;Condition!$E$19,Condition!$D$19,"")))))</f>
        <v>0</v>
      </c>
      <c r="CU72" s="85">
        <f>IF(CU29&lt;=Condition!$E$16,0,IF(CU29&lt;=Condition!$F$16,Condition!$D$16,IF(CU29&lt;=Condition!$F$17,Condition!$D$17,IF(CU29&lt;=Condition!$F$18,Condition!$D$18,IF(CU29&gt;Condition!$E$19,Condition!$D$19,"")))))</f>
        <v>0</v>
      </c>
      <c r="CV72" s="85">
        <f>IF(CV29&lt;=Condition!$E$16,0,IF(CV29&lt;=Condition!$F$16,Condition!$D$16,IF(CV29&lt;=Condition!$F$17,Condition!$D$17,IF(CV29&lt;=Condition!$F$18,Condition!$D$18,IF(CV29&gt;Condition!$E$19,Condition!$D$19,"")))))</f>
        <v>0</v>
      </c>
      <c r="CW72" s="85">
        <f>IF(CW29&lt;=Condition!$E$16,0,IF(CW29&lt;=Condition!$F$16,Condition!$D$16,IF(CW29&lt;=Condition!$F$17,Condition!$D$17,IF(CW29&lt;=Condition!$F$18,Condition!$D$18,IF(CW29&gt;Condition!$E$19,Condition!$D$19,"")))))</f>
        <v>0</v>
      </c>
      <c r="CX72" s="85">
        <f>IF(CX29&lt;=Condition!$E$16,0,IF(CX29&lt;=Condition!$F$16,Condition!$D$16,IF(CX29&lt;=Condition!$F$17,Condition!$D$17,IF(CX29&lt;=Condition!$F$18,Condition!$D$18,IF(CX29&gt;Condition!$E$19,Condition!$D$19,"")))))</f>
        <v>0</v>
      </c>
      <c r="CY72" s="85">
        <f>IF(CY29&lt;=Condition!$E$16,0,IF(CY29&lt;=Condition!$F$16,Condition!$D$16,IF(CY29&lt;=Condition!$F$17,Condition!$D$17,IF(CY29&lt;=Condition!$F$18,Condition!$D$18,IF(CY29&gt;Condition!$E$19,Condition!$D$19,"")))))</f>
        <v>0</v>
      </c>
      <c r="CZ72" s="85">
        <f>IF(CZ29&lt;=Condition!$E$16,0,IF(CZ29&lt;=Condition!$F$16,Condition!$D$16,IF(CZ29&lt;=Condition!$F$17,Condition!$D$17,IF(CZ29&lt;=Condition!$F$18,Condition!$D$18,IF(CZ29&gt;Condition!$E$19,Condition!$D$19,"")))))</f>
        <v>0</v>
      </c>
      <c r="DA72" s="85">
        <f>IF(DA29&lt;=Condition!$E$16,0,IF(DA29&lt;=Condition!$F$16,Condition!$D$16,IF(DA29&lt;=Condition!$F$17,Condition!$D$17,IF(DA29&lt;=Condition!$F$18,Condition!$D$18,IF(DA29&gt;Condition!$E$19,Condition!$D$19,"")))))</f>
        <v>0</v>
      </c>
      <c r="DB72" s="85">
        <f>IF(DB29&lt;=Condition!$E$16,0,IF(DB29&lt;=Condition!$F$16,Condition!$D$16,IF(DB29&lt;=Condition!$F$17,Condition!$D$17,IF(DB29&lt;=Condition!$F$18,Condition!$D$18,IF(DB29&gt;Condition!$E$19,Condition!$D$19,"")))))</f>
        <v>0</v>
      </c>
      <c r="DC72" s="85">
        <f>IF(DC29&lt;=Condition!$E$16,0,IF(DC29&lt;=Condition!$F$16,Condition!$D$16,IF(DC29&lt;=Condition!$F$17,Condition!$D$17,IF(DC29&lt;=Condition!$F$18,Condition!$D$18,IF(DC29&gt;Condition!$E$19,Condition!$D$19,"")))))</f>
        <v>0</v>
      </c>
      <c r="DD72" s="85">
        <f>IF(DD29&lt;=Condition!$E$16,0,IF(DD29&lt;=Condition!$F$16,Condition!$D$16,IF(DD29&lt;=Condition!$F$17,Condition!$D$17,IF(DD29&lt;=Condition!$F$18,Condition!$D$18,IF(DD29&gt;Condition!$E$19,Condition!$D$19,"")))))</f>
        <v>0</v>
      </c>
      <c r="DE72" s="85">
        <f>IF(DE29&lt;=Condition!$E$16,0,IF(DE29&lt;=Condition!$F$16,Condition!$D$16,IF(DE29&lt;=Condition!$F$17,Condition!$D$17,IF(DE29&lt;=Condition!$F$18,Condition!$D$18,IF(DE29&gt;Condition!$E$19,Condition!$D$19,"")))))</f>
        <v>0</v>
      </c>
      <c r="DF72" s="85">
        <f>IF(DF29&lt;=Condition!$E$16,0,IF(DF29&lt;=Condition!$F$16,Condition!$D$16,IF(DF29&lt;=Condition!$F$17,Condition!$D$17,IF(DF29&lt;=Condition!$F$18,Condition!$D$18,IF(DF29&gt;Condition!$E$19,Condition!$D$19,"")))))</f>
        <v>0</v>
      </c>
      <c r="DG72" s="85">
        <f>IF(DG29&lt;=Condition!$E$16,0,IF(DG29&lt;=Condition!$F$16,Condition!$D$16,IF(DG29&lt;=Condition!$F$17,Condition!$D$17,IF(DG29&lt;=Condition!$F$18,Condition!$D$18,IF(DG29&gt;Condition!$E$19,Condition!$D$19,"")))))</f>
        <v>0</v>
      </c>
      <c r="DH72" s="85">
        <f>IF(DH29&lt;=Condition!$E$16,0,IF(DH29&lt;=Condition!$F$16,Condition!$D$16,IF(DH29&lt;=Condition!$F$17,Condition!$D$17,IF(DH29&lt;=Condition!$F$18,Condition!$D$18,IF(DH29&gt;Condition!$E$19,Condition!$D$19,"")))))</f>
        <v>0</v>
      </c>
      <c r="DI72" s="85">
        <f>IF(DI29&lt;=Condition!$E$16,0,IF(DI29&lt;=Condition!$F$16,Condition!$D$16,IF(DI29&lt;=Condition!$F$17,Condition!$D$17,IF(DI29&lt;=Condition!$F$18,Condition!$D$18,IF(DI29&gt;Condition!$E$19,Condition!$D$19,"")))))</f>
        <v>0</v>
      </c>
      <c r="DJ72" s="85">
        <f>IF(DJ29&lt;=Condition!$E$16,0,IF(DJ29&lt;=Condition!$F$16,Condition!$D$16,IF(DJ29&lt;=Condition!$F$17,Condition!$D$17,IF(DJ29&lt;=Condition!$F$18,Condition!$D$18,IF(DJ29&gt;Condition!$E$19,Condition!$D$19,"")))))</f>
        <v>0</v>
      </c>
      <c r="DK72" s="85">
        <f>IF(DK29&lt;=Condition!$E$16,0,IF(DK29&lt;=Condition!$F$16,Condition!$D$16,IF(DK29&lt;=Condition!$F$17,Condition!$D$17,IF(DK29&lt;=Condition!$F$18,Condition!$D$18,IF(DK29&gt;Condition!$E$19,Condition!$D$19,"")))))</f>
        <v>0</v>
      </c>
      <c r="DL72" s="85">
        <f>IF(DL29&lt;=Condition!$E$16,0,IF(DL29&lt;=Condition!$F$16,Condition!$D$16,IF(DL29&lt;=Condition!$F$17,Condition!$D$17,IF(DL29&lt;=Condition!$F$18,Condition!$D$18,IF(DL29&gt;Condition!$E$19,Condition!$D$19,"")))))</f>
        <v>0</v>
      </c>
      <c r="DM72" s="85">
        <f>IF(DM29&lt;=Condition!$E$16,0,IF(DM29&lt;=Condition!$F$16,Condition!$D$16,IF(DM29&lt;=Condition!$F$17,Condition!$D$17,IF(DM29&lt;=Condition!$F$18,Condition!$D$18,IF(DM29&gt;Condition!$E$19,Condition!$D$19,"")))))</f>
        <v>0</v>
      </c>
      <c r="DN72" s="85">
        <f>IF(DN29&lt;=Condition!$E$16,0,IF(DN29&lt;=Condition!$F$16,Condition!$D$16,IF(DN29&lt;=Condition!$F$17,Condition!$D$17,IF(DN29&lt;=Condition!$F$18,Condition!$D$18,IF(DN29&gt;Condition!$E$19,Condition!$D$19,"")))))</f>
        <v>0</v>
      </c>
      <c r="DO72" s="85">
        <f>IF(DO29&lt;=Condition!$E$16,0,IF(DO29&lt;=Condition!$F$16,Condition!$D$16,IF(DO29&lt;=Condition!$F$17,Condition!$D$17,IF(DO29&lt;=Condition!$F$18,Condition!$D$18,IF(DO29&gt;Condition!$E$19,Condition!$D$19,"")))))</f>
        <v>0</v>
      </c>
      <c r="DP72" s="85">
        <f>IF(DP29&lt;=Condition!$E$16,0,IF(DP29&lt;=Condition!$F$16,Condition!$D$16,IF(DP29&lt;=Condition!$F$17,Condition!$D$17,IF(DP29&lt;=Condition!$F$18,Condition!$D$18,IF(DP29&gt;Condition!$E$19,Condition!$D$19,"")))))</f>
        <v>0</v>
      </c>
      <c r="DQ72" s="85">
        <f>IF(DQ29&lt;=Condition!$E$16,0,IF(DQ29&lt;=Condition!$F$16,Condition!$D$16,IF(DQ29&lt;=Condition!$F$17,Condition!$D$17,IF(DQ29&lt;=Condition!$F$18,Condition!$D$18,IF(DQ29&gt;Condition!$E$19,Condition!$D$19,"")))))</f>
        <v>0</v>
      </c>
      <c r="DR72" s="85">
        <f>IF(DR29&lt;=Condition!$E$16,0,IF(DR29&lt;=Condition!$F$16,Condition!$D$16,IF(DR29&lt;=Condition!$F$17,Condition!$D$17,IF(DR29&lt;=Condition!$F$18,Condition!$D$18,IF(DR29&gt;Condition!$E$19,Condition!$D$19,"")))))</f>
        <v>0</v>
      </c>
      <c r="DS72" s="85">
        <f>IF(DS29&lt;=Condition!$E$16,0,IF(DS29&lt;=Condition!$F$16,Condition!$D$16,IF(DS29&lt;=Condition!$F$17,Condition!$D$17,IF(DS29&lt;=Condition!$F$18,Condition!$D$18,IF(DS29&gt;Condition!$E$19,Condition!$D$19,"")))))</f>
        <v>0</v>
      </c>
      <c r="DT72" s="85">
        <f>IF(DT29&lt;=Condition!$E$16,0,IF(DT29&lt;=Condition!$F$16,Condition!$D$16,IF(DT29&lt;=Condition!$F$17,Condition!$D$17,IF(DT29&lt;=Condition!$F$18,Condition!$D$18,IF(DT29&gt;Condition!$E$19,Condition!$D$19,"")))))</f>
        <v>0</v>
      </c>
      <c r="DU72" s="85">
        <f>IF(DU29&lt;=Condition!$E$16,0,IF(DU29&lt;=Condition!$F$16,Condition!$D$16,IF(DU29&lt;=Condition!$F$17,Condition!$D$17,IF(DU29&lt;=Condition!$F$18,Condition!$D$18,IF(DU29&gt;Condition!$E$19,Condition!$D$19,"")))))</f>
        <v>0</v>
      </c>
      <c r="DV72" s="85">
        <f>IF(DV29&lt;=Condition!$E$16,0,IF(DV29&lt;=Condition!$F$16,Condition!$D$16,IF(DV29&lt;=Condition!$F$17,Condition!$D$17,IF(DV29&lt;=Condition!$F$18,Condition!$D$18,IF(DV29&gt;Condition!$E$19,Condition!$D$19,"")))))</f>
        <v>0</v>
      </c>
      <c r="DW72" s="85">
        <f>IF(DW29&lt;=Condition!$E$16,0,IF(DW29&lt;=Condition!$F$16,Condition!$D$16,IF(DW29&lt;=Condition!$F$17,Condition!$D$17,IF(DW29&lt;=Condition!$F$18,Condition!$D$18,IF(DW29&gt;Condition!$E$19,Condition!$D$19,"")))))</f>
        <v>0</v>
      </c>
      <c r="DX72" s="85">
        <f>IF(DX29&lt;=Condition!$E$16,0,IF(DX29&lt;=Condition!$F$16,Condition!$D$16,IF(DX29&lt;=Condition!$F$17,Condition!$D$17,IF(DX29&lt;=Condition!$F$18,Condition!$D$18,IF(DX29&gt;Condition!$E$19,Condition!$D$19,"")))))</f>
        <v>0</v>
      </c>
      <c r="DY72" s="85">
        <f>IF(DY29&lt;=Condition!$E$16,0,IF(DY29&lt;=Condition!$F$16,Condition!$D$16,IF(DY29&lt;=Condition!$F$17,Condition!$D$17,IF(DY29&lt;=Condition!$F$18,Condition!$D$18,IF(DY29&gt;Condition!$E$19,Condition!$D$19,"")))))</f>
        <v>0</v>
      </c>
      <c r="DZ72" s="85">
        <f>IF(DZ29&lt;=Condition!$E$16,0,IF(DZ29&lt;=Condition!$F$16,Condition!$D$16,IF(DZ29&lt;=Condition!$F$17,Condition!$D$17,IF(DZ29&lt;=Condition!$F$18,Condition!$D$18,IF(DZ29&gt;Condition!$E$19,Condition!$D$19,"")))))</f>
        <v>0</v>
      </c>
      <c r="EA72" s="85">
        <f>IF(EA29&lt;=Condition!$E$16,0,IF(EA29&lt;=Condition!$F$16,Condition!$D$16,IF(EA29&lt;=Condition!$F$17,Condition!$D$17,IF(EA29&lt;=Condition!$F$18,Condition!$D$18,IF(EA29&gt;Condition!$E$19,Condition!$D$19,"")))))</f>
        <v>0</v>
      </c>
      <c r="EB72" s="85">
        <f>IF(EB29&lt;=Condition!$E$16,0,IF(EB29&lt;=Condition!$F$16,Condition!$D$16,IF(EB29&lt;=Condition!$F$17,Condition!$D$17,IF(EB29&lt;=Condition!$F$18,Condition!$D$18,IF(EB29&gt;Condition!$E$19,Condition!$D$19,"")))))</f>
        <v>0</v>
      </c>
      <c r="EC72" s="85">
        <f>IF(EC29&lt;=Condition!$E$16,0,IF(EC29&lt;=Condition!$F$16,Condition!$D$16,IF(EC29&lt;=Condition!$F$17,Condition!$D$17,IF(EC29&lt;=Condition!$F$18,Condition!$D$18,IF(EC29&gt;Condition!$E$19,Condition!$D$19,"")))))</f>
        <v>0</v>
      </c>
      <c r="ED72" s="85">
        <f>IF(ED29&lt;=Condition!$E$16,0,IF(ED29&lt;=Condition!$F$16,Condition!$D$16,IF(ED29&lt;=Condition!$F$17,Condition!$D$17,IF(ED29&lt;=Condition!$F$18,Condition!$D$18,IF(ED29&gt;Condition!$E$19,Condition!$D$19,"")))))</f>
        <v>0</v>
      </c>
      <c r="EE72" s="85">
        <f>IF(EE29&lt;=Condition!$E$16,0,IF(EE29&lt;=Condition!$F$16,Condition!$D$16,IF(EE29&lt;=Condition!$F$17,Condition!$D$17,IF(EE29&lt;=Condition!$F$18,Condition!$D$18,IF(EE29&gt;Condition!$E$19,Condition!$D$19,"")))))</f>
        <v>0</v>
      </c>
      <c r="EF72" s="85">
        <f>IF(EF29&lt;=Condition!$E$16,0,IF(EF29&lt;=Condition!$F$16,Condition!$D$16,IF(EF29&lt;=Condition!$F$17,Condition!$D$17,IF(EF29&lt;=Condition!$F$18,Condition!$D$18,IF(EF29&gt;Condition!$E$19,Condition!$D$19,"")))))</f>
        <v>0</v>
      </c>
      <c r="EG72" s="85">
        <f>IF(EG29&lt;=Condition!$E$16,0,IF(EG29&lt;=Condition!$F$16,Condition!$D$16,IF(EG29&lt;=Condition!$F$17,Condition!$D$17,IF(EG29&lt;=Condition!$F$18,Condition!$D$18,IF(EG29&gt;Condition!$E$19,Condition!$D$19,"")))))</f>
        <v>0</v>
      </c>
      <c r="EH72" s="85">
        <f>IF(EH29&lt;=Condition!$E$16,0,IF(EH29&lt;=Condition!$F$16,Condition!$D$16,IF(EH29&lt;=Condition!$F$17,Condition!$D$17,IF(EH29&lt;=Condition!$F$18,Condition!$D$18,IF(EH29&gt;Condition!$E$19,Condition!$D$19,"")))))</f>
        <v>0</v>
      </c>
      <c r="EI72" s="85">
        <f>IF(EI29&lt;=Condition!$E$16,0,IF(EI29&lt;=Condition!$F$16,Condition!$D$16,IF(EI29&lt;=Condition!$F$17,Condition!$D$17,IF(EI29&lt;=Condition!$F$18,Condition!$D$18,IF(EI29&gt;Condition!$E$19,Condition!$D$19,"")))))</f>
        <v>0</v>
      </c>
      <c r="EJ72" s="85">
        <f>IF(EJ29&lt;=Condition!$E$16,0,IF(EJ29&lt;=Condition!$F$16,Condition!$D$16,IF(EJ29&lt;=Condition!$F$17,Condition!$D$17,IF(EJ29&lt;=Condition!$F$18,Condition!$D$18,IF(EJ29&gt;Condition!$E$19,Condition!$D$19,"")))))</f>
        <v>0</v>
      </c>
      <c r="EK72" s="85">
        <f>IF(EK29&lt;=Condition!$E$16,0,IF(EK29&lt;=Condition!$F$16,Condition!$D$16,IF(EK29&lt;=Condition!$F$17,Condition!$D$17,IF(EK29&lt;=Condition!$F$18,Condition!$D$18,IF(EK29&gt;Condition!$E$19,Condition!$D$19,"")))))</f>
        <v>0</v>
      </c>
      <c r="EL72" s="85">
        <f>IF(EL29&lt;=Condition!$E$16,0,IF(EL29&lt;=Condition!$F$16,Condition!$D$16,IF(EL29&lt;=Condition!$F$17,Condition!$D$17,IF(EL29&lt;=Condition!$F$18,Condition!$D$18,IF(EL29&gt;Condition!$E$19,Condition!$D$19,"")))))</f>
        <v>0</v>
      </c>
      <c r="EM72" s="85">
        <f>IF(EM29&lt;=Condition!$E$16,0,IF(EM29&lt;=Condition!$F$16,Condition!$D$16,IF(EM29&lt;=Condition!$F$17,Condition!$D$17,IF(EM29&lt;=Condition!$F$18,Condition!$D$18,IF(EM29&gt;Condition!$E$19,Condition!$D$19,"")))))</f>
        <v>0</v>
      </c>
      <c r="EN72" s="85">
        <f>IF(EN29&lt;=Condition!$E$16,0,IF(EN29&lt;=Condition!$F$16,Condition!$D$16,IF(EN29&lt;=Condition!$F$17,Condition!$D$17,IF(EN29&lt;=Condition!$F$18,Condition!$D$18,IF(EN29&gt;Condition!$E$19,Condition!$D$19,"")))))</f>
        <v>0</v>
      </c>
      <c r="EO72" s="85">
        <f>IF(EO29&lt;=Condition!$E$16,0,IF(EO29&lt;=Condition!$F$16,Condition!$D$16,IF(EO29&lt;=Condition!$F$17,Condition!$D$17,IF(EO29&lt;=Condition!$F$18,Condition!$D$18,IF(EO29&gt;Condition!$E$19,Condition!$D$19,"")))))</f>
        <v>0</v>
      </c>
      <c r="EP72" s="85">
        <f>IF(EP29&lt;=Condition!$E$16,0,IF(EP29&lt;=Condition!$F$16,Condition!$D$16,IF(EP29&lt;=Condition!$F$17,Condition!$D$17,IF(EP29&lt;=Condition!$F$18,Condition!$D$18,IF(EP29&gt;Condition!$E$19,Condition!$D$19,"")))))</f>
        <v>0</v>
      </c>
      <c r="EQ72" s="85">
        <f>IF(EQ29&lt;=Condition!$E$16,0,IF(EQ29&lt;=Condition!$F$16,Condition!$D$16,IF(EQ29&lt;=Condition!$F$17,Condition!$D$17,IF(EQ29&lt;=Condition!$F$18,Condition!$D$18,IF(EQ29&gt;Condition!$E$19,Condition!$D$19,"")))))</f>
        <v>0</v>
      </c>
      <c r="ER72" s="85">
        <f>IF(ER29&lt;=Condition!$E$16,0,IF(ER29&lt;=Condition!$F$16,Condition!$D$16,IF(ER29&lt;=Condition!$F$17,Condition!$D$17,IF(ER29&lt;=Condition!$F$18,Condition!$D$18,IF(ER29&gt;Condition!$E$19,Condition!$D$19,"")))))</f>
        <v>0</v>
      </c>
      <c r="ES72" s="85">
        <f>IF(ES29&lt;=Condition!$E$16,0,IF(ES29&lt;=Condition!$F$16,Condition!$D$16,IF(ES29&lt;=Condition!$F$17,Condition!$D$17,IF(ES29&lt;=Condition!$F$18,Condition!$D$18,IF(ES29&gt;Condition!$E$19,Condition!$D$19,"")))))</f>
        <v>0</v>
      </c>
      <c r="ET72" s="85">
        <f>IF(ET29&lt;=Condition!$E$16,0,IF(ET29&lt;=Condition!$F$16,Condition!$D$16,IF(ET29&lt;=Condition!$F$17,Condition!$D$17,IF(ET29&lt;=Condition!$F$18,Condition!$D$18,IF(ET29&gt;Condition!$E$19,Condition!$D$19,"")))))</f>
        <v>0</v>
      </c>
      <c r="EU72" s="85">
        <f>IF(EU29&lt;=Condition!$E$16,0,IF(EU29&lt;=Condition!$F$16,Condition!$D$16,IF(EU29&lt;=Condition!$F$17,Condition!$D$17,IF(EU29&lt;=Condition!$F$18,Condition!$D$18,IF(EU29&gt;Condition!$E$19,Condition!$D$19,"")))))</f>
        <v>0</v>
      </c>
      <c r="EV72" s="85">
        <f>IF(EV29&lt;=Condition!$E$16,0,IF(EV29&lt;=Condition!$F$16,Condition!$D$16,IF(EV29&lt;=Condition!$F$17,Condition!$D$17,IF(EV29&lt;=Condition!$F$18,Condition!$D$18,IF(EV29&gt;Condition!$E$19,Condition!$D$19,"")))))</f>
        <v>0</v>
      </c>
      <c r="EW72" s="85">
        <f>IF(EW29&lt;=Condition!$E$16,0,IF(EW29&lt;=Condition!$F$16,Condition!$D$16,IF(EW29&lt;=Condition!$F$17,Condition!$D$17,IF(EW29&lt;=Condition!$F$18,Condition!$D$18,IF(EW29&gt;Condition!$E$19,Condition!$D$19,"")))))</f>
        <v>0</v>
      </c>
      <c r="EX72" s="85">
        <f>IF(EX29&lt;=Condition!$E$16,0,IF(EX29&lt;=Condition!$F$16,Condition!$D$16,IF(EX29&lt;=Condition!$F$17,Condition!$D$17,IF(EX29&lt;=Condition!$F$18,Condition!$D$18,IF(EX29&gt;Condition!$E$19,Condition!$D$19,"")))))</f>
        <v>0</v>
      </c>
      <c r="EY72" s="85">
        <f>IF(EY29&lt;=Condition!$E$16,0,IF(EY29&lt;=Condition!$F$16,Condition!$D$16,IF(EY29&lt;=Condition!$F$17,Condition!$D$17,IF(EY29&lt;=Condition!$F$18,Condition!$D$18,IF(EY29&gt;Condition!$E$19,Condition!$D$19,"")))))</f>
        <v>0</v>
      </c>
      <c r="EZ72" s="85">
        <f>IF(EZ29&lt;=Condition!$E$16,0,IF(EZ29&lt;=Condition!$F$16,Condition!$D$16,IF(EZ29&lt;=Condition!$F$17,Condition!$D$17,IF(EZ29&lt;=Condition!$F$18,Condition!$D$18,IF(EZ29&gt;Condition!$E$19,Condition!$D$19,"")))))</f>
        <v>0</v>
      </c>
      <c r="FA72" s="85">
        <f>IF(FA29&lt;=Condition!$E$16,0,IF(FA29&lt;=Condition!$F$16,Condition!$D$16,IF(FA29&lt;=Condition!$F$17,Condition!$D$17,IF(FA29&lt;=Condition!$F$18,Condition!$D$18,IF(FA29&gt;Condition!$E$19,Condition!$D$19,"")))))</f>
        <v>0</v>
      </c>
      <c r="FB72" s="85">
        <f>IF(FB29&lt;=Condition!$E$16,0,IF(FB29&lt;=Condition!$F$16,Condition!$D$16,IF(FB29&lt;=Condition!$F$17,Condition!$D$17,IF(FB29&lt;=Condition!$F$18,Condition!$D$18,IF(FB29&gt;Condition!$E$19,Condition!$D$19,"")))))</f>
        <v>0</v>
      </c>
      <c r="FC72" s="85">
        <f>IF(FC29&lt;=Condition!$E$16,0,IF(FC29&lt;=Condition!$F$16,Condition!$D$16,IF(FC29&lt;=Condition!$F$17,Condition!$D$17,IF(FC29&lt;=Condition!$F$18,Condition!$D$18,IF(FC29&gt;Condition!$E$19,Condition!$D$19,"")))))</f>
        <v>0</v>
      </c>
      <c r="FD72" s="85">
        <f>IF(FD29&lt;=Condition!$E$16,0,IF(FD29&lt;=Condition!$F$16,Condition!$D$16,IF(FD29&lt;=Condition!$F$17,Condition!$D$17,IF(FD29&lt;=Condition!$F$18,Condition!$D$18,IF(FD29&gt;Condition!$E$19,Condition!$D$19,"")))))</f>
        <v>0</v>
      </c>
      <c r="FE72" s="85">
        <f>IF(FE29&lt;=Condition!$E$16,0,IF(FE29&lt;=Condition!$F$16,Condition!$D$16,IF(FE29&lt;=Condition!$F$17,Condition!$D$17,IF(FE29&lt;=Condition!$F$18,Condition!$D$18,IF(FE29&gt;Condition!$E$19,Condition!$D$19,"")))))</f>
        <v>0</v>
      </c>
      <c r="FF72" s="85">
        <f>IF(FF29&lt;=Condition!$E$16,0,IF(FF29&lt;=Condition!$F$16,Condition!$D$16,IF(FF29&lt;=Condition!$F$17,Condition!$D$17,IF(FF29&lt;=Condition!$F$18,Condition!$D$18,IF(FF29&gt;Condition!$E$19,Condition!$D$19,"")))))</f>
        <v>0</v>
      </c>
      <c r="FG72" s="85">
        <f>IF(FG29&lt;=Condition!$E$16,0,IF(FG29&lt;=Condition!$F$16,Condition!$D$16,IF(FG29&lt;=Condition!$F$17,Condition!$D$17,IF(FG29&lt;=Condition!$F$18,Condition!$D$18,IF(FG29&gt;Condition!$E$19,Condition!$D$19,"")))))</f>
        <v>0</v>
      </c>
      <c r="FH72" s="85">
        <f>IF(FH29&lt;=Condition!$E$16,0,IF(FH29&lt;=Condition!$F$16,Condition!$D$16,IF(FH29&lt;=Condition!$F$17,Condition!$D$17,IF(FH29&lt;=Condition!$F$18,Condition!$D$18,IF(FH29&gt;Condition!$E$19,Condition!$D$19,"")))))</f>
        <v>0</v>
      </c>
      <c r="FI72" s="85">
        <f>IF(FI29&lt;=Condition!$E$16,0,IF(FI29&lt;=Condition!$F$16,Condition!$D$16,IF(FI29&lt;=Condition!$F$17,Condition!$D$17,IF(FI29&lt;=Condition!$F$18,Condition!$D$18,IF(FI29&gt;Condition!$E$19,Condition!$D$19,"")))))</f>
        <v>0</v>
      </c>
      <c r="FJ72" s="85">
        <f>IF(FJ29&lt;=Condition!$E$16,0,IF(FJ29&lt;=Condition!$F$16,Condition!$D$16,IF(FJ29&lt;=Condition!$F$17,Condition!$D$17,IF(FJ29&lt;=Condition!$F$18,Condition!$D$18,IF(FJ29&gt;Condition!$E$19,Condition!$D$19,"")))))</f>
        <v>0</v>
      </c>
      <c r="FK72" s="85">
        <f>IF(FK29&lt;=Condition!$E$16,0,IF(FK29&lt;=Condition!$F$16,Condition!$D$16,IF(FK29&lt;=Condition!$F$17,Condition!$D$17,IF(FK29&lt;=Condition!$F$18,Condition!$D$18,IF(FK29&gt;Condition!$E$19,Condition!$D$19,"")))))</f>
        <v>0</v>
      </c>
      <c r="FL72" s="85">
        <f>IF(FL29&lt;=Condition!$E$16,0,IF(FL29&lt;=Condition!$F$16,Condition!$D$16,IF(FL29&lt;=Condition!$F$17,Condition!$D$17,IF(FL29&lt;=Condition!$F$18,Condition!$D$18,IF(FL29&gt;Condition!$E$19,Condition!$D$19,"")))))</f>
        <v>0</v>
      </c>
      <c r="FM72" s="85">
        <f>IF(FM29&lt;=Condition!$E$16,0,IF(FM29&lt;=Condition!$F$16,Condition!$D$16,IF(FM29&lt;=Condition!$F$17,Condition!$D$17,IF(FM29&lt;=Condition!$F$18,Condition!$D$18,IF(FM29&gt;Condition!$E$19,Condition!$D$19,"")))))</f>
        <v>0</v>
      </c>
      <c r="FN72" s="85">
        <f>IF(FN29&lt;=Condition!$E$16,0,IF(FN29&lt;=Condition!$F$16,Condition!$D$16,IF(FN29&lt;=Condition!$F$17,Condition!$D$17,IF(FN29&lt;=Condition!$F$18,Condition!$D$18,IF(FN29&gt;Condition!$E$19,Condition!$D$19,"")))))</f>
        <v>0</v>
      </c>
      <c r="FO72" s="85">
        <f>IF(FO29&lt;=Condition!$E$16,0,IF(FO29&lt;=Condition!$F$16,Condition!$D$16,IF(FO29&lt;=Condition!$F$17,Condition!$D$17,IF(FO29&lt;=Condition!$F$18,Condition!$D$18,IF(FO29&gt;Condition!$E$19,Condition!$D$19,"")))))</f>
        <v>0</v>
      </c>
      <c r="FP72" s="85">
        <f>IF(FP29&lt;=Condition!$E$16,0,IF(FP29&lt;=Condition!$F$16,Condition!$D$16,IF(FP29&lt;=Condition!$F$17,Condition!$D$17,IF(FP29&lt;=Condition!$F$18,Condition!$D$18,IF(FP29&gt;Condition!$E$19,Condition!$D$19,"")))))</f>
        <v>0</v>
      </c>
      <c r="FQ72" s="85">
        <f>IF(FQ29&lt;=Condition!$E$16,0,IF(FQ29&lt;=Condition!$F$16,Condition!$D$16,IF(FQ29&lt;=Condition!$F$17,Condition!$D$17,IF(FQ29&lt;=Condition!$F$18,Condition!$D$18,IF(FQ29&gt;Condition!$E$19,Condition!$D$19,"")))))</f>
        <v>0</v>
      </c>
      <c r="FR72" s="85">
        <f>IF(FR29&lt;=Condition!$E$16,0,IF(FR29&lt;=Condition!$F$16,Condition!$D$16,IF(FR29&lt;=Condition!$F$17,Condition!$D$17,IF(FR29&lt;=Condition!$F$18,Condition!$D$18,IF(FR29&gt;Condition!$E$19,Condition!$D$19,"")))))</f>
        <v>0</v>
      </c>
      <c r="FS72" s="85">
        <f>IF(FS29&lt;=Condition!$E$16,0,IF(FS29&lt;=Condition!$F$16,Condition!$D$16,IF(FS29&lt;=Condition!$F$17,Condition!$D$17,IF(FS29&lt;=Condition!$F$18,Condition!$D$18,IF(FS29&gt;Condition!$E$19,Condition!$D$19,"")))))</f>
        <v>0</v>
      </c>
      <c r="FT72" s="85">
        <f>IF(FT29&lt;=Condition!$E$16,0,IF(FT29&lt;=Condition!$F$16,Condition!$D$16,IF(FT29&lt;=Condition!$F$17,Condition!$D$17,IF(FT29&lt;=Condition!$F$18,Condition!$D$18,IF(FT29&gt;Condition!$E$19,Condition!$D$19,"")))))</f>
        <v>0</v>
      </c>
      <c r="FU72" s="85">
        <f>IF(FU29&lt;=Condition!$E$16,0,IF(FU29&lt;=Condition!$F$16,Condition!$D$16,IF(FU29&lt;=Condition!$F$17,Condition!$D$17,IF(FU29&lt;=Condition!$F$18,Condition!$D$18,IF(FU29&gt;Condition!$E$19,Condition!$D$19,"")))))</f>
        <v>0</v>
      </c>
      <c r="FV72" s="85">
        <f>IF(FV29&lt;=Condition!$E$16,0,IF(FV29&lt;=Condition!$F$16,Condition!$D$16,IF(FV29&lt;=Condition!$F$17,Condition!$D$17,IF(FV29&lt;=Condition!$F$18,Condition!$D$18,IF(FV29&gt;Condition!$E$19,Condition!$D$19,"")))))</f>
        <v>0</v>
      </c>
      <c r="FW72" s="85">
        <f>IF(FW29&lt;=Condition!$E$16,0,IF(FW29&lt;=Condition!$F$16,Condition!$D$16,IF(FW29&lt;=Condition!$F$17,Condition!$D$17,IF(FW29&lt;=Condition!$F$18,Condition!$D$18,IF(FW29&gt;Condition!$E$19,Condition!$D$19,"")))))</f>
        <v>0</v>
      </c>
      <c r="FX72" s="85">
        <f>IF(FX29&lt;=Condition!$E$16,0,IF(FX29&lt;=Condition!$F$16,Condition!$D$16,IF(FX29&lt;=Condition!$F$17,Condition!$D$17,IF(FX29&lt;=Condition!$F$18,Condition!$D$18,IF(FX29&gt;Condition!$E$19,Condition!$D$19,"")))))</f>
        <v>0</v>
      </c>
      <c r="FY72" s="85">
        <f>IF(FY29&lt;=Condition!$E$16,0,IF(FY29&lt;=Condition!$F$16,Condition!$D$16,IF(FY29&lt;=Condition!$F$17,Condition!$D$17,IF(FY29&lt;=Condition!$F$18,Condition!$D$18,IF(FY29&gt;Condition!$E$19,Condition!$D$19,"")))))</f>
        <v>0</v>
      </c>
      <c r="FZ72" s="85">
        <f>IF(FZ29&lt;=Condition!$E$16,0,IF(FZ29&lt;=Condition!$F$16,Condition!$D$16,IF(FZ29&lt;=Condition!$F$17,Condition!$D$17,IF(FZ29&lt;=Condition!$F$18,Condition!$D$18,IF(FZ29&gt;Condition!$E$19,Condition!$D$19,"")))))</f>
        <v>0</v>
      </c>
      <c r="GA72" s="85">
        <f>IF(GA29&lt;=Condition!$E$16,0,IF(GA29&lt;=Condition!$F$16,Condition!$D$16,IF(GA29&lt;=Condition!$F$17,Condition!$D$17,IF(GA29&lt;=Condition!$F$18,Condition!$D$18,IF(GA29&gt;Condition!$E$19,Condition!$D$19,"")))))</f>
        <v>0</v>
      </c>
      <c r="GB72" s="85">
        <f>IF(GB29&lt;=Condition!$E$16,0,IF(GB29&lt;=Condition!$F$16,Condition!$D$16,IF(GB29&lt;=Condition!$F$17,Condition!$D$17,IF(GB29&lt;=Condition!$F$18,Condition!$D$18,IF(GB29&gt;Condition!$E$19,Condition!$D$19,"")))))</f>
        <v>0</v>
      </c>
      <c r="GC72" s="85">
        <f>IF(GC29&lt;=Condition!$E$16,0,IF(GC29&lt;=Condition!$F$16,Condition!$D$16,IF(GC29&lt;=Condition!$F$17,Condition!$D$17,IF(GC29&lt;=Condition!$F$18,Condition!$D$18,IF(GC29&gt;Condition!$E$19,Condition!$D$19,"")))))</f>
        <v>0</v>
      </c>
      <c r="GD72" s="85">
        <f>IF(GD29&lt;=Condition!$E$16,0,IF(GD29&lt;=Condition!$F$16,Condition!$D$16,IF(GD29&lt;=Condition!$F$17,Condition!$D$17,IF(GD29&lt;=Condition!$F$18,Condition!$D$18,IF(GD29&gt;Condition!$E$19,Condition!$D$19,"")))))</f>
        <v>0</v>
      </c>
      <c r="GE72" s="85">
        <f>IF(GE29&lt;=Condition!$E$16,0,IF(GE29&lt;=Condition!$F$16,Condition!$D$16,IF(GE29&lt;=Condition!$F$17,Condition!$D$17,IF(GE29&lt;=Condition!$F$18,Condition!$D$18,IF(GE29&gt;Condition!$E$19,Condition!$D$19,"")))))</f>
        <v>0</v>
      </c>
      <c r="GF72" s="85">
        <f>IF(GF29&lt;=Condition!$E$16,0,IF(GF29&lt;=Condition!$F$16,Condition!$D$16,IF(GF29&lt;=Condition!$F$17,Condition!$D$17,IF(GF29&lt;=Condition!$F$18,Condition!$D$18,IF(GF29&gt;Condition!$E$19,Condition!$D$19,"")))))</f>
        <v>0</v>
      </c>
      <c r="GG72" s="85">
        <f>IF(GG29&lt;=Condition!$E$16,0,IF(GG29&lt;=Condition!$F$16,Condition!$D$16,IF(GG29&lt;=Condition!$F$17,Condition!$D$17,IF(GG29&lt;=Condition!$F$18,Condition!$D$18,IF(GG29&gt;Condition!$E$19,Condition!$D$19,"")))))</f>
        <v>0</v>
      </c>
      <c r="GH72" s="85">
        <f>IF(GH29&lt;=Condition!$E$16,0,IF(GH29&lt;=Condition!$F$16,Condition!$D$16,IF(GH29&lt;=Condition!$F$17,Condition!$D$17,IF(GH29&lt;=Condition!$F$18,Condition!$D$18,IF(GH29&gt;Condition!$E$19,Condition!$D$19,"")))))</f>
        <v>0</v>
      </c>
      <c r="GI72" s="85">
        <f>IF(GI29&lt;=Condition!$E$16,0,IF(GI29&lt;=Condition!$F$16,Condition!$D$16,IF(GI29&lt;=Condition!$F$17,Condition!$D$17,IF(GI29&lt;=Condition!$F$18,Condition!$D$18,IF(GI29&gt;Condition!$E$19,Condition!$D$19,"")))))</f>
        <v>0</v>
      </c>
      <c r="GJ72" s="85">
        <f>IF(GJ29&lt;=Condition!$E$16,0,IF(GJ29&lt;=Condition!$F$16,Condition!$D$16,IF(GJ29&lt;=Condition!$F$17,Condition!$D$17,IF(GJ29&lt;=Condition!$F$18,Condition!$D$18,IF(GJ29&gt;Condition!$E$19,Condition!$D$19,"")))))</f>
        <v>0</v>
      </c>
      <c r="GK72" s="85">
        <f>IF(GK29&lt;=Condition!$E$16,0,IF(GK29&lt;=Condition!$F$16,Condition!$D$16,IF(GK29&lt;=Condition!$F$17,Condition!$D$17,IF(GK29&lt;=Condition!$F$18,Condition!$D$18,IF(GK29&gt;Condition!$E$19,Condition!$D$19,"")))))</f>
        <v>0</v>
      </c>
      <c r="GL72" s="85">
        <f>IF(GL29&lt;=Condition!$E$16,0,IF(GL29&lt;=Condition!$F$16,Condition!$D$16,IF(GL29&lt;=Condition!$F$17,Condition!$D$17,IF(GL29&lt;=Condition!$F$18,Condition!$D$18,IF(GL29&gt;Condition!$E$19,Condition!$D$19,"")))))</f>
        <v>0</v>
      </c>
      <c r="GM72" s="85">
        <f>IF(GM29&lt;=Condition!$E$16,0,IF(GM29&lt;=Condition!$F$16,Condition!$D$16,IF(GM29&lt;=Condition!$F$17,Condition!$D$17,IF(GM29&lt;=Condition!$F$18,Condition!$D$18,IF(GM29&gt;Condition!$E$19,Condition!$D$19,"")))))</f>
        <v>0</v>
      </c>
      <c r="GN72" s="85">
        <f>IF(GN29&lt;=Condition!$E$16,0,IF(GN29&lt;=Condition!$F$16,Condition!$D$16,IF(GN29&lt;=Condition!$F$17,Condition!$D$17,IF(GN29&lt;=Condition!$F$18,Condition!$D$18,IF(GN29&gt;Condition!$E$19,Condition!$D$19,"")))))</f>
        <v>0</v>
      </c>
      <c r="GO72" s="85">
        <f>IF(GO29&lt;=Condition!$E$16,0,IF(GO29&lt;=Condition!$F$16,Condition!$D$16,IF(GO29&lt;=Condition!$F$17,Condition!$D$17,IF(GO29&lt;=Condition!$F$18,Condition!$D$18,IF(GO29&gt;Condition!$E$19,Condition!$D$19,"")))))</f>
        <v>0</v>
      </c>
      <c r="GP72" s="85">
        <f>IF(GP29&lt;=Condition!$E$16,0,IF(GP29&lt;=Condition!$F$16,Condition!$D$16,IF(GP29&lt;=Condition!$F$17,Condition!$D$17,IF(GP29&lt;=Condition!$F$18,Condition!$D$18,IF(GP29&gt;Condition!$E$19,Condition!$D$19,"")))))</f>
        <v>0</v>
      </c>
      <c r="GQ72" s="85">
        <f>IF(GQ29&lt;=Condition!$E$16,0,IF(GQ29&lt;=Condition!$F$16,Condition!$D$16,IF(GQ29&lt;=Condition!$F$17,Condition!$D$17,IF(GQ29&lt;=Condition!$F$18,Condition!$D$18,IF(GQ29&gt;Condition!$E$19,Condition!$D$19,"")))))</f>
        <v>0</v>
      </c>
      <c r="GR72" s="85">
        <f>IF(GR29&lt;=Condition!$E$16,0,IF(GR29&lt;=Condition!$F$16,Condition!$D$16,IF(GR29&lt;=Condition!$F$17,Condition!$D$17,IF(GR29&lt;=Condition!$F$18,Condition!$D$18,IF(GR29&gt;Condition!$E$19,Condition!$D$19,"")))))</f>
        <v>0</v>
      </c>
      <c r="GS72" s="85">
        <f>IF(GS29&lt;=Condition!$E$16,0,IF(GS29&lt;=Condition!$F$16,Condition!$D$16,IF(GS29&lt;=Condition!$F$17,Condition!$D$17,IF(GS29&lt;=Condition!$F$18,Condition!$D$18,IF(GS29&gt;Condition!$E$19,Condition!$D$19,"")))))</f>
        <v>0</v>
      </c>
      <c r="GT72" s="85">
        <f>IF(GT29&lt;=Condition!$E$16,0,IF(GT29&lt;=Condition!$F$16,Condition!$D$16,IF(GT29&lt;=Condition!$F$17,Condition!$D$17,IF(GT29&lt;=Condition!$F$18,Condition!$D$18,IF(GT29&gt;Condition!$E$19,Condition!$D$19,"")))))</f>
        <v>0</v>
      </c>
      <c r="GU72" s="85">
        <f>IF(GU29&lt;=Condition!$E$16,0,IF(GU29&lt;=Condition!$F$16,Condition!$D$16,IF(GU29&lt;=Condition!$F$17,Condition!$D$17,IF(GU29&lt;=Condition!$F$18,Condition!$D$18,IF(GU29&gt;Condition!$E$19,Condition!$D$19,"")))))</f>
        <v>0</v>
      </c>
      <c r="GV72" s="85">
        <f>IF(GV29&lt;=Condition!$E$16,0,IF(GV29&lt;=Condition!$F$16,Condition!$D$16,IF(GV29&lt;=Condition!$F$17,Condition!$D$17,IF(GV29&lt;=Condition!$F$18,Condition!$D$18,IF(GV29&gt;Condition!$E$19,Condition!$D$19,"")))))</f>
        <v>0</v>
      </c>
      <c r="GW72" s="85">
        <f>IF(GW29&lt;=Condition!$E$16,0,IF(GW29&lt;=Condition!$F$16,Condition!$D$16,IF(GW29&lt;=Condition!$F$17,Condition!$D$17,IF(GW29&lt;=Condition!$F$18,Condition!$D$18,IF(GW29&gt;Condition!$E$19,Condition!$D$19,"")))))</f>
        <v>0</v>
      </c>
      <c r="GX72" s="85">
        <f>IF(GX29&lt;=Condition!$E$16,0,IF(GX29&lt;=Condition!$F$16,Condition!$D$16,IF(GX29&lt;=Condition!$F$17,Condition!$D$17,IF(GX29&lt;=Condition!$F$18,Condition!$D$18,IF(GX29&gt;Condition!$E$19,Condition!$D$19,"")))))</f>
        <v>0</v>
      </c>
      <c r="GY72" s="85">
        <f>IF(GY29&lt;=Condition!$E$16,0,IF(GY29&lt;=Condition!$F$16,Condition!$D$16,IF(GY29&lt;=Condition!$F$17,Condition!$D$17,IF(GY29&lt;=Condition!$F$18,Condition!$D$18,IF(GY29&gt;Condition!$E$19,Condition!$D$19,"")))))</f>
        <v>0</v>
      </c>
      <c r="GZ72" s="85">
        <f>IF(GZ29&lt;=Condition!$E$16,0,IF(GZ29&lt;=Condition!$F$16,Condition!$D$16,IF(GZ29&lt;=Condition!$F$17,Condition!$D$17,IF(GZ29&lt;=Condition!$F$18,Condition!$D$18,IF(GZ29&gt;Condition!$E$19,Condition!$D$19,"")))))</f>
        <v>0</v>
      </c>
      <c r="HA72" s="85">
        <f>IF(HA29&lt;=Condition!$E$16,0,IF(HA29&lt;=Condition!$F$16,Condition!$D$16,IF(HA29&lt;=Condition!$F$17,Condition!$D$17,IF(HA29&lt;=Condition!$F$18,Condition!$D$18,IF(HA29&gt;Condition!$E$19,Condition!$D$19,"")))))</f>
        <v>0</v>
      </c>
      <c r="HB72" s="85">
        <f>IF(HB29&lt;=Condition!$E$16,0,IF(HB29&lt;=Condition!$F$16,Condition!$D$16,IF(HB29&lt;=Condition!$F$17,Condition!$D$17,IF(HB29&lt;=Condition!$F$18,Condition!$D$18,IF(HB29&gt;Condition!$E$19,Condition!$D$19,"")))))</f>
        <v>0</v>
      </c>
      <c r="HC72" s="85">
        <f>IF(HC29&lt;=Condition!$E$16,0,IF(HC29&lt;=Condition!$F$16,Condition!$D$16,IF(HC29&lt;=Condition!$F$17,Condition!$D$17,IF(HC29&lt;=Condition!$F$18,Condition!$D$18,IF(HC29&gt;Condition!$E$19,Condition!$D$19,"")))))</f>
        <v>0</v>
      </c>
      <c r="HD72" s="85">
        <f>IF(HD29&lt;=Condition!$E$16,0,IF(HD29&lt;=Condition!$F$16,Condition!$D$16,IF(HD29&lt;=Condition!$F$17,Condition!$D$17,IF(HD29&lt;=Condition!$F$18,Condition!$D$18,IF(HD29&gt;Condition!$E$19,Condition!$D$19,"")))))</f>
        <v>0</v>
      </c>
      <c r="HE72" s="85">
        <f>IF(HE29&lt;=Condition!$E$16,0,IF(HE29&lt;=Condition!$F$16,Condition!$D$16,IF(HE29&lt;=Condition!$F$17,Condition!$D$17,IF(HE29&lt;=Condition!$F$18,Condition!$D$18,IF(HE29&gt;Condition!$E$19,Condition!$D$19,"")))))</f>
        <v>0</v>
      </c>
      <c r="HF72" s="85">
        <f>IF(HF29&lt;=Condition!$E$16,0,IF(HF29&lt;=Condition!$F$16,Condition!$D$16,IF(HF29&lt;=Condition!$F$17,Condition!$D$17,IF(HF29&lt;=Condition!$F$18,Condition!$D$18,IF(HF29&gt;Condition!$E$19,Condition!$D$19,"")))))</f>
        <v>0</v>
      </c>
      <c r="HG72" s="85">
        <f>IF(HG29&lt;=Condition!$E$16,0,IF(HG29&lt;=Condition!$F$16,Condition!$D$16,IF(HG29&lt;=Condition!$F$17,Condition!$D$17,IF(HG29&lt;=Condition!$F$18,Condition!$D$18,IF(HG29&gt;Condition!$E$19,Condition!$D$19,"")))))</f>
        <v>0</v>
      </c>
      <c r="HH72" s="85">
        <f>IF(HH29&lt;=Condition!$E$16,0,IF(HH29&lt;=Condition!$F$16,Condition!$D$16,IF(HH29&lt;=Condition!$F$17,Condition!$D$17,IF(HH29&lt;=Condition!$F$18,Condition!$D$18,IF(HH29&gt;Condition!$E$19,Condition!$D$19,"")))))</f>
        <v>0</v>
      </c>
      <c r="HI72" s="85">
        <f>IF(HI29&lt;=Condition!$E$16,0,IF(HI29&lt;=Condition!$F$16,Condition!$D$16,IF(HI29&lt;=Condition!$F$17,Condition!$D$17,IF(HI29&lt;=Condition!$F$18,Condition!$D$18,IF(HI29&gt;Condition!$E$19,Condition!$D$19,"")))))</f>
        <v>0</v>
      </c>
      <c r="HJ72" s="85">
        <f>IF(HJ29&lt;=Condition!$E$16,0,IF(HJ29&lt;=Condition!$F$16,Condition!$D$16,IF(HJ29&lt;=Condition!$F$17,Condition!$D$17,IF(HJ29&lt;=Condition!$F$18,Condition!$D$18,IF(HJ29&gt;Condition!$E$19,Condition!$D$19,"")))))</f>
        <v>0</v>
      </c>
      <c r="HK72" s="85">
        <f>IF(HK29&lt;=Condition!$E$16,0,IF(HK29&lt;=Condition!$F$16,Condition!$D$16,IF(HK29&lt;=Condition!$F$17,Condition!$D$17,IF(HK29&lt;=Condition!$F$18,Condition!$D$18,IF(HK29&gt;Condition!$E$19,Condition!$D$19,"")))))</f>
        <v>0</v>
      </c>
      <c r="HL72" s="85">
        <f>IF(HL29&lt;=Condition!$E$16,0,IF(HL29&lt;=Condition!$F$16,Condition!$D$16,IF(HL29&lt;=Condition!$F$17,Condition!$D$17,IF(HL29&lt;=Condition!$F$18,Condition!$D$18,IF(HL29&gt;Condition!$E$19,Condition!$D$19,"")))))</f>
        <v>0</v>
      </c>
      <c r="HM72" s="85">
        <f>IF(HM29&lt;=Condition!$E$16,0,IF(HM29&lt;=Condition!$F$16,Condition!$D$16,IF(HM29&lt;=Condition!$F$17,Condition!$D$17,IF(HM29&lt;=Condition!$F$18,Condition!$D$18,IF(HM29&gt;Condition!$E$19,Condition!$D$19,"")))))</f>
        <v>0</v>
      </c>
      <c r="HN72" s="85">
        <f>IF(HN29&lt;=Condition!$E$16,0,IF(HN29&lt;=Condition!$F$16,Condition!$D$16,IF(HN29&lt;=Condition!$F$17,Condition!$D$17,IF(HN29&lt;=Condition!$F$18,Condition!$D$18,IF(HN29&gt;Condition!$E$19,Condition!$D$19,"")))))</f>
        <v>0</v>
      </c>
      <c r="HO72" s="85">
        <f>IF(HO29&lt;=Condition!$E$16,0,IF(HO29&lt;=Condition!$F$16,Condition!$D$16,IF(HO29&lt;=Condition!$F$17,Condition!$D$17,IF(HO29&lt;=Condition!$F$18,Condition!$D$18,IF(HO29&gt;Condition!$E$19,Condition!$D$19,"")))))</f>
        <v>0</v>
      </c>
      <c r="HP72" s="85">
        <f>IF(HP29&lt;=Condition!$E$16,0,IF(HP29&lt;=Condition!$F$16,Condition!$D$16,IF(HP29&lt;=Condition!$F$17,Condition!$D$17,IF(HP29&lt;=Condition!$F$18,Condition!$D$18,IF(HP29&gt;Condition!$E$19,Condition!$D$19,"")))))</f>
        <v>0</v>
      </c>
      <c r="HQ72" s="85">
        <f>IF(HQ29&lt;=Condition!$E$16,0,IF(HQ29&lt;=Condition!$F$16,Condition!$D$16,IF(HQ29&lt;=Condition!$F$17,Condition!$D$17,IF(HQ29&lt;=Condition!$F$18,Condition!$D$18,IF(HQ29&gt;Condition!$E$19,Condition!$D$19,"")))))</f>
        <v>0</v>
      </c>
      <c r="HR72" s="85">
        <f>IF(HR29&lt;=Condition!$E$16,0,IF(HR29&lt;=Condition!$F$16,Condition!$D$16,IF(HR29&lt;=Condition!$F$17,Condition!$D$17,IF(HR29&lt;=Condition!$F$18,Condition!$D$18,IF(HR29&gt;Condition!$E$19,Condition!$D$19,"")))))</f>
        <v>0</v>
      </c>
      <c r="HS72" s="85">
        <f>IF(HS29&lt;=Condition!$E$16,0,IF(HS29&lt;=Condition!$F$16,Condition!$D$16,IF(HS29&lt;=Condition!$F$17,Condition!$D$17,IF(HS29&lt;=Condition!$F$18,Condition!$D$18,IF(HS29&gt;Condition!$E$19,Condition!$D$19,"")))))</f>
        <v>0</v>
      </c>
      <c r="HT72" s="85">
        <f>IF(HT29&lt;=Condition!$E$16,0,IF(HT29&lt;=Condition!$F$16,Condition!$D$16,IF(HT29&lt;=Condition!$F$17,Condition!$D$17,IF(HT29&lt;=Condition!$F$18,Condition!$D$18,IF(HT29&gt;Condition!$E$19,Condition!$D$19,"")))))</f>
        <v>0</v>
      </c>
      <c r="HU72" s="85">
        <f>IF(HU29&lt;=Condition!$E$16,0,IF(HU29&lt;=Condition!$F$16,Condition!$D$16,IF(HU29&lt;=Condition!$F$17,Condition!$D$17,IF(HU29&lt;=Condition!$F$18,Condition!$D$18,IF(HU29&gt;Condition!$E$19,Condition!$D$19,"")))))</f>
        <v>0</v>
      </c>
      <c r="HV72" s="85">
        <f>IF(HV29&lt;=Condition!$E$16,0,IF(HV29&lt;=Condition!$F$16,Condition!$D$16,IF(HV29&lt;=Condition!$F$17,Condition!$D$17,IF(HV29&lt;=Condition!$F$18,Condition!$D$18,IF(HV29&gt;Condition!$E$19,Condition!$D$19,"")))))</f>
        <v>0</v>
      </c>
      <c r="HW72" s="85">
        <f>IF(HW29&lt;=Condition!$E$16,0,IF(HW29&lt;=Condition!$F$16,Condition!$D$16,IF(HW29&lt;=Condition!$F$17,Condition!$D$17,IF(HW29&lt;=Condition!$F$18,Condition!$D$18,IF(HW29&gt;Condition!$E$19,Condition!$D$19,"")))))</f>
        <v>0</v>
      </c>
      <c r="HX72" s="85">
        <f>IF(HX29&lt;=Condition!$E$16,0,IF(HX29&lt;=Condition!$F$16,Condition!$D$16,IF(HX29&lt;=Condition!$F$17,Condition!$D$17,IF(HX29&lt;=Condition!$F$18,Condition!$D$18,IF(HX29&gt;Condition!$E$19,Condition!$D$19,"")))))</f>
        <v>0</v>
      </c>
      <c r="HY72" s="85">
        <f>IF(HY29&lt;=Condition!$E$16,0,IF(HY29&lt;=Condition!$F$16,Condition!$D$16,IF(HY29&lt;=Condition!$F$17,Condition!$D$17,IF(HY29&lt;=Condition!$F$18,Condition!$D$18,IF(HY29&gt;Condition!$E$19,Condition!$D$19,"")))))</f>
        <v>0</v>
      </c>
      <c r="HZ72" s="85">
        <f>IF(HZ29&lt;=Condition!$E$16,0,IF(HZ29&lt;=Condition!$F$16,Condition!$D$16,IF(HZ29&lt;=Condition!$F$17,Condition!$D$17,IF(HZ29&lt;=Condition!$F$18,Condition!$D$18,IF(HZ29&gt;Condition!$E$19,Condition!$D$19,"")))))</f>
        <v>0</v>
      </c>
      <c r="IA72" s="85">
        <f>IF(IA29&lt;=Condition!$E$16,0,IF(IA29&lt;=Condition!$F$16,Condition!$D$16,IF(IA29&lt;=Condition!$F$17,Condition!$D$17,IF(IA29&lt;=Condition!$F$18,Condition!$D$18,IF(IA29&gt;Condition!$E$19,Condition!$D$19,"")))))</f>
        <v>0</v>
      </c>
      <c r="IB72" s="85">
        <f>IF(IB29&lt;=Condition!$E$16,0,IF(IB29&lt;=Condition!$F$16,Condition!$D$16,IF(IB29&lt;=Condition!$F$17,Condition!$D$17,IF(IB29&lt;=Condition!$F$18,Condition!$D$18,IF(IB29&gt;Condition!$E$19,Condition!$D$19,"")))))</f>
        <v>0</v>
      </c>
      <c r="IC72" s="85">
        <f>IF(IC29&lt;=Condition!$E$16,0,IF(IC29&lt;=Condition!$F$16,Condition!$D$16,IF(IC29&lt;=Condition!$F$17,Condition!$D$17,IF(IC29&lt;=Condition!$F$18,Condition!$D$18,IF(IC29&gt;Condition!$E$19,Condition!$D$19,"")))))</f>
        <v>0</v>
      </c>
      <c r="ID72" s="85">
        <f>IF(ID29&lt;=Condition!$E$16,0,IF(ID29&lt;=Condition!$F$16,Condition!$D$16,IF(ID29&lt;=Condition!$F$17,Condition!$D$17,IF(ID29&lt;=Condition!$F$18,Condition!$D$18,IF(ID29&gt;Condition!$E$19,Condition!$D$19,"")))))</f>
        <v>0</v>
      </c>
      <c r="IE72" s="85">
        <f>IF(IE29&lt;=Condition!$E$16,0,IF(IE29&lt;=Condition!$F$16,Condition!$D$16,IF(IE29&lt;=Condition!$F$17,Condition!$D$17,IF(IE29&lt;=Condition!$F$18,Condition!$D$18,IF(IE29&gt;Condition!$E$19,Condition!$D$19,"")))))</f>
        <v>0</v>
      </c>
      <c r="IF72" s="85">
        <f>IF(IF29&lt;=Condition!$E$16,0,IF(IF29&lt;=Condition!$F$16,Condition!$D$16,IF(IF29&lt;=Condition!$F$17,Condition!$D$17,IF(IF29&lt;=Condition!$F$18,Condition!$D$18,IF(IF29&gt;Condition!$E$19,Condition!$D$19,"")))))</f>
        <v>0</v>
      </c>
      <c r="IG72" s="85">
        <f>IF(IG29&lt;=Condition!$E$16,0,IF(IG29&lt;=Condition!$F$16,Condition!$D$16,IF(IG29&lt;=Condition!$F$17,Condition!$D$17,IF(IG29&lt;=Condition!$F$18,Condition!$D$18,IF(IG29&gt;Condition!$E$19,Condition!$D$19,"")))))</f>
        <v>0</v>
      </c>
      <c r="IH72" s="85">
        <f>IF(IH29&lt;=Condition!$E$16,0,IF(IH29&lt;=Condition!$F$16,Condition!$D$16,IF(IH29&lt;=Condition!$F$17,Condition!$D$17,IF(IH29&lt;=Condition!$F$18,Condition!$D$18,IF(IH29&gt;Condition!$E$19,Condition!$D$19,"")))))</f>
        <v>0</v>
      </c>
      <c r="II72" s="85">
        <f>IF(II29&lt;=Condition!$E$16,0,IF(II29&lt;=Condition!$F$16,Condition!$D$16,IF(II29&lt;=Condition!$F$17,Condition!$D$17,IF(II29&lt;=Condition!$F$18,Condition!$D$18,IF(II29&gt;Condition!$E$19,Condition!$D$19,"")))))</f>
        <v>0</v>
      </c>
      <c r="IJ72" s="85">
        <f>IF(IJ29&lt;=Condition!$E$16,0,IF(IJ29&lt;=Condition!$F$16,Condition!$D$16,IF(IJ29&lt;=Condition!$F$17,Condition!$D$17,IF(IJ29&lt;=Condition!$F$18,Condition!$D$18,IF(IJ29&gt;Condition!$E$19,Condition!$D$19,"")))))</f>
        <v>0</v>
      </c>
      <c r="IK72" s="85">
        <f>IF(IK29&lt;=Condition!$E$16,0,IF(IK29&lt;=Condition!$F$16,Condition!$D$16,IF(IK29&lt;=Condition!$F$17,Condition!$D$17,IF(IK29&lt;=Condition!$F$18,Condition!$D$18,IF(IK29&gt;Condition!$E$19,Condition!$D$19,"")))))</f>
        <v>0</v>
      </c>
      <c r="IL72" s="85">
        <f>IF(IL29&lt;=Condition!$E$16,0,IF(IL29&lt;=Condition!$F$16,Condition!$D$16,IF(IL29&lt;=Condition!$F$17,Condition!$D$17,IF(IL29&lt;=Condition!$F$18,Condition!$D$18,IF(IL29&gt;Condition!$E$19,Condition!$D$19,"")))))</f>
        <v>0</v>
      </c>
      <c r="IM72" s="85">
        <f>IF(IM29&lt;=Condition!$E$16,0,IF(IM29&lt;=Condition!$F$16,Condition!$D$16,IF(IM29&lt;=Condition!$F$17,Condition!$D$17,IF(IM29&lt;=Condition!$F$18,Condition!$D$18,IF(IM29&gt;Condition!$E$19,Condition!$D$19,"")))))</f>
        <v>0</v>
      </c>
      <c r="IN72" s="85">
        <f>IF(IN29&lt;=Condition!$E$16,0,IF(IN29&lt;=Condition!$F$16,Condition!$D$16,IF(IN29&lt;=Condition!$F$17,Condition!$D$17,IF(IN29&lt;=Condition!$F$18,Condition!$D$18,IF(IN29&gt;Condition!$E$19,Condition!$D$19,"")))))</f>
        <v>0</v>
      </c>
      <c r="IO72" s="85">
        <f>IF(IO29&lt;=Condition!$E$16,0,IF(IO29&lt;=Condition!$F$16,Condition!$D$16,IF(IO29&lt;=Condition!$F$17,Condition!$D$17,IF(IO29&lt;=Condition!$F$18,Condition!$D$18,IF(IO29&gt;Condition!$E$19,Condition!$D$19,"")))))</f>
        <v>0</v>
      </c>
      <c r="IP72" s="85">
        <f>IF(IP29&lt;=Condition!$E$16,0,IF(IP29&lt;=Condition!$F$16,Condition!$D$16,IF(IP29&lt;=Condition!$F$17,Condition!$D$17,IF(IP29&lt;=Condition!$F$18,Condition!$D$18,IF(IP29&gt;Condition!$E$19,Condition!$D$19,"")))))</f>
        <v>0</v>
      </c>
      <c r="IQ72" s="85">
        <f>IF(IQ29&lt;=Condition!$E$16,0,IF(IQ29&lt;=Condition!$F$16,Condition!$D$16,IF(IQ29&lt;=Condition!$F$17,Condition!$D$17,IF(IQ29&lt;=Condition!$F$18,Condition!$D$18,IF(IQ29&gt;Condition!$E$19,Condition!$D$19,"")))))</f>
        <v>0</v>
      </c>
      <c r="IR72" s="85">
        <f>IF(IR29&lt;=Condition!$E$16,0,IF(IR29&lt;=Condition!$F$16,Condition!$D$16,IF(IR29&lt;=Condition!$F$17,Condition!$D$17,IF(IR29&lt;=Condition!$F$18,Condition!$D$18,IF(IR29&gt;Condition!$E$19,Condition!$D$19,"")))))</f>
        <v>0</v>
      </c>
      <c r="IS72" s="85">
        <f>IF(IS29&lt;=Condition!$E$16,0,IF(IS29&lt;=Condition!$F$16,Condition!$D$16,IF(IS29&lt;=Condition!$F$17,Condition!$D$17,IF(IS29&lt;=Condition!$F$18,Condition!$D$18,IF(IS29&gt;Condition!$E$19,Condition!$D$19,"")))))</f>
        <v>0</v>
      </c>
      <c r="IT72" s="85">
        <f>IF(IT29&lt;=Condition!$E$16,0,IF(IT29&lt;=Condition!$F$16,Condition!$D$16,IF(IT29&lt;=Condition!$F$17,Condition!$D$17,IF(IT29&lt;=Condition!$F$18,Condition!$D$18,IF(IT29&gt;Condition!$E$19,Condition!$D$19,"")))))</f>
        <v>0</v>
      </c>
      <c r="IU72" s="85">
        <f>IF(IU29&lt;=Condition!$E$16,0,IF(IU29&lt;=Condition!$F$16,Condition!$D$16,IF(IU29&lt;=Condition!$F$17,Condition!$D$17,IF(IU29&lt;=Condition!$F$18,Condition!$D$18,IF(IU29&gt;Condition!$E$19,Condition!$D$19,"")))))</f>
        <v>0</v>
      </c>
      <c r="IV72" s="85">
        <f>IF(IV29&lt;=Condition!$E$16,0,IF(IV29&lt;=Condition!$F$16,Condition!$D$16,IF(IV29&lt;=Condition!$F$17,Condition!$D$17,IF(IV29&lt;=Condition!$F$18,Condition!$D$18,IF(IV29&gt;Condition!$E$19,Condition!$D$19,"")))))</f>
        <v>0</v>
      </c>
      <c r="IW72" s="85">
        <f>IF(IW29&lt;=Condition!$E$16,0,IF(IW29&lt;=Condition!$F$16,Condition!$D$16,IF(IW29&lt;=Condition!$F$17,Condition!$D$17,IF(IW29&lt;=Condition!$F$18,Condition!$D$18,IF(IW29&gt;Condition!$E$19,Condition!$D$19,"")))))</f>
        <v>0</v>
      </c>
      <c r="IX72" s="85">
        <f>IF(IX29&lt;=Condition!$E$16,0,IF(IX29&lt;=Condition!$F$16,Condition!$D$16,IF(IX29&lt;=Condition!$F$17,Condition!$D$17,IF(IX29&lt;=Condition!$F$18,Condition!$D$18,IF(IX29&gt;Condition!$E$19,Condition!$D$19,"")))))</f>
        <v>0</v>
      </c>
      <c r="IY72" s="85">
        <f>IF(IY29&lt;=Condition!$E$16,0,IF(IY29&lt;=Condition!$F$16,Condition!$D$16,IF(IY29&lt;=Condition!$F$17,Condition!$D$17,IF(IY29&lt;=Condition!$F$18,Condition!$D$18,IF(IY29&gt;Condition!$E$19,Condition!$D$19,"")))))</f>
        <v>0</v>
      </c>
      <c r="IZ72" s="85">
        <f>IF(IZ29&lt;=Condition!$E$16,0,IF(IZ29&lt;=Condition!$F$16,Condition!$D$16,IF(IZ29&lt;=Condition!$F$17,Condition!$D$17,IF(IZ29&lt;=Condition!$F$18,Condition!$D$18,IF(IZ29&gt;Condition!$E$19,Condition!$D$19,"")))))</f>
        <v>0</v>
      </c>
      <c r="JA72" s="85">
        <f>IF(JA29&lt;=Condition!$E$16,0,IF(JA29&lt;=Condition!$F$16,Condition!$D$16,IF(JA29&lt;=Condition!$F$17,Condition!$D$17,IF(JA29&lt;=Condition!$F$18,Condition!$D$18,IF(JA29&gt;Condition!$E$19,Condition!$D$19,"")))))</f>
        <v>0</v>
      </c>
      <c r="JB72" s="85">
        <f>IF(JB29&lt;=Condition!$E$16,0,IF(JB29&lt;=Condition!$F$16,Condition!$D$16,IF(JB29&lt;=Condition!$F$17,Condition!$D$17,IF(JB29&lt;=Condition!$F$18,Condition!$D$18,IF(JB29&gt;Condition!$E$19,Condition!$D$19,"")))))</f>
        <v>0</v>
      </c>
      <c r="JC72" s="85">
        <f>IF(JC29&lt;=Condition!$E$16,0,IF(JC29&lt;=Condition!$F$16,Condition!$D$16,IF(JC29&lt;=Condition!$F$17,Condition!$D$17,IF(JC29&lt;=Condition!$F$18,Condition!$D$18,IF(JC29&gt;Condition!$E$19,Condition!$D$19,"")))))</f>
        <v>0</v>
      </c>
      <c r="JD72" s="85">
        <f>IF(JD29&lt;=Condition!$E$16,0,IF(JD29&lt;=Condition!$F$16,Condition!$D$16,IF(JD29&lt;=Condition!$F$17,Condition!$D$17,IF(JD29&lt;=Condition!$F$18,Condition!$D$18,IF(JD29&gt;Condition!$E$19,Condition!$D$19,"")))))</f>
        <v>0</v>
      </c>
      <c r="JE72" s="85">
        <f>IF(JE29&lt;=Condition!$E$16,0,IF(JE29&lt;=Condition!$F$16,Condition!$D$16,IF(JE29&lt;=Condition!$F$17,Condition!$D$17,IF(JE29&lt;=Condition!$F$18,Condition!$D$18,IF(JE29&gt;Condition!$E$19,Condition!$D$19,"")))))</f>
        <v>0</v>
      </c>
      <c r="JF72" s="85">
        <f>IF(JF29&lt;=Condition!$E$16,0,IF(JF29&lt;=Condition!$F$16,Condition!$D$16,IF(JF29&lt;=Condition!$F$17,Condition!$D$17,IF(JF29&lt;=Condition!$F$18,Condition!$D$18,IF(JF29&gt;Condition!$E$19,Condition!$D$19,"")))))</f>
        <v>0</v>
      </c>
      <c r="JG72" s="85">
        <f>IF(JG29&lt;=Condition!$E$16,0,IF(JG29&lt;=Condition!$F$16,Condition!$D$16,IF(JG29&lt;=Condition!$F$17,Condition!$D$17,IF(JG29&lt;=Condition!$F$18,Condition!$D$18,IF(JG29&gt;Condition!$E$19,Condition!$D$19,"")))))</f>
        <v>0</v>
      </c>
      <c r="JH72" s="85">
        <f>IF(JH29&lt;=Condition!$E$16,0,IF(JH29&lt;=Condition!$F$16,Condition!$D$16,IF(JH29&lt;=Condition!$F$17,Condition!$D$17,IF(JH29&lt;=Condition!$F$18,Condition!$D$18,IF(JH29&gt;Condition!$E$19,Condition!$D$19,"")))))</f>
        <v>0</v>
      </c>
      <c r="JI72" s="85">
        <f>IF(JI29&lt;=Condition!$E$16,0,IF(JI29&lt;=Condition!$F$16,Condition!$D$16,IF(JI29&lt;=Condition!$F$17,Condition!$D$17,IF(JI29&lt;=Condition!$F$18,Condition!$D$18,IF(JI29&gt;Condition!$E$19,Condition!$D$19,"")))))</f>
        <v>0</v>
      </c>
      <c r="JJ72" s="85">
        <f>IF(JJ29&lt;=Condition!$E$16,0,IF(JJ29&lt;=Condition!$F$16,Condition!$D$16,IF(JJ29&lt;=Condition!$F$17,Condition!$D$17,IF(JJ29&lt;=Condition!$F$18,Condition!$D$18,IF(JJ29&gt;Condition!$E$19,Condition!$D$19,"")))))</f>
        <v>0</v>
      </c>
      <c r="JK72" s="85">
        <f>IF(JK29&lt;=Condition!$E$16,0,IF(JK29&lt;=Condition!$F$16,Condition!$D$16,IF(JK29&lt;=Condition!$F$17,Condition!$D$17,IF(JK29&lt;=Condition!$F$18,Condition!$D$18,IF(JK29&gt;Condition!$E$19,Condition!$D$19,"")))))</f>
        <v>0</v>
      </c>
      <c r="JL72" s="85">
        <f>IF(JL29&lt;=Condition!$E$16,0,IF(JL29&lt;=Condition!$F$16,Condition!$D$16,IF(JL29&lt;=Condition!$F$17,Condition!$D$17,IF(JL29&lt;=Condition!$F$18,Condition!$D$18,IF(JL29&gt;Condition!$E$19,Condition!$D$19,"")))))</f>
        <v>0</v>
      </c>
      <c r="JM72" s="85">
        <f>IF(JM29&lt;=Condition!$E$16,0,IF(JM29&lt;=Condition!$F$16,Condition!$D$16,IF(JM29&lt;=Condition!$F$17,Condition!$D$17,IF(JM29&lt;=Condition!$F$18,Condition!$D$18,IF(JM29&gt;Condition!$E$19,Condition!$D$19,"")))))</f>
        <v>0</v>
      </c>
      <c r="JN72" s="85">
        <f>IF(JN29&lt;=Condition!$E$16,0,IF(JN29&lt;=Condition!$F$16,Condition!$D$16,IF(JN29&lt;=Condition!$F$17,Condition!$D$17,IF(JN29&lt;=Condition!$F$18,Condition!$D$18,IF(JN29&gt;Condition!$E$19,Condition!$D$19,"")))))</f>
        <v>0</v>
      </c>
      <c r="JO72" s="85">
        <f>IF(JO29&lt;=Condition!$E$16,0,IF(JO29&lt;=Condition!$F$16,Condition!$D$16,IF(JO29&lt;=Condition!$F$17,Condition!$D$17,IF(JO29&lt;=Condition!$F$18,Condition!$D$18,IF(JO29&gt;Condition!$E$19,Condition!$D$19,"")))))</f>
        <v>0</v>
      </c>
      <c r="JP72" s="85">
        <f>IF(JP29&lt;=Condition!$E$16,0,IF(JP29&lt;=Condition!$F$16,Condition!$D$16,IF(JP29&lt;=Condition!$F$17,Condition!$D$17,IF(JP29&lt;=Condition!$F$18,Condition!$D$18,IF(JP29&gt;Condition!$E$19,Condition!$D$19,"")))))</f>
        <v>0</v>
      </c>
      <c r="JQ72" s="85">
        <f>IF(JQ29&lt;=Condition!$E$16,0,IF(JQ29&lt;=Condition!$F$16,Condition!$D$16,IF(JQ29&lt;=Condition!$F$17,Condition!$D$17,IF(JQ29&lt;=Condition!$F$18,Condition!$D$18,IF(JQ29&gt;Condition!$E$19,Condition!$D$19,"")))))</f>
        <v>0</v>
      </c>
      <c r="JR72" s="85">
        <f>IF(JR29&lt;=Condition!$E$16,0,IF(JR29&lt;=Condition!$F$16,Condition!$D$16,IF(JR29&lt;=Condition!$F$17,Condition!$D$17,IF(JR29&lt;=Condition!$F$18,Condition!$D$18,IF(JR29&gt;Condition!$E$19,Condition!$D$19,"")))))</f>
        <v>0</v>
      </c>
      <c r="JS72" s="85">
        <f>IF(JS29&lt;=Condition!$E$16,0,IF(JS29&lt;=Condition!$F$16,Condition!$D$16,IF(JS29&lt;=Condition!$F$17,Condition!$D$17,IF(JS29&lt;=Condition!$F$18,Condition!$D$18,IF(JS29&gt;Condition!$E$19,Condition!$D$19,"")))))</f>
        <v>0</v>
      </c>
      <c r="JT72" s="85">
        <f>IF(JT29&lt;=Condition!$E$16,0,IF(JT29&lt;=Condition!$F$16,Condition!$D$16,IF(JT29&lt;=Condition!$F$17,Condition!$D$17,IF(JT29&lt;=Condition!$F$18,Condition!$D$18,IF(JT29&gt;Condition!$E$19,Condition!$D$19,"")))))</f>
        <v>0</v>
      </c>
      <c r="JU72" s="85">
        <f>IF(JU29&lt;=Condition!$E$16,0,IF(JU29&lt;=Condition!$F$16,Condition!$D$16,IF(JU29&lt;=Condition!$F$17,Condition!$D$17,IF(JU29&lt;=Condition!$F$18,Condition!$D$18,IF(JU29&gt;Condition!$E$19,Condition!$D$19,"")))))</f>
        <v>0</v>
      </c>
      <c r="JV72" s="85">
        <f>IF(JV29&lt;=Condition!$E$16,0,IF(JV29&lt;=Condition!$F$16,Condition!$D$16,IF(JV29&lt;=Condition!$F$17,Condition!$D$17,IF(JV29&lt;=Condition!$F$18,Condition!$D$18,IF(JV29&gt;Condition!$E$19,Condition!$D$19,"")))))</f>
        <v>0</v>
      </c>
      <c r="JW72" s="85">
        <f>IF(JW29&lt;=Condition!$E$16,0,IF(JW29&lt;=Condition!$F$16,Condition!$D$16,IF(JW29&lt;=Condition!$F$17,Condition!$D$17,IF(JW29&lt;=Condition!$F$18,Condition!$D$18,IF(JW29&gt;Condition!$E$19,Condition!$D$19,"")))))</f>
        <v>0</v>
      </c>
      <c r="JX72" s="85">
        <f>IF(JX29&lt;=Condition!$E$16,0,IF(JX29&lt;=Condition!$F$16,Condition!$D$16,IF(JX29&lt;=Condition!$F$17,Condition!$D$17,IF(JX29&lt;=Condition!$F$18,Condition!$D$18,IF(JX29&gt;Condition!$E$19,Condition!$D$19,"")))))</f>
        <v>0</v>
      </c>
      <c r="JY72" s="85">
        <f>IF(JY29&lt;=Condition!$E$16,0,IF(JY29&lt;=Condition!$F$16,Condition!$D$16,IF(JY29&lt;=Condition!$F$17,Condition!$D$17,IF(JY29&lt;=Condition!$F$18,Condition!$D$18,IF(JY29&gt;Condition!$E$19,Condition!$D$19,"")))))</f>
        <v>0</v>
      </c>
      <c r="JZ72" s="85">
        <f>IF(JZ29&lt;=Condition!$E$16,0,IF(JZ29&lt;=Condition!$F$16,Condition!$D$16,IF(JZ29&lt;=Condition!$F$17,Condition!$D$17,IF(JZ29&lt;=Condition!$F$18,Condition!$D$18,IF(JZ29&gt;Condition!$E$19,Condition!$D$19,"")))))</f>
        <v>0</v>
      </c>
      <c r="KA72" s="85">
        <f>IF(KA29&lt;=Condition!$E$16,0,IF(KA29&lt;=Condition!$F$16,Condition!$D$16,IF(KA29&lt;=Condition!$F$17,Condition!$D$17,IF(KA29&lt;=Condition!$F$18,Condition!$D$18,IF(KA29&gt;Condition!$E$19,Condition!$D$19,"")))))</f>
        <v>0</v>
      </c>
      <c r="KB72" s="85">
        <f>IF(KB29&lt;=Condition!$E$16,0,IF(KB29&lt;=Condition!$F$16,Condition!$D$16,IF(KB29&lt;=Condition!$F$17,Condition!$D$17,IF(KB29&lt;=Condition!$F$18,Condition!$D$18,IF(KB29&gt;Condition!$E$19,Condition!$D$19,"")))))</f>
        <v>0</v>
      </c>
      <c r="KC72" s="85">
        <f>IF(KC29&lt;=Condition!$E$16,0,IF(KC29&lt;=Condition!$F$16,Condition!$D$16,IF(KC29&lt;=Condition!$F$17,Condition!$D$17,IF(KC29&lt;=Condition!$F$18,Condition!$D$18,IF(KC29&gt;Condition!$E$19,Condition!$D$19,"")))))</f>
        <v>0</v>
      </c>
      <c r="KD72" s="85">
        <f>IF(KD29&lt;=Condition!$E$16,0,IF(KD29&lt;=Condition!$F$16,Condition!$D$16,IF(KD29&lt;=Condition!$F$17,Condition!$D$17,IF(KD29&lt;=Condition!$F$18,Condition!$D$18,IF(KD29&gt;Condition!$E$19,Condition!$D$19,"")))))</f>
        <v>0</v>
      </c>
      <c r="KE72" s="85">
        <f>IF(KE29&lt;=Condition!$E$16,0,IF(KE29&lt;=Condition!$F$16,Condition!$D$16,IF(KE29&lt;=Condition!$F$17,Condition!$D$17,IF(KE29&lt;=Condition!$F$18,Condition!$D$18,IF(KE29&gt;Condition!$E$19,Condition!$D$19,"")))))</f>
        <v>0</v>
      </c>
      <c r="KF72" s="85">
        <f>IF(KF29&lt;=Condition!$E$16,0,IF(KF29&lt;=Condition!$F$16,Condition!$D$16,IF(KF29&lt;=Condition!$F$17,Condition!$D$17,IF(KF29&lt;=Condition!$F$18,Condition!$D$18,IF(KF29&gt;Condition!$E$19,Condition!$D$19,"")))))</f>
        <v>0</v>
      </c>
      <c r="KG72" s="85">
        <f>IF(KG29&lt;=Condition!$E$16,0,IF(KG29&lt;=Condition!$F$16,Condition!$D$16,IF(KG29&lt;=Condition!$F$17,Condition!$D$17,IF(KG29&lt;=Condition!$F$18,Condition!$D$18,IF(KG29&gt;Condition!$E$19,Condition!$D$19,"")))))</f>
        <v>0</v>
      </c>
      <c r="KH72" s="85">
        <f>IF(KH29&lt;=Condition!$E$16,0,IF(KH29&lt;=Condition!$F$16,Condition!$D$16,IF(KH29&lt;=Condition!$F$17,Condition!$D$17,IF(KH29&lt;=Condition!$F$18,Condition!$D$18,IF(KH29&gt;Condition!$E$19,Condition!$D$19,"")))))</f>
        <v>0</v>
      </c>
      <c r="KI72" s="85">
        <f>IF(KI29&lt;=Condition!$E$16,0,IF(KI29&lt;=Condition!$F$16,Condition!$D$16,IF(KI29&lt;=Condition!$F$17,Condition!$D$17,IF(KI29&lt;=Condition!$F$18,Condition!$D$18,IF(KI29&gt;Condition!$E$19,Condition!$D$19,"")))))</f>
        <v>0</v>
      </c>
    </row>
    <row r="73" spans="2:295" x14ac:dyDescent="0.25">
      <c r="B73" s="15">
        <f t="shared" ref="B73:E73" si="28">B30</f>
        <v>18</v>
      </c>
      <c r="C73" s="25" t="str">
        <f t="shared" si="28"/>
        <v>CTG</v>
      </c>
      <c r="D73" s="25" t="str">
        <f t="shared" si="28"/>
        <v xml:space="preserve">Sumon Sen </v>
      </c>
      <c r="E73" s="26" t="str">
        <f t="shared" si="28"/>
        <v>8041</v>
      </c>
      <c r="F73" s="112">
        <f t="shared" si="4"/>
        <v>0</v>
      </c>
      <c r="G73" s="112">
        <f t="shared" si="5"/>
        <v>0</v>
      </c>
      <c r="H73" s="85">
        <f>IF(H30&lt;=Condition!$E$16,0,IF(H30&lt;=Condition!$F$16,Condition!$D$16,IF(H30&lt;=Condition!$F$17,Condition!$D$17,IF(H30&lt;=Condition!$F$18,Condition!$D$18,IF(H30&gt;Condition!$E$19,Condition!$D$19,"")))))</f>
        <v>0</v>
      </c>
      <c r="I73" s="85">
        <f>IF(I30&lt;=Condition!$E$16,0,IF(I30&lt;=Condition!$F$16,Condition!$D$16,IF(I30&lt;=Condition!$F$17,Condition!$D$17,IF(I30&lt;=Condition!$F$18,Condition!$D$18,IF(I30&gt;Condition!$E$19,Condition!$D$19,"")))))</f>
        <v>0</v>
      </c>
      <c r="J73" s="85">
        <f>IF(J30&lt;=Condition!$E$16,0,IF(J30&lt;=Condition!$F$16,Condition!$D$16,IF(J30&lt;=Condition!$F$17,Condition!$D$17,IF(J30&lt;=Condition!$F$18,Condition!$D$18,IF(J30&gt;Condition!$E$19,Condition!$D$19,"")))))</f>
        <v>0</v>
      </c>
      <c r="K73" s="85">
        <f>IF(K30&lt;=Condition!$E$16,0,IF(K30&lt;=Condition!$F$16,Condition!$D$16,IF(K30&lt;=Condition!$F$17,Condition!$D$17,IF(K30&lt;=Condition!$F$18,Condition!$D$18,IF(K30&gt;Condition!$E$19,Condition!$D$19,"")))))</f>
        <v>0</v>
      </c>
      <c r="L73" s="85">
        <f>IF(L30&lt;=Condition!$E$16,0,IF(L30&lt;=Condition!$F$16,Condition!$D$16,IF(L30&lt;=Condition!$F$17,Condition!$D$17,IF(L30&lt;=Condition!$F$18,Condition!$D$18,IF(L30&gt;Condition!$E$19,Condition!$D$19,"")))))</f>
        <v>0</v>
      </c>
      <c r="M73" s="85">
        <f>IF(M30&lt;=Condition!$E$16,0,IF(M30&lt;=Condition!$F$16,Condition!$D$16,IF(M30&lt;=Condition!$F$17,Condition!$D$17,IF(M30&lt;=Condition!$F$18,Condition!$D$18,IF(M30&gt;Condition!$E$19,Condition!$D$19,"")))))</f>
        <v>0</v>
      </c>
      <c r="N73" s="85">
        <f>IF(N30&lt;=Condition!$E$16,0,IF(N30&lt;=Condition!$F$16,Condition!$D$16,IF(N30&lt;=Condition!$F$17,Condition!$D$17,IF(N30&lt;=Condition!$F$18,Condition!$D$18,IF(N30&gt;Condition!$E$19,Condition!$D$19,"")))))</f>
        <v>0</v>
      </c>
      <c r="O73" s="85">
        <f>IF(O30&lt;=Condition!$E$16,0,IF(O30&lt;=Condition!$F$16,Condition!$D$16,IF(O30&lt;=Condition!$F$17,Condition!$D$17,IF(O30&lt;=Condition!$F$18,Condition!$D$18,IF(O30&gt;Condition!$E$19,Condition!$D$19,"")))))</f>
        <v>0</v>
      </c>
      <c r="P73" s="85">
        <f>IF(P30&lt;=Condition!$E$16,0,IF(P30&lt;=Condition!$F$16,Condition!$D$16,IF(P30&lt;=Condition!$F$17,Condition!$D$17,IF(P30&lt;=Condition!$F$18,Condition!$D$18,IF(P30&gt;Condition!$E$19,Condition!$D$19,"")))))</f>
        <v>0</v>
      </c>
      <c r="Q73" s="85">
        <f>IF(Q30&lt;=Condition!$E$16,0,IF(Q30&lt;=Condition!$F$16,Condition!$D$16,IF(Q30&lt;=Condition!$F$17,Condition!$D$17,IF(Q30&lt;=Condition!$F$18,Condition!$D$18,IF(Q30&gt;Condition!$E$19,Condition!$D$19,"")))))</f>
        <v>0</v>
      </c>
      <c r="R73" s="85">
        <f>IF(R30&lt;=Condition!$E$16,0,IF(R30&lt;=Condition!$F$16,Condition!$D$16,IF(R30&lt;=Condition!$F$17,Condition!$D$17,IF(R30&lt;=Condition!$F$18,Condition!$D$18,IF(R30&gt;Condition!$E$19,Condition!$D$19,"")))))</f>
        <v>0</v>
      </c>
      <c r="S73" s="85">
        <f>IF(S30&lt;=Condition!$E$16,0,IF(S30&lt;=Condition!$F$16,Condition!$D$16,IF(S30&lt;=Condition!$F$17,Condition!$D$17,IF(S30&lt;=Condition!$F$18,Condition!$D$18,IF(S30&gt;Condition!$E$19,Condition!$D$19,"")))))</f>
        <v>0</v>
      </c>
      <c r="T73" s="85">
        <f>IF(T30&lt;=Condition!$E$16,0,IF(T30&lt;=Condition!$F$16,Condition!$D$16,IF(T30&lt;=Condition!$F$17,Condition!$D$17,IF(T30&lt;=Condition!$F$18,Condition!$D$18,IF(T30&gt;Condition!$E$19,Condition!$D$19,"")))))</f>
        <v>0</v>
      </c>
      <c r="U73" s="85">
        <f>IF(U30&lt;=Condition!$E$16,0,IF(U30&lt;=Condition!$F$16,Condition!$D$16,IF(U30&lt;=Condition!$F$17,Condition!$D$17,IF(U30&lt;=Condition!$F$18,Condition!$D$18,IF(U30&gt;Condition!$E$19,Condition!$D$19,"")))))</f>
        <v>0</v>
      </c>
      <c r="V73" s="85">
        <f>IF(V30&lt;=Condition!$E$16,0,IF(V30&lt;=Condition!$F$16,Condition!$D$16,IF(V30&lt;=Condition!$F$17,Condition!$D$17,IF(V30&lt;=Condition!$F$18,Condition!$D$18,IF(V30&gt;Condition!$E$19,Condition!$D$19,"")))))</f>
        <v>0</v>
      </c>
      <c r="W73" s="85">
        <f>IF(W30&lt;=Condition!$E$16,0,IF(W30&lt;=Condition!$F$16,Condition!$D$16,IF(W30&lt;=Condition!$F$17,Condition!$D$17,IF(W30&lt;=Condition!$F$18,Condition!$D$18,IF(W30&gt;Condition!$E$19,Condition!$D$19,"")))))</f>
        <v>0</v>
      </c>
      <c r="X73" s="85">
        <f>IF(X30&lt;=Condition!$E$16,0,IF(X30&lt;=Condition!$F$16,Condition!$D$16,IF(X30&lt;=Condition!$F$17,Condition!$D$17,IF(X30&lt;=Condition!$F$18,Condition!$D$18,IF(X30&gt;Condition!$E$19,Condition!$D$19,"")))))</f>
        <v>0</v>
      </c>
      <c r="Y73" s="85">
        <f>IF(Y30&lt;=Condition!$E$16,0,IF(Y30&lt;=Condition!$F$16,Condition!$D$16,IF(Y30&lt;=Condition!$F$17,Condition!$D$17,IF(Y30&lt;=Condition!$F$18,Condition!$D$18,IF(Y30&gt;Condition!$E$19,Condition!$D$19,"")))))</f>
        <v>0</v>
      </c>
      <c r="Z73" s="85">
        <f>IF(Z30&lt;=Condition!$E$16,0,IF(Z30&lt;=Condition!$F$16,Condition!$D$16,IF(Z30&lt;=Condition!$F$17,Condition!$D$17,IF(Z30&lt;=Condition!$F$18,Condition!$D$18,IF(Z30&gt;Condition!$E$19,Condition!$D$19,"")))))</f>
        <v>0</v>
      </c>
      <c r="AA73" s="85">
        <f>IF(AA30&lt;=Condition!$E$16,0,IF(AA30&lt;=Condition!$F$16,Condition!$D$16,IF(AA30&lt;=Condition!$F$17,Condition!$D$17,IF(AA30&lt;=Condition!$F$18,Condition!$D$18,IF(AA30&gt;Condition!$E$19,Condition!$D$19,"")))))</f>
        <v>0</v>
      </c>
      <c r="AB73" s="85">
        <f>IF(AB30&lt;=Condition!$E$16,0,IF(AB30&lt;=Condition!$F$16,Condition!$D$16,IF(AB30&lt;=Condition!$F$17,Condition!$D$17,IF(AB30&lt;=Condition!$F$18,Condition!$D$18,IF(AB30&gt;Condition!$E$19,Condition!$D$19,"")))))</f>
        <v>0</v>
      </c>
      <c r="AC73" s="85">
        <f>IF(AC30&lt;=Condition!$E$16,0,IF(AC30&lt;=Condition!$F$16,Condition!$D$16,IF(AC30&lt;=Condition!$F$17,Condition!$D$17,IF(AC30&lt;=Condition!$F$18,Condition!$D$18,IF(AC30&gt;Condition!$E$19,Condition!$D$19,"")))))</f>
        <v>0</v>
      </c>
      <c r="AD73" s="85">
        <f>IF(AD30&lt;=Condition!$E$16,0,IF(AD30&lt;=Condition!$F$16,Condition!$D$16,IF(AD30&lt;=Condition!$F$17,Condition!$D$17,IF(AD30&lt;=Condition!$F$18,Condition!$D$18,IF(AD30&gt;Condition!$E$19,Condition!$D$19,"")))))</f>
        <v>0</v>
      </c>
      <c r="AE73" s="85">
        <f>IF(AE30&lt;=Condition!$E$16,0,IF(AE30&lt;=Condition!$F$16,Condition!$D$16,IF(AE30&lt;=Condition!$F$17,Condition!$D$17,IF(AE30&lt;=Condition!$F$18,Condition!$D$18,IF(AE30&gt;Condition!$E$19,Condition!$D$19,"")))))</f>
        <v>0</v>
      </c>
      <c r="AF73" s="85">
        <f>IF(AF30&lt;=Condition!$E$16,0,IF(AF30&lt;=Condition!$F$16,Condition!$D$16,IF(AF30&lt;=Condition!$F$17,Condition!$D$17,IF(AF30&lt;=Condition!$F$18,Condition!$D$18,IF(AF30&gt;Condition!$E$19,Condition!$D$19,"")))))</f>
        <v>0</v>
      </c>
      <c r="AG73" s="85">
        <f>IF(AG30&lt;=Condition!$E$16,0,IF(AG30&lt;=Condition!$F$16,Condition!$D$16,IF(AG30&lt;=Condition!$F$17,Condition!$D$17,IF(AG30&lt;=Condition!$F$18,Condition!$D$18,IF(AG30&gt;Condition!$E$19,Condition!$D$19,"")))))</f>
        <v>0</v>
      </c>
      <c r="AH73" s="85">
        <f>IF(AH30&lt;=Condition!$E$16,0,IF(AH30&lt;=Condition!$F$16,Condition!$D$16,IF(AH30&lt;=Condition!$F$17,Condition!$D$17,IF(AH30&lt;=Condition!$F$18,Condition!$D$18,IF(AH30&gt;Condition!$E$19,Condition!$D$19,"")))))</f>
        <v>0</v>
      </c>
      <c r="AI73" s="85">
        <f>IF(AI30&lt;=Condition!$E$16,0,IF(AI30&lt;=Condition!$F$16,Condition!$D$16,IF(AI30&lt;=Condition!$F$17,Condition!$D$17,IF(AI30&lt;=Condition!$F$18,Condition!$D$18,IF(AI30&gt;Condition!$E$19,Condition!$D$19,"")))))</f>
        <v>0</v>
      </c>
      <c r="AJ73" s="85">
        <f>IF(AJ30&lt;=Condition!$E$16,0,IF(AJ30&lt;=Condition!$F$16,Condition!$D$16,IF(AJ30&lt;=Condition!$F$17,Condition!$D$17,IF(AJ30&lt;=Condition!$F$18,Condition!$D$18,IF(AJ30&gt;Condition!$E$19,Condition!$D$19,"")))))</f>
        <v>0</v>
      </c>
      <c r="AK73" s="85">
        <f>IF(AK30&lt;=Condition!$E$16,0,IF(AK30&lt;=Condition!$F$16,Condition!$D$16,IF(AK30&lt;=Condition!$F$17,Condition!$D$17,IF(AK30&lt;=Condition!$F$18,Condition!$D$18,IF(AK30&gt;Condition!$E$19,Condition!$D$19,"")))))</f>
        <v>0</v>
      </c>
      <c r="AL73" s="85">
        <f>IF(AL30&lt;=Condition!$E$16,0,IF(AL30&lt;=Condition!$F$16,Condition!$D$16,IF(AL30&lt;=Condition!$F$17,Condition!$D$17,IF(AL30&lt;=Condition!$F$18,Condition!$D$18,IF(AL30&gt;Condition!$E$19,Condition!$D$19,"")))))</f>
        <v>0</v>
      </c>
      <c r="AM73" s="85">
        <f>IF(AM30&lt;=Condition!$E$16,0,IF(AM30&lt;=Condition!$F$16,Condition!$D$16,IF(AM30&lt;=Condition!$F$17,Condition!$D$17,IF(AM30&lt;=Condition!$F$18,Condition!$D$18,IF(AM30&gt;Condition!$E$19,Condition!$D$19,"")))))</f>
        <v>0</v>
      </c>
      <c r="AN73" s="85">
        <f>IF(AN30&lt;=Condition!$E$16,0,IF(AN30&lt;=Condition!$F$16,Condition!$D$16,IF(AN30&lt;=Condition!$F$17,Condition!$D$17,IF(AN30&lt;=Condition!$F$18,Condition!$D$18,IF(AN30&gt;Condition!$E$19,Condition!$D$19,"")))))</f>
        <v>0</v>
      </c>
      <c r="AO73" s="85">
        <f>IF(AO30&lt;=Condition!$E$16,0,IF(AO30&lt;=Condition!$F$16,Condition!$D$16,IF(AO30&lt;=Condition!$F$17,Condition!$D$17,IF(AO30&lt;=Condition!$F$18,Condition!$D$18,IF(AO30&gt;Condition!$E$19,Condition!$D$19,"")))))</f>
        <v>0</v>
      </c>
      <c r="AP73" s="85">
        <f>IF(AP30&lt;=Condition!$E$16,0,IF(AP30&lt;=Condition!$F$16,Condition!$D$16,IF(AP30&lt;=Condition!$F$17,Condition!$D$17,IF(AP30&lt;=Condition!$F$18,Condition!$D$18,IF(AP30&gt;Condition!$E$19,Condition!$D$19,"")))))</f>
        <v>0</v>
      </c>
      <c r="AQ73" s="85">
        <f>IF(AQ30&lt;=Condition!$E$16,0,IF(AQ30&lt;=Condition!$F$16,Condition!$D$16,IF(AQ30&lt;=Condition!$F$17,Condition!$D$17,IF(AQ30&lt;=Condition!$F$18,Condition!$D$18,IF(AQ30&gt;Condition!$E$19,Condition!$D$19,"")))))</f>
        <v>0</v>
      </c>
      <c r="AR73" s="85">
        <f>IF(AR30&lt;=Condition!$E$16,0,IF(AR30&lt;=Condition!$F$16,Condition!$D$16,IF(AR30&lt;=Condition!$F$17,Condition!$D$17,IF(AR30&lt;=Condition!$F$18,Condition!$D$18,IF(AR30&gt;Condition!$E$19,Condition!$D$19,"")))))</f>
        <v>0</v>
      </c>
      <c r="AS73" s="85">
        <f>IF(AS30&lt;=Condition!$E$16,0,IF(AS30&lt;=Condition!$F$16,Condition!$D$16,IF(AS30&lt;=Condition!$F$17,Condition!$D$17,IF(AS30&lt;=Condition!$F$18,Condition!$D$18,IF(AS30&gt;Condition!$E$19,Condition!$D$19,"")))))</f>
        <v>0</v>
      </c>
      <c r="AT73" s="85">
        <f>IF(AT30&lt;=Condition!$E$16,0,IF(AT30&lt;=Condition!$F$16,Condition!$D$16,IF(AT30&lt;=Condition!$F$17,Condition!$D$17,IF(AT30&lt;=Condition!$F$18,Condition!$D$18,IF(AT30&gt;Condition!$E$19,Condition!$D$19,"")))))</f>
        <v>0</v>
      </c>
      <c r="AU73" s="85">
        <f>IF(AU30&lt;=Condition!$E$16,0,IF(AU30&lt;=Condition!$F$16,Condition!$D$16,IF(AU30&lt;=Condition!$F$17,Condition!$D$17,IF(AU30&lt;=Condition!$F$18,Condition!$D$18,IF(AU30&gt;Condition!$E$19,Condition!$D$19,"")))))</f>
        <v>0</v>
      </c>
      <c r="AV73" s="85">
        <f>IF(AV30&lt;=Condition!$E$16,0,IF(AV30&lt;=Condition!$F$16,Condition!$D$16,IF(AV30&lt;=Condition!$F$17,Condition!$D$17,IF(AV30&lt;=Condition!$F$18,Condition!$D$18,IF(AV30&gt;Condition!$E$19,Condition!$D$19,"")))))</f>
        <v>0</v>
      </c>
      <c r="AW73" s="85">
        <f>IF(AW30&lt;=Condition!$E$16,0,IF(AW30&lt;=Condition!$F$16,Condition!$D$16,IF(AW30&lt;=Condition!$F$17,Condition!$D$17,IF(AW30&lt;=Condition!$F$18,Condition!$D$18,IF(AW30&gt;Condition!$E$19,Condition!$D$19,"")))))</f>
        <v>0</v>
      </c>
      <c r="AX73" s="85">
        <f>IF(AX30&lt;=Condition!$E$16,0,IF(AX30&lt;=Condition!$F$16,Condition!$D$16,IF(AX30&lt;=Condition!$F$17,Condition!$D$17,IF(AX30&lt;=Condition!$F$18,Condition!$D$18,IF(AX30&gt;Condition!$E$19,Condition!$D$19,"")))))</f>
        <v>0</v>
      </c>
      <c r="AY73" s="85">
        <f>IF(AY30&lt;=Condition!$E$16,0,IF(AY30&lt;=Condition!$F$16,Condition!$D$16,IF(AY30&lt;=Condition!$F$17,Condition!$D$17,IF(AY30&lt;=Condition!$F$18,Condition!$D$18,IF(AY30&gt;Condition!$E$19,Condition!$D$19,"")))))</f>
        <v>0</v>
      </c>
      <c r="AZ73" s="85">
        <f>IF(AZ30&lt;=Condition!$E$16,0,IF(AZ30&lt;=Condition!$F$16,Condition!$D$16,IF(AZ30&lt;=Condition!$F$17,Condition!$D$17,IF(AZ30&lt;=Condition!$F$18,Condition!$D$18,IF(AZ30&gt;Condition!$E$19,Condition!$D$19,"")))))</f>
        <v>0</v>
      </c>
      <c r="BA73" s="85">
        <f>IF(BA30&lt;=Condition!$E$16,0,IF(BA30&lt;=Condition!$F$16,Condition!$D$16,IF(BA30&lt;=Condition!$F$17,Condition!$D$17,IF(BA30&lt;=Condition!$F$18,Condition!$D$18,IF(BA30&gt;Condition!$E$19,Condition!$D$19,"")))))</f>
        <v>0</v>
      </c>
      <c r="BB73" s="85">
        <f>IF(BB30&lt;=Condition!$E$16,0,IF(BB30&lt;=Condition!$F$16,Condition!$D$16,IF(BB30&lt;=Condition!$F$17,Condition!$D$17,IF(BB30&lt;=Condition!$F$18,Condition!$D$18,IF(BB30&gt;Condition!$E$19,Condition!$D$19,"")))))</f>
        <v>0</v>
      </c>
      <c r="BC73" s="85">
        <f>IF(BC30&lt;=Condition!$E$16,0,IF(BC30&lt;=Condition!$F$16,Condition!$D$16,IF(BC30&lt;=Condition!$F$17,Condition!$D$17,IF(BC30&lt;=Condition!$F$18,Condition!$D$18,IF(BC30&gt;Condition!$E$19,Condition!$D$19,"")))))</f>
        <v>0</v>
      </c>
      <c r="BD73" s="85">
        <f>IF(BD30&lt;=Condition!$E$16,0,IF(BD30&lt;=Condition!$F$16,Condition!$D$16,IF(BD30&lt;=Condition!$F$17,Condition!$D$17,IF(BD30&lt;=Condition!$F$18,Condition!$D$18,IF(BD30&gt;Condition!$E$19,Condition!$D$19,"")))))</f>
        <v>0</v>
      </c>
      <c r="BE73" s="85">
        <f>IF(BE30&lt;=Condition!$E$16,0,IF(BE30&lt;=Condition!$F$16,Condition!$D$16,IF(BE30&lt;=Condition!$F$17,Condition!$D$17,IF(BE30&lt;=Condition!$F$18,Condition!$D$18,IF(BE30&gt;Condition!$E$19,Condition!$D$19,"")))))</f>
        <v>0</v>
      </c>
      <c r="BF73" s="85">
        <f>IF(BF30&lt;=Condition!$E$16,0,IF(BF30&lt;=Condition!$F$16,Condition!$D$16,IF(BF30&lt;=Condition!$F$17,Condition!$D$17,IF(BF30&lt;=Condition!$F$18,Condition!$D$18,IF(BF30&gt;Condition!$E$19,Condition!$D$19,"")))))</f>
        <v>0</v>
      </c>
      <c r="BG73" s="85">
        <f>IF(BG30&lt;=Condition!$E$16,0,IF(BG30&lt;=Condition!$F$16,Condition!$D$16,IF(BG30&lt;=Condition!$F$17,Condition!$D$17,IF(BG30&lt;=Condition!$F$18,Condition!$D$18,IF(BG30&gt;Condition!$E$19,Condition!$D$19,"")))))</f>
        <v>0</v>
      </c>
      <c r="BH73" s="85">
        <f>IF(BH30&lt;=Condition!$E$16,0,IF(BH30&lt;=Condition!$F$16,Condition!$D$16,IF(BH30&lt;=Condition!$F$17,Condition!$D$17,IF(BH30&lt;=Condition!$F$18,Condition!$D$18,IF(BH30&gt;Condition!$E$19,Condition!$D$19,"")))))</f>
        <v>0</v>
      </c>
      <c r="BI73" s="85">
        <f>IF(BI30&lt;=Condition!$E$16,0,IF(BI30&lt;=Condition!$F$16,Condition!$D$16,IF(BI30&lt;=Condition!$F$17,Condition!$D$17,IF(BI30&lt;=Condition!$F$18,Condition!$D$18,IF(BI30&gt;Condition!$E$19,Condition!$D$19,"")))))</f>
        <v>0</v>
      </c>
      <c r="BJ73" s="85">
        <f>IF(BJ30&lt;=Condition!$E$16,0,IF(BJ30&lt;=Condition!$F$16,Condition!$D$16,IF(BJ30&lt;=Condition!$F$17,Condition!$D$17,IF(BJ30&lt;=Condition!$F$18,Condition!$D$18,IF(BJ30&gt;Condition!$E$19,Condition!$D$19,"")))))</f>
        <v>0</v>
      </c>
      <c r="BK73" s="85">
        <f>IF(BK30&lt;=Condition!$E$16,0,IF(BK30&lt;=Condition!$F$16,Condition!$D$16,IF(BK30&lt;=Condition!$F$17,Condition!$D$17,IF(BK30&lt;=Condition!$F$18,Condition!$D$18,IF(BK30&gt;Condition!$E$19,Condition!$D$19,"")))))</f>
        <v>0</v>
      </c>
      <c r="BL73" s="85">
        <f>IF(BL30&lt;=Condition!$E$16,0,IF(BL30&lt;=Condition!$F$16,Condition!$D$16,IF(BL30&lt;=Condition!$F$17,Condition!$D$17,IF(BL30&lt;=Condition!$F$18,Condition!$D$18,IF(BL30&gt;Condition!$E$19,Condition!$D$19,"")))))</f>
        <v>0</v>
      </c>
      <c r="BM73" s="85">
        <f>IF(BM30&lt;=Condition!$E$16,0,IF(BM30&lt;=Condition!$F$16,Condition!$D$16,IF(BM30&lt;=Condition!$F$17,Condition!$D$17,IF(BM30&lt;=Condition!$F$18,Condition!$D$18,IF(BM30&gt;Condition!$E$19,Condition!$D$19,"")))))</f>
        <v>0</v>
      </c>
      <c r="BN73" s="85">
        <f>IF(BN30&lt;=Condition!$E$16,0,IF(BN30&lt;=Condition!$F$16,Condition!$D$16,IF(BN30&lt;=Condition!$F$17,Condition!$D$17,IF(BN30&lt;=Condition!$F$18,Condition!$D$18,IF(BN30&gt;Condition!$E$19,Condition!$D$19,"")))))</f>
        <v>0</v>
      </c>
      <c r="BO73" s="85">
        <f>IF(BO30&lt;=Condition!$E$16,0,IF(BO30&lt;=Condition!$F$16,Condition!$D$16,IF(BO30&lt;=Condition!$F$17,Condition!$D$17,IF(BO30&lt;=Condition!$F$18,Condition!$D$18,IF(BO30&gt;Condition!$E$19,Condition!$D$19,"")))))</f>
        <v>0</v>
      </c>
      <c r="BP73" s="85">
        <f>IF(BP30&lt;=Condition!$E$16,0,IF(BP30&lt;=Condition!$F$16,Condition!$D$16,IF(BP30&lt;=Condition!$F$17,Condition!$D$17,IF(BP30&lt;=Condition!$F$18,Condition!$D$18,IF(BP30&gt;Condition!$E$19,Condition!$D$19,"")))))</f>
        <v>0</v>
      </c>
      <c r="BQ73" s="85">
        <f>IF(BQ30&lt;=Condition!$E$16,0,IF(BQ30&lt;=Condition!$F$16,Condition!$D$16,IF(BQ30&lt;=Condition!$F$17,Condition!$D$17,IF(BQ30&lt;=Condition!$F$18,Condition!$D$18,IF(BQ30&gt;Condition!$E$19,Condition!$D$19,"")))))</f>
        <v>0</v>
      </c>
      <c r="BR73" s="85">
        <f>IF(BR30&lt;=Condition!$E$16,0,IF(BR30&lt;=Condition!$F$16,Condition!$D$16,IF(BR30&lt;=Condition!$F$17,Condition!$D$17,IF(BR30&lt;=Condition!$F$18,Condition!$D$18,IF(BR30&gt;Condition!$E$19,Condition!$D$19,"")))))</f>
        <v>0</v>
      </c>
      <c r="BS73" s="85">
        <f>IF(BS30&lt;=Condition!$E$16,0,IF(BS30&lt;=Condition!$F$16,Condition!$D$16,IF(BS30&lt;=Condition!$F$17,Condition!$D$17,IF(BS30&lt;=Condition!$F$18,Condition!$D$18,IF(BS30&gt;Condition!$E$19,Condition!$D$19,"")))))</f>
        <v>0</v>
      </c>
      <c r="BT73" s="85">
        <f>IF(BT30&lt;=Condition!$E$16,0,IF(BT30&lt;=Condition!$F$16,Condition!$D$16,IF(BT30&lt;=Condition!$F$17,Condition!$D$17,IF(BT30&lt;=Condition!$F$18,Condition!$D$18,IF(BT30&gt;Condition!$E$19,Condition!$D$19,"")))))</f>
        <v>0</v>
      </c>
      <c r="BU73" s="85">
        <f>IF(BU30&lt;=Condition!$E$16,0,IF(BU30&lt;=Condition!$F$16,Condition!$D$16,IF(BU30&lt;=Condition!$F$17,Condition!$D$17,IF(BU30&lt;=Condition!$F$18,Condition!$D$18,IF(BU30&gt;Condition!$E$19,Condition!$D$19,"")))))</f>
        <v>0</v>
      </c>
      <c r="BV73" s="85">
        <f>IF(BV30&lt;=Condition!$E$16,0,IF(BV30&lt;=Condition!$F$16,Condition!$D$16,IF(BV30&lt;=Condition!$F$17,Condition!$D$17,IF(BV30&lt;=Condition!$F$18,Condition!$D$18,IF(BV30&gt;Condition!$E$19,Condition!$D$19,"")))))</f>
        <v>0</v>
      </c>
      <c r="BW73" s="85">
        <f>IF(BW30&lt;=Condition!$E$16,0,IF(BW30&lt;=Condition!$F$16,Condition!$D$16,IF(BW30&lt;=Condition!$F$17,Condition!$D$17,IF(BW30&lt;=Condition!$F$18,Condition!$D$18,IF(BW30&gt;Condition!$E$19,Condition!$D$19,"")))))</f>
        <v>0</v>
      </c>
      <c r="BX73" s="85">
        <f>IF(BX30&lt;=Condition!$E$16,0,IF(BX30&lt;=Condition!$F$16,Condition!$D$16,IF(BX30&lt;=Condition!$F$17,Condition!$D$17,IF(BX30&lt;=Condition!$F$18,Condition!$D$18,IF(BX30&gt;Condition!$E$19,Condition!$D$19,"")))))</f>
        <v>0</v>
      </c>
      <c r="BY73" s="85">
        <f>IF(BY30&lt;=Condition!$E$16,0,IF(BY30&lt;=Condition!$F$16,Condition!$D$16,IF(BY30&lt;=Condition!$F$17,Condition!$D$17,IF(BY30&lt;=Condition!$F$18,Condition!$D$18,IF(BY30&gt;Condition!$E$19,Condition!$D$19,"")))))</f>
        <v>0</v>
      </c>
      <c r="BZ73" s="85">
        <f>IF(BZ30&lt;=Condition!$E$16,0,IF(BZ30&lt;=Condition!$F$16,Condition!$D$16,IF(BZ30&lt;=Condition!$F$17,Condition!$D$17,IF(BZ30&lt;=Condition!$F$18,Condition!$D$18,IF(BZ30&gt;Condition!$E$19,Condition!$D$19,"")))))</f>
        <v>0</v>
      </c>
      <c r="CA73" s="85">
        <f>IF(CA30&lt;=Condition!$E$16,0,IF(CA30&lt;=Condition!$F$16,Condition!$D$16,IF(CA30&lt;=Condition!$F$17,Condition!$D$17,IF(CA30&lt;=Condition!$F$18,Condition!$D$18,IF(CA30&gt;Condition!$E$19,Condition!$D$19,"")))))</f>
        <v>0</v>
      </c>
      <c r="CB73" s="85">
        <f>IF(CB30&lt;=Condition!$E$16,0,IF(CB30&lt;=Condition!$F$16,Condition!$D$16,IF(CB30&lt;=Condition!$F$17,Condition!$D$17,IF(CB30&lt;=Condition!$F$18,Condition!$D$18,IF(CB30&gt;Condition!$E$19,Condition!$D$19,"")))))</f>
        <v>0</v>
      </c>
      <c r="CC73" s="85">
        <f>IF(CC30&lt;=Condition!$E$16,0,IF(CC30&lt;=Condition!$F$16,Condition!$D$16,IF(CC30&lt;=Condition!$F$17,Condition!$D$17,IF(CC30&lt;=Condition!$F$18,Condition!$D$18,IF(CC30&gt;Condition!$E$19,Condition!$D$19,"")))))</f>
        <v>0</v>
      </c>
      <c r="CD73" s="85">
        <f>IF(CD30&lt;=Condition!$E$16,0,IF(CD30&lt;=Condition!$F$16,Condition!$D$16,IF(CD30&lt;=Condition!$F$17,Condition!$D$17,IF(CD30&lt;=Condition!$F$18,Condition!$D$18,IF(CD30&gt;Condition!$E$19,Condition!$D$19,"")))))</f>
        <v>0</v>
      </c>
      <c r="CE73" s="85">
        <f>IF(CE30&lt;=Condition!$E$16,0,IF(CE30&lt;=Condition!$F$16,Condition!$D$16,IF(CE30&lt;=Condition!$F$17,Condition!$D$17,IF(CE30&lt;=Condition!$F$18,Condition!$D$18,IF(CE30&gt;Condition!$E$19,Condition!$D$19,"")))))</f>
        <v>0</v>
      </c>
      <c r="CF73" s="85">
        <f>IF(CF30&lt;=Condition!$E$16,0,IF(CF30&lt;=Condition!$F$16,Condition!$D$16,IF(CF30&lt;=Condition!$F$17,Condition!$D$17,IF(CF30&lt;=Condition!$F$18,Condition!$D$18,IF(CF30&gt;Condition!$E$19,Condition!$D$19,"")))))</f>
        <v>0</v>
      </c>
      <c r="CG73" s="85">
        <f>IF(CG30&lt;=Condition!$E$16,0,IF(CG30&lt;=Condition!$F$16,Condition!$D$16,IF(CG30&lt;=Condition!$F$17,Condition!$D$17,IF(CG30&lt;=Condition!$F$18,Condition!$D$18,IF(CG30&gt;Condition!$E$19,Condition!$D$19,"")))))</f>
        <v>0</v>
      </c>
      <c r="CH73" s="85">
        <f>IF(CH30&lt;=Condition!$E$16,0,IF(CH30&lt;=Condition!$F$16,Condition!$D$16,IF(CH30&lt;=Condition!$F$17,Condition!$D$17,IF(CH30&lt;=Condition!$F$18,Condition!$D$18,IF(CH30&gt;Condition!$E$19,Condition!$D$19,"")))))</f>
        <v>0</v>
      </c>
      <c r="CI73" s="85">
        <f>IF(CI30&lt;=Condition!$E$16,0,IF(CI30&lt;=Condition!$F$16,Condition!$D$16,IF(CI30&lt;=Condition!$F$17,Condition!$D$17,IF(CI30&lt;=Condition!$F$18,Condition!$D$18,IF(CI30&gt;Condition!$E$19,Condition!$D$19,"")))))</f>
        <v>0</v>
      </c>
      <c r="CJ73" s="85">
        <f>IF(CJ30&lt;=Condition!$E$16,0,IF(CJ30&lt;=Condition!$F$16,Condition!$D$16,IF(CJ30&lt;=Condition!$F$17,Condition!$D$17,IF(CJ30&lt;=Condition!$F$18,Condition!$D$18,IF(CJ30&gt;Condition!$E$19,Condition!$D$19,"")))))</f>
        <v>0</v>
      </c>
      <c r="CK73" s="85">
        <f>IF(CK30&lt;=Condition!$E$16,0,IF(CK30&lt;=Condition!$F$16,Condition!$D$16,IF(CK30&lt;=Condition!$F$17,Condition!$D$17,IF(CK30&lt;=Condition!$F$18,Condition!$D$18,IF(CK30&gt;Condition!$E$19,Condition!$D$19,"")))))</f>
        <v>0</v>
      </c>
      <c r="CL73" s="85">
        <f>IF(CL30&lt;=Condition!$E$16,0,IF(CL30&lt;=Condition!$F$16,Condition!$D$16,IF(CL30&lt;=Condition!$F$17,Condition!$D$17,IF(CL30&lt;=Condition!$F$18,Condition!$D$18,IF(CL30&gt;Condition!$E$19,Condition!$D$19,"")))))</f>
        <v>0</v>
      </c>
      <c r="CM73" s="85">
        <f>IF(CM30&lt;=Condition!$E$16,0,IF(CM30&lt;=Condition!$F$16,Condition!$D$16,IF(CM30&lt;=Condition!$F$17,Condition!$D$17,IF(CM30&lt;=Condition!$F$18,Condition!$D$18,IF(CM30&gt;Condition!$E$19,Condition!$D$19,"")))))</f>
        <v>0</v>
      </c>
      <c r="CN73" s="85">
        <f>IF(CN30&lt;=Condition!$E$16,0,IF(CN30&lt;=Condition!$F$16,Condition!$D$16,IF(CN30&lt;=Condition!$F$17,Condition!$D$17,IF(CN30&lt;=Condition!$F$18,Condition!$D$18,IF(CN30&gt;Condition!$E$19,Condition!$D$19,"")))))</f>
        <v>0</v>
      </c>
      <c r="CO73" s="85">
        <f>IF(CO30&lt;=Condition!$E$16,0,IF(CO30&lt;=Condition!$F$16,Condition!$D$16,IF(CO30&lt;=Condition!$F$17,Condition!$D$17,IF(CO30&lt;=Condition!$F$18,Condition!$D$18,IF(CO30&gt;Condition!$E$19,Condition!$D$19,"")))))</f>
        <v>0</v>
      </c>
      <c r="CP73" s="85">
        <f>IF(CP30&lt;=Condition!$E$16,0,IF(CP30&lt;=Condition!$F$16,Condition!$D$16,IF(CP30&lt;=Condition!$F$17,Condition!$D$17,IF(CP30&lt;=Condition!$F$18,Condition!$D$18,IF(CP30&gt;Condition!$E$19,Condition!$D$19,"")))))</f>
        <v>0</v>
      </c>
      <c r="CQ73" s="85">
        <f>IF(CQ30&lt;=Condition!$E$16,0,IF(CQ30&lt;=Condition!$F$16,Condition!$D$16,IF(CQ30&lt;=Condition!$F$17,Condition!$D$17,IF(CQ30&lt;=Condition!$F$18,Condition!$D$18,IF(CQ30&gt;Condition!$E$19,Condition!$D$19,"")))))</f>
        <v>0</v>
      </c>
      <c r="CR73" s="85">
        <f>IF(CR30&lt;=Condition!$E$16,0,IF(CR30&lt;=Condition!$F$16,Condition!$D$16,IF(CR30&lt;=Condition!$F$17,Condition!$D$17,IF(CR30&lt;=Condition!$F$18,Condition!$D$18,IF(CR30&gt;Condition!$E$19,Condition!$D$19,"")))))</f>
        <v>0</v>
      </c>
      <c r="CS73" s="85">
        <f>IF(CS30&lt;=Condition!$E$16,0,IF(CS30&lt;=Condition!$F$16,Condition!$D$16,IF(CS30&lt;=Condition!$F$17,Condition!$D$17,IF(CS30&lt;=Condition!$F$18,Condition!$D$18,IF(CS30&gt;Condition!$E$19,Condition!$D$19,"")))))</f>
        <v>0</v>
      </c>
      <c r="CT73" s="85">
        <f>IF(CT30&lt;=Condition!$E$16,0,IF(CT30&lt;=Condition!$F$16,Condition!$D$16,IF(CT30&lt;=Condition!$F$17,Condition!$D$17,IF(CT30&lt;=Condition!$F$18,Condition!$D$18,IF(CT30&gt;Condition!$E$19,Condition!$D$19,"")))))</f>
        <v>0</v>
      </c>
      <c r="CU73" s="85">
        <f>IF(CU30&lt;=Condition!$E$16,0,IF(CU30&lt;=Condition!$F$16,Condition!$D$16,IF(CU30&lt;=Condition!$F$17,Condition!$D$17,IF(CU30&lt;=Condition!$F$18,Condition!$D$18,IF(CU30&gt;Condition!$E$19,Condition!$D$19,"")))))</f>
        <v>0</v>
      </c>
      <c r="CV73" s="85">
        <f>IF(CV30&lt;=Condition!$E$16,0,IF(CV30&lt;=Condition!$F$16,Condition!$D$16,IF(CV30&lt;=Condition!$F$17,Condition!$D$17,IF(CV30&lt;=Condition!$F$18,Condition!$D$18,IF(CV30&gt;Condition!$E$19,Condition!$D$19,"")))))</f>
        <v>0</v>
      </c>
      <c r="CW73" s="85">
        <f>IF(CW30&lt;=Condition!$E$16,0,IF(CW30&lt;=Condition!$F$16,Condition!$D$16,IF(CW30&lt;=Condition!$F$17,Condition!$D$17,IF(CW30&lt;=Condition!$F$18,Condition!$D$18,IF(CW30&gt;Condition!$E$19,Condition!$D$19,"")))))</f>
        <v>0</v>
      </c>
      <c r="CX73" s="85">
        <f>IF(CX30&lt;=Condition!$E$16,0,IF(CX30&lt;=Condition!$F$16,Condition!$D$16,IF(CX30&lt;=Condition!$F$17,Condition!$D$17,IF(CX30&lt;=Condition!$F$18,Condition!$D$18,IF(CX30&gt;Condition!$E$19,Condition!$D$19,"")))))</f>
        <v>0</v>
      </c>
      <c r="CY73" s="85">
        <f>IF(CY30&lt;=Condition!$E$16,0,IF(CY30&lt;=Condition!$F$16,Condition!$D$16,IF(CY30&lt;=Condition!$F$17,Condition!$D$17,IF(CY30&lt;=Condition!$F$18,Condition!$D$18,IF(CY30&gt;Condition!$E$19,Condition!$D$19,"")))))</f>
        <v>0</v>
      </c>
      <c r="CZ73" s="85">
        <f>IF(CZ30&lt;=Condition!$E$16,0,IF(CZ30&lt;=Condition!$F$16,Condition!$D$16,IF(CZ30&lt;=Condition!$F$17,Condition!$D$17,IF(CZ30&lt;=Condition!$F$18,Condition!$D$18,IF(CZ30&gt;Condition!$E$19,Condition!$D$19,"")))))</f>
        <v>0</v>
      </c>
      <c r="DA73" s="85">
        <f>IF(DA30&lt;=Condition!$E$16,0,IF(DA30&lt;=Condition!$F$16,Condition!$D$16,IF(DA30&lt;=Condition!$F$17,Condition!$D$17,IF(DA30&lt;=Condition!$F$18,Condition!$D$18,IF(DA30&gt;Condition!$E$19,Condition!$D$19,"")))))</f>
        <v>0</v>
      </c>
      <c r="DB73" s="85">
        <f>IF(DB30&lt;=Condition!$E$16,0,IF(DB30&lt;=Condition!$F$16,Condition!$D$16,IF(DB30&lt;=Condition!$F$17,Condition!$D$17,IF(DB30&lt;=Condition!$F$18,Condition!$D$18,IF(DB30&gt;Condition!$E$19,Condition!$D$19,"")))))</f>
        <v>0</v>
      </c>
      <c r="DC73" s="85">
        <f>IF(DC30&lt;=Condition!$E$16,0,IF(DC30&lt;=Condition!$F$16,Condition!$D$16,IF(DC30&lt;=Condition!$F$17,Condition!$D$17,IF(DC30&lt;=Condition!$F$18,Condition!$D$18,IF(DC30&gt;Condition!$E$19,Condition!$D$19,"")))))</f>
        <v>0</v>
      </c>
      <c r="DD73" s="85">
        <f>IF(DD30&lt;=Condition!$E$16,0,IF(DD30&lt;=Condition!$F$16,Condition!$D$16,IF(DD30&lt;=Condition!$F$17,Condition!$D$17,IF(DD30&lt;=Condition!$F$18,Condition!$D$18,IF(DD30&gt;Condition!$E$19,Condition!$D$19,"")))))</f>
        <v>0</v>
      </c>
      <c r="DE73" s="85">
        <f>IF(DE30&lt;=Condition!$E$16,0,IF(DE30&lt;=Condition!$F$16,Condition!$D$16,IF(DE30&lt;=Condition!$F$17,Condition!$D$17,IF(DE30&lt;=Condition!$F$18,Condition!$D$18,IF(DE30&gt;Condition!$E$19,Condition!$D$19,"")))))</f>
        <v>0</v>
      </c>
      <c r="DF73" s="85">
        <f>IF(DF30&lt;=Condition!$E$16,0,IF(DF30&lt;=Condition!$F$16,Condition!$D$16,IF(DF30&lt;=Condition!$F$17,Condition!$D$17,IF(DF30&lt;=Condition!$F$18,Condition!$D$18,IF(DF30&gt;Condition!$E$19,Condition!$D$19,"")))))</f>
        <v>0</v>
      </c>
      <c r="DG73" s="85">
        <f>IF(DG30&lt;=Condition!$E$16,0,IF(DG30&lt;=Condition!$F$16,Condition!$D$16,IF(DG30&lt;=Condition!$F$17,Condition!$D$17,IF(DG30&lt;=Condition!$F$18,Condition!$D$18,IF(DG30&gt;Condition!$E$19,Condition!$D$19,"")))))</f>
        <v>0</v>
      </c>
      <c r="DH73" s="85">
        <f>IF(DH30&lt;=Condition!$E$16,0,IF(DH30&lt;=Condition!$F$16,Condition!$D$16,IF(DH30&lt;=Condition!$F$17,Condition!$D$17,IF(DH30&lt;=Condition!$F$18,Condition!$D$18,IF(DH30&gt;Condition!$E$19,Condition!$D$19,"")))))</f>
        <v>0</v>
      </c>
      <c r="DI73" s="85">
        <f>IF(DI30&lt;=Condition!$E$16,0,IF(DI30&lt;=Condition!$F$16,Condition!$D$16,IF(DI30&lt;=Condition!$F$17,Condition!$D$17,IF(DI30&lt;=Condition!$F$18,Condition!$D$18,IF(DI30&gt;Condition!$E$19,Condition!$D$19,"")))))</f>
        <v>0</v>
      </c>
      <c r="DJ73" s="85">
        <f>IF(DJ30&lt;=Condition!$E$16,0,IF(DJ30&lt;=Condition!$F$16,Condition!$D$16,IF(DJ30&lt;=Condition!$F$17,Condition!$D$17,IF(DJ30&lt;=Condition!$F$18,Condition!$D$18,IF(DJ30&gt;Condition!$E$19,Condition!$D$19,"")))))</f>
        <v>0</v>
      </c>
      <c r="DK73" s="85">
        <f>IF(DK30&lt;=Condition!$E$16,0,IF(DK30&lt;=Condition!$F$16,Condition!$D$16,IF(DK30&lt;=Condition!$F$17,Condition!$D$17,IF(DK30&lt;=Condition!$F$18,Condition!$D$18,IF(DK30&gt;Condition!$E$19,Condition!$D$19,"")))))</f>
        <v>0</v>
      </c>
      <c r="DL73" s="85">
        <f>IF(DL30&lt;=Condition!$E$16,0,IF(DL30&lt;=Condition!$F$16,Condition!$D$16,IF(DL30&lt;=Condition!$F$17,Condition!$D$17,IF(DL30&lt;=Condition!$F$18,Condition!$D$18,IF(DL30&gt;Condition!$E$19,Condition!$D$19,"")))))</f>
        <v>0</v>
      </c>
      <c r="DM73" s="85">
        <f>IF(DM30&lt;=Condition!$E$16,0,IF(DM30&lt;=Condition!$F$16,Condition!$D$16,IF(DM30&lt;=Condition!$F$17,Condition!$D$17,IF(DM30&lt;=Condition!$F$18,Condition!$D$18,IF(DM30&gt;Condition!$E$19,Condition!$D$19,"")))))</f>
        <v>0</v>
      </c>
      <c r="DN73" s="85">
        <f>IF(DN30&lt;=Condition!$E$16,0,IF(DN30&lt;=Condition!$F$16,Condition!$D$16,IF(DN30&lt;=Condition!$F$17,Condition!$D$17,IF(DN30&lt;=Condition!$F$18,Condition!$D$18,IF(DN30&gt;Condition!$E$19,Condition!$D$19,"")))))</f>
        <v>0</v>
      </c>
      <c r="DO73" s="85">
        <f>IF(DO30&lt;=Condition!$E$16,0,IF(DO30&lt;=Condition!$F$16,Condition!$D$16,IF(DO30&lt;=Condition!$F$17,Condition!$D$17,IF(DO30&lt;=Condition!$F$18,Condition!$D$18,IF(DO30&gt;Condition!$E$19,Condition!$D$19,"")))))</f>
        <v>0</v>
      </c>
      <c r="DP73" s="85">
        <f>IF(DP30&lt;=Condition!$E$16,0,IF(DP30&lt;=Condition!$F$16,Condition!$D$16,IF(DP30&lt;=Condition!$F$17,Condition!$D$17,IF(DP30&lt;=Condition!$F$18,Condition!$D$18,IF(DP30&gt;Condition!$E$19,Condition!$D$19,"")))))</f>
        <v>0</v>
      </c>
      <c r="DQ73" s="85">
        <f>IF(DQ30&lt;=Condition!$E$16,0,IF(DQ30&lt;=Condition!$F$16,Condition!$D$16,IF(DQ30&lt;=Condition!$F$17,Condition!$D$17,IF(DQ30&lt;=Condition!$F$18,Condition!$D$18,IF(DQ30&gt;Condition!$E$19,Condition!$D$19,"")))))</f>
        <v>0</v>
      </c>
      <c r="DR73" s="85">
        <f>IF(DR30&lt;=Condition!$E$16,0,IF(DR30&lt;=Condition!$F$16,Condition!$D$16,IF(DR30&lt;=Condition!$F$17,Condition!$D$17,IF(DR30&lt;=Condition!$F$18,Condition!$D$18,IF(DR30&gt;Condition!$E$19,Condition!$D$19,"")))))</f>
        <v>0</v>
      </c>
      <c r="DS73" s="85">
        <f>IF(DS30&lt;=Condition!$E$16,0,IF(DS30&lt;=Condition!$F$16,Condition!$D$16,IF(DS30&lt;=Condition!$F$17,Condition!$D$17,IF(DS30&lt;=Condition!$F$18,Condition!$D$18,IF(DS30&gt;Condition!$E$19,Condition!$D$19,"")))))</f>
        <v>0</v>
      </c>
      <c r="DT73" s="85">
        <f>IF(DT30&lt;=Condition!$E$16,0,IF(DT30&lt;=Condition!$F$16,Condition!$D$16,IF(DT30&lt;=Condition!$F$17,Condition!$D$17,IF(DT30&lt;=Condition!$F$18,Condition!$D$18,IF(DT30&gt;Condition!$E$19,Condition!$D$19,"")))))</f>
        <v>0</v>
      </c>
      <c r="DU73" s="85">
        <f>IF(DU30&lt;=Condition!$E$16,0,IF(DU30&lt;=Condition!$F$16,Condition!$D$16,IF(DU30&lt;=Condition!$F$17,Condition!$D$17,IF(DU30&lt;=Condition!$F$18,Condition!$D$18,IF(DU30&gt;Condition!$E$19,Condition!$D$19,"")))))</f>
        <v>0</v>
      </c>
      <c r="DV73" s="85">
        <f>IF(DV30&lt;=Condition!$E$16,0,IF(DV30&lt;=Condition!$F$16,Condition!$D$16,IF(DV30&lt;=Condition!$F$17,Condition!$D$17,IF(DV30&lt;=Condition!$F$18,Condition!$D$18,IF(DV30&gt;Condition!$E$19,Condition!$D$19,"")))))</f>
        <v>0</v>
      </c>
      <c r="DW73" s="85">
        <f>IF(DW30&lt;=Condition!$E$16,0,IF(DW30&lt;=Condition!$F$16,Condition!$D$16,IF(DW30&lt;=Condition!$F$17,Condition!$D$17,IF(DW30&lt;=Condition!$F$18,Condition!$D$18,IF(DW30&gt;Condition!$E$19,Condition!$D$19,"")))))</f>
        <v>0</v>
      </c>
      <c r="DX73" s="85">
        <f>IF(DX30&lt;=Condition!$E$16,0,IF(DX30&lt;=Condition!$F$16,Condition!$D$16,IF(DX30&lt;=Condition!$F$17,Condition!$D$17,IF(DX30&lt;=Condition!$F$18,Condition!$D$18,IF(DX30&gt;Condition!$E$19,Condition!$D$19,"")))))</f>
        <v>0</v>
      </c>
      <c r="DY73" s="85">
        <f>IF(DY30&lt;=Condition!$E$16,0,IF(DY30&lt;=Condition!$F$16,Condition!$D$16,IF(DY30&lt;=Condition!$F$17,Condition!$D$17,IF(DY30&lt;=Condition!$F$18,Condition!$D$18,IF(DY30&gt;Condition!$E$19,Condition!$D$19,"")))))</f>
        <v>0</v>
      </c>
      <c r="DZ73" s="85">
        <f>IF(DZ30&lt;=Condition!$E$16,0,IF(DZ30&lt;=Condition!$F$16,Condition!$D$16,IF(DZ30&lt;=Condition!$F$17,Condition!$D$17,IF(DZ30&lt;=Condition!$F$18,Condition!$D$18,IF(DZ30&gt;Condition!$E$19,Condition!$D$19,"")))))</f>
        <v>0</v>
      </c>
      <c r="EA73" s="85">
        <f>IF(EA30&lt;=Condition!$E$16,0,IF(EA30&lt;=Condition!$F$16,Condition!$D$16,IF(EA30&lt;=Condition!$F$17,Condition!$D$17,IF(EA30&lt;=Condition!$F$18,Condition!$D$18,IF(EA30&gt;Condition!$E$19,Condition!$D$19,"")))))</f>
        <v>0</v>
      </c>
      <c r="EB73" s="85">
        <f>IF(EB30&lt;=Condition!$E$16,0,IF(EB30&lt;=Condition!$F$16,Condition!$D$16,IF(EB30&lt;=Condition!$F$17,Condition!$D$17,IF(EB30&lt;=Condition!$F$18,Condition!$D$18,IF(EB30&gt;Condition!$E$19,Condition!$D$19,"")))))</f>
        <v>0</v>
      </c>
      <c r="EC73" s="85">
        <f>IF(EC30&lt;=Condition!$E$16,0,IF(EC30&lt;=Condition!$F$16,Condition!$D$16,IF(EC30&lt;=Condition!$F$17,Condition!$D$17,IF(EC30&lt;=Condition!$F$18,Condition!$D$18,IF(EC30&gt;Condition!$E$19,Condition!$D$19,"")))))</f>
        <v>0</v>
      </c>
      <c r="ED73" s="85">
        <f>IF(ED30&lt;=Condition!$E$16,0,IF(ED30&lt;=Condition!$F$16,Condition!$D$16,IF(ED30&lt;=Condition!$F$17,Condition!$D$17,IF(ED30&lt;=Condition!$F$18,Condition!$D$18,IF(ED30&gt;Condition!$E$19,Condition!$D$19,"")))))</f>
        <v>0</v>
      </c>
      <c r="EE73" s="85">
        <f>IF(EE30&lt;=Condition!$E$16,0,IF(EE30&lt;=Condition!$F$16,Condition!$D$16,IF(EE30&lt;=Condition!$F$17,Condition!$D$17,IF(EE30&lt;=Condition!$F$18,Condition!$D$18,IF(EE30&gt;Condition!$E$19,Condition!$D$19,"")))))</f>
        <v>0</v>
      </c>
      <c r="EF73" s="85">
        <f>IF(EF30&lt;=Condition!$E$16,0,IF(EF30&lt;=Condition!$F$16,Condition!$D$16,IF(EF30&lt;=Condition!$F$17,Condition!$D$17,IF(EF30&lt;=Condition!$F$18,Condition!$D$18,IF(EF30&gt;Condition!$E$19,Condition!$D$19,"")))))</f>
        <v>0</v>
      </c>
      <c r="EG73" s="85">
        <f>IF(EG30&lt;=Condition!$E$16,0,IF(EG30&lt;=Condition!$F$16,Condition!$D$16,IF(EG30&lt;=Condition!$F$17,Condition!$D$17,IF(EG30&lt;=Condition!$F$18,Condition!$D$18,IF(EG30&gt;Condition!$E$19,Condition!$D$19,"")))))</f>
        <v>0</v>
      </c>
      <c r="EH73" s="85">
        <f>IF(EH30&lt;=Condition!$E$16,0,IF(EH30&lt;=Condition!$F$16,Condition!$D$16,IF(EH30&lt;=Condition!$F$17,Condition!$D$17,IF(EH30&lt;=Condition!$F$18,Condition!$D$18,IF(EH30&gt;Condition!$E$19,Condition!$D$19,"")))))</f>
        <v>0</v>
      </c>
      <c r="EI73" s="85">
        <f>IF(EI30&lt;=Condition!$E$16,0,IF(EI30&lt;=Condition!$F$16,Condition!$D$16,IF(EI30&lt;=Condition!$F$17,Condition!$D$17,IF(EI30&lt;=Condition!$F$18,Condition!$D$18,IF(EI30&gt;Condition!$E$19,Condition!$D$19,"")))))</f>
        <v>0</v>
      </c>
      <c r="EJ73" s="85">
        <f>IF(EJ30&lt;=Condition!$E$16,0,IF(EJ30&lt;=Condition!$F$16,Condition!$D$16,IF(EJ30&lt;=Condition!$F$17,Condition!$D$17,IF(EJ30&lt;=Condition!$F$18,Condition!$D$18,IF(EJ30&gt;Condition!$E$19,Condition!$D$19,"")))))</f>
        <v>0</v>
      </c>
      <c r="EK73" s="85">
        <f>IF(EK30&lt;=Condition!$E$16,0,IF(EK30&lt;=Condition!$F$16,Condition!$D$16,IF(EK30&lt;=Condition!$F$17,Condition!$D$17,IF(EK30&lt;=Condition!$F$18,Condition!$D$18,IF(EK30&gt;Condition!$E$19,Condition!$D$19,"")))))</f>
        <v>0</v>
      </c>
      <c r="EL73" s="85">
        <f>IF(EL30&lt;=Condition!$E$16,0,IF(EL30&lt;=Condition!$F$16,Condition!$D$16,IF(EL30&lt;=Condition!$F$17,Condition!$D$17,IF(EL30&lt;=Condition!$F$18,Condition!$D$18,IF(EL30&gt;Condition!$E$19,Condition!$D$19,"")))))</f>
        <v>0</v>
      </c>
      <c r="EM73" s="85">
        <f>IF(EM30&lt;=Condition!$E$16,0,IF(EM30&lt;=Condition!$F$16,Condition!$D$16,IF(EM30&lt;=Condition!$F$17,Condition!$D$17,IF(EM30&lt;=Condition!$F$18,Condition!$D$18,IF(EM30&gt;Condition!$E$19,Condition!$D$19,"")))))</f>
        <v>0</v>
      </c>
      <c r="EN73" s="85">
        <f>IF(EN30&lt;=Condition!$E$16,0,IF(EN30&lt;=Condition!$F$16,Condition!$D$16,IF(EN30&lt;=Condition!$F$17,Condition!$D$17,IF(EN30&lt;=Condition!$F$18,Condition!$D$18,IF(EN30&gt;Condition!$E$19,Condition!$D$19,"")))))</f>
        <v>0</v>
      </c>
      <c r="EO73" s="85">
        <f>IF(EO30&lt;=Condition!$E$16,0,IF(EO30&lt;=Condition!$F$16,Condition!$D$16,IF(EO30&lt;=Condition!$F$17,Condition!$D$17,IF(EO30&lt;=Condition!$F$18,Condition!$D$18,IF(EO30&gt;Condition!$E$19,Condition!$D$19,"")))))</f>
        <v>0</v>
      </c>
      <c r="EP73" s="85">
        <f>IF(EP30&lt;=Condition!$E$16,0,IF(EP30&lt;=Condition!$F$16,Condition!$D$16,IF(EP30&lt;=Condition!$F$17,Condition!$D$17,IF(EP30&lt;=Condition!$F$18,Condition!$D$18,IF(EP30&gt;Condition!$E$19,Condition!$D$19,"")))))</f>
        <v>0</v>
      </c>
      <c r="EQ73" s="85">
        <f>IF(EQ30&lt;=Condition!$E$16,0,IF(EQ30&lt;=Condition!$F$16,Condition!$D$16,IF(EQ30&lt;=Condition!$F$17,Condition!$D$17,IF(EQ30&lt;=Condition!$F$18,Condition!$D$18,IF(EQ30&gt;Condition!$E$19,Condition!$D$19,"")))))</f>
        <v>0</v>
      </c>
      <c r="ER73" s="85">
        <f>IF(ER30&lt;=Condition!$E$16,0,IF(ER30&lt;=Condition!$F$16,Condition!$D$16,IF(ER30&lt;=Condition!$F$17,Condition!$D$17,IF(ER30&lt;=Condition!$F$18,Condition!$D$18,IF(ER30&gt;Condition!$E$19,Condition!$D$19,"")))))</f>
        <v>0</v>
      </c>
      <c r="ES73" s="85">
        <f>IF(ES30&lt;=Condition!$E$16,0,IF(ES30&lt;=Condition!$F$16,Condition!$D$16,IF(ES30&lt;=Condition!$F$17,Condition!$D$17,IF(ES30&lt;=Condition!$F$18,Condition!$D$18,IF(ES30&gt;Condition!$E$19,Condition!$D$19,"")))))</f>
        <v>0</v>
      </c>
      <c r="ET73" s="85">
        <f>IF(ET30&lt;=Condition!$E$16,0,IF(ET30&lt;=Condition!$F$16,Condition!$D$16,IF(ET30&lt;=Condition!$F$17,Condition!$D$17,IF(ET30&lt;=Condition!$F$18,Condition!$D$18,IF(ET30&gt;Condition!$E$19,Condition!$D$19,"")))))</f>
        <v>0</v>
      </c>
      <c r="EU73" s="85">
        <f>IF(EU30&lt;=Condition!$E$16,0,IF(EU30&lt;=Condition!$F$16,Condition!$D$16,IF(EU30&lt;=Condition!$F$17,Condition!$D$17,IF(EU30&lt;=Condition!$F$18,Condition!$D$18,IF(EU30&gt;Condition!$E$19,Condition!$D$19,"")))))</f>
        <v>0</v>
      </c>
      <c r="EV73" s="85">
        <f>IF(EV30&lt;=Condition!$E$16,0,IF(EV30&lt;=Condition!$F$16,Condition!$D$16,IF(EV30&lt;=Condition!$F$17,Condition!$D$17,IF(EV30&lt;=Condition!$F$18,Condition!$D$18,IF(EV30&gt;Condition!$E$19,Condition!$D$19,"")))))</f>
        <v>0</v>
      </c>
      <c r="EW73" s="85">
        <f>IF(EW30&lt;=Condition!$E$16,0,IF(EW30&lt;=Condition!$F$16,Condition!$D$16,IF(EW30&lt;=Condition!$F$17,Condition!$D$17,IF(EW30&lt;=Condition!$F$18,Condition!$D$18,IF(EW30&gt;Condition!$E$19,Condition!$D$19,"")))))</f>
        <v>0</v>
      </c>
      <c r="EX73" s="85">
        <f>IF(EX30&lt;=Condition!$E$16,0,IF(EX30&lt;=Condition!$F$16,Condition!$D$16,IF(EX30&lt;=Condition!$F$17,Condition!$D$17,IF(EX30&lt;=Condition!$F$18,Condition!$D$18,IF(EX30&gt;Condition!$E$19,Condition!$D$19,"")))))</f>
        <v>0</v>
      </c>
      <c r="EY73" s="85">
        <f>IF(EY30&lt;=Condition!$E$16,0,IF(EY30&lt;=Condition!$F$16,Condition!$D$16,IF(EY30&lt;=Condition!$F$17,Condition!$D$17,IF(EY30&lt;=Condition!$F$18,Condition!$D$18,IF(EY30&gt;Condition!$E$19,Condition!$D$19,"")))))</f>
        <v>0</v>
      </c>
      <c r="EZ73" s="85">
        <f>IF(EZ30&lt;=Condition!$E$16,0,IF(EZ30&lt;=Condition!$F$16,Condition!$D$16,IF(EZ30&lt;=Condition!$F$17,Condition!$D$17,IF(EZ30&lt;=Condition!$F$18,Condition!$D$18,IF(EZ30&gt;Condition!$E$19,Condition!$D$19,"")))))</f>
        <v>0</v>
      </c>
      <c r="FA73" s="85">
        <f>IF(FA30&lt;=Condition!$E$16,0,IF(FA30&lt;=Condition!$F$16,Condition!$D$16,IF(FA30&lt;=Condition!$F$17,Condition!$D$17,IF(FA30&lt;=Condition!$F$18,Condition!$D$18,IF(FA30&gt;Condition!$E$19,Condition!$D$19,"")))))</f>
        <v>0</v>
      </c>
      <c r="FB73" s="85">
        <f>IF(FB30&lt;=Condition!$E$16,0,IF(FB30&lt;=Condition!$F$16,Condition!$D$16,IF(FB30&lt;=Condition!$F$17,Condition!$D$17,IF(FB30&lt;=Condition!$F$18,Condition!$D$18,IF(FB30&gt;Condition!$E$19,Condition!$D$19,"")))))</f>
        <v>0</v>
      </c>
      <c r="FC73" s="85">
        <f>IF(FC30&lt;=Condition!$E$16,0,IF(FC30&lt;=Condition!$F$16,Condition!$D$16,IF(FC30&lt;=Condition!$F$17,Condition!$D$17,IF(FC30&lt;=Condition!$F$18,Condition!$D$18,IF(FC30&gt;Condition!$E$19,Condition!$D$19,"")))))</f>
        <v>0</v>
      </c>
      <c r="FD73" s="85">
        <f>IF(FD30&lt;=Condition!$E$16,0,IF(FD30&lt;=Condition!$F$16,Condition!$D$16,IF(FD30&lt;=Condition!$F$17,Condition!$D$17,IF(FD30&lt;=Condition!$F$18,Condition!$D$18,IF(FD30&gt;Condition!$E$19,Condition!$D$19,"")))))</f>
        <v>0</v>
      </c>
      <c r="FE73" s="85">
        <f>IF(FE30&lt;=Condition!$E$16,0,IF(FE30&lt;=Condition!$F$16,Condition!$D$16,IF(FE30&lt;=Condition!$F$17,Condition!$D$17,IF(FE30&lt;=Condition!$F$18,Condition!$D$18,IF(FE30&gt;Condition!$E$19,Condition!$D$19,"")))))</f>
        <v>0</v>
      </c>
      <c r="FF73" s="85">
        <f>IF(FF30&lt;=Condition!$E$16,0,IF(FF30&lt;=Condition!$F$16,Condition!$D$16,IF(FF30&lt;=Condition!$F$17,Condition!$D$17,IF(FF30&lt;=Condition!$F$18,Condition!$D$18,IF(FF30&gt;Condition!$E$19,Condition!$D$19,"")))))</f>
        <v>0</v>
      </c>
      <c r="FG73" s="85">
        <f>IF(FG30&lt;=Condition!$E$16,0,IF(FG30&lt;=Condition!$F$16,Condition!$D$16,IF(FG30&lt;=Condition!$F$17,Condition!$D$17,IF(FG30&lt;=Condition!$F$18,Condition!$D$18,IF(FG30&gt;Condition!$E$19,Condition!$D$19,"")))))</f>
        <v>0</v>
      </c>
      <c r="FH73" s="85">
        <f>IF(FH30&lt;=Condition!$E$16,0,IF(FH30&lt;=Condition!$F$16,Condition!$D$16,IF(FH30&lt;=Condition!$F$17,Condition!$D$17,IF(FH30&lt;=Condition!$F$18,Condition!$D$18,IF(FH30&gt;Condition!$E$19,Condition!$D$19,"")))))</f>
        <v>0</v>
      </c>
      <c r="FI73" s="85">
        <f>IF(FI30&lt;=Condition!$E$16,0,IF(FI30&lt;=Condition!$F$16,Condition!$D$16,IF(FI30&lt;=Condition!$F$17,Condition!$D$17,IF(FI30&lt;=Condition!$F$18,Condition!$D$18,IF(FI30&gt;Condition!$E$19,Condition!$D$19,"")))))</f>
        <v>0</v>
      </c>
      <c r="FJ73" s="85">
        <f>IF(FJ30&lt;=Condition!$E$16,0,IF(FJ30&lt;=Condition!$F$16,Condition!$D$16,IF(FJ30&lt;=Condition!$F$17,Condition!$D$17,IF(FJ30&lt;=Condition!$F$18,Condition!$D$18,IF(FJ30&gt;Condition!$E$19,Condition!$D$19,"")))))</f>
        <v>0</v>
      </c>
      <c r="FK73" s="85">
        <f>IF(FK30&lt;=Condition!$E$16,0,IF(FK30&lt;=Condition!$F$16,Condition!$D$16,IF(FK30&lt;=Condition!$F$17,Condition!$D$17,IF(FK30&lt;=Condition!$F$18,Condition!$D$18,IF(FK30&gt;Condition!$E$19,Condition!$D$19,"")))))</f>
        <v>0</v>
      </c>
      <c r="FL73" s="85">
        <f>IF(FL30&lt;=Condition!$E$16,0,IF(FL30&lt;=Condition!$F$16,Condition!$D$16,IF(FL30&lt;=Condition!$F$17,Condition!$D$17,IF(FL30&lt;=Condition!$F$18,Condition!$D$18,IF(FL30&gt;Condition!$E$19,Condition!$D$19,"")))))</f>
        <v>0</v>
      </c>
      <c r="FM73" s="85">
        <f>IF(FM30&lt;=Condition!$E$16,0,IF(FM30&lt;=Condition!$F$16,Condition!$D$16,IF(FM30&lt;=Condition!$F$17,Condition!$D$17,IF(FM30&lt;=Condition!$F$18,Condition!$D$18,IF(FM30&gt;Condition!$E$19,Condition!$D$19,"")))))</f>
        <v>0</v>
      </c>
      <c r="FN73" s="85">
        <f>IF(FN30&lt;=Condition!$E$16,0,IF(FN30&lt;=Condition!$F$16,Condition!$D$16,IF(FN30&lt;=Condition!$F$17,Condition!$D$17,IF(FN30&lt;=Condition!$F$18,Condition!$D$18,IF(FN30&gt;Condition!$E$19,Condition!$D$19,"")))))</f>
        <v>0</v>
      </c>
      <c r="FO73" s="85">
        <f>IF(FO30&lt;=Condition!$E$16,0,IF(FO30&lt;=Condition!$F$16,Condition!$D$16,IF(FO30&lt;=Condition!$F$17,Condition!$D$17,IF(FO30&lt;=Condition!$F$18,Condition!$D$18,IF(FO30&gt;Condition!$E$19,Condition!$D$19,"")))))</f>
        <v>0</v>
      </c>
      <c r="FP73" s="85">
        <f>IF(FP30&lt;=Condition!$E$16,0,IF(FP30&lt;=Condition!$F$16,Condition!$D$16,IF(FP30&lt;=Condition!$F$17,Condition!$D$17,IF(FP30&lt;=Condition!$F$18,Condition!$D$18,IF(FP30&gt;Condition!$E$19,Condition!$D$19,"")))))</f>
        <v>0</v>
      </c>
      <c r="FQ73" s="85">
        <f>IF(FQ30&lt;=Condition!$E$16,0,IF(FQ30&lt;=Condition!$F$16,Condition!$D$16,IF(FQ30&lt;=Condition!$F$17,Condition!$D$17,IF(FQ30&lt;=Condition!$F$18,Condition!$D$18,IF(FQ30&gt;Condition!$E$19,Condition!$D$19,"")))))</f>
        <v>0</v>
      </c>
      <c r="FR73" s="85">
        <f>IF(FR30&lt;=Condition!$E$16,0,IF(FR30&lt;=Condition!$F$16,Condition!$D$16,IF(FR30&lt;=Condition!$F$17,Condition!$D$17,IF(FR30&lt;=Condition!$F$18,Condition!$D$18,IF(FR30&gt;Condition!$E$19,Condition!$D$19,"")))))</f>
        <v>0</v>
      </c>
      <c r="FS73" s="85">
        <f>IF(FS30&lt;=Condition!$E$16,0,IF(FS30&lt;=Condition!$F$16,Condition!$D$16,IF(FS30&lt;=Condition!$F$17,Condition!$D$17,IF(FS30&lt;=Condition!$F$18,Condition!$D$18,IF(FS30&gt;Condition!$E$19,Condition!$D$19,"")))))</f>
        <v>0</v>
      </c>
      <c r="FT73" s="85">
        <f>IF(FT30&lt;=Condition!$E$16,0,IF(FT30&lt;=Condition!$F$16,Condition!$D$16,IF(FT30&lt;=Condition!$F$17,Condition!$D$17,IF(FT30&lt;=Condition!$F$18,Condition!$D$18,IF(FT30&gt;Condition!$E$19,Condition!$D$19,"")))))</f>
        <v>0</v>
      </c>
      <c r="FU73" s="85">
        <f>IF(FU30&lt;=Condition!$E$16,0,IF(FU30&lt;=Condition!$F$16,Condition!$D$16,IF(FU30&lt;=Condition!$F$17,Condition!$D$17,IF(FU30&lt;=Condition!$F$18,Condition!$D$18,IF(FU30&gt;Condition!$E$19,Condition!$D$19,"")))))</f>
        <v>0</v>
      </c>
      <c r="FV73" s="85">
        <f>IF(FV30&lt;=Condition!$E$16,0,IF(FV30&lt;=Condition!$F$16,Condition!$D$16,IF(FV30&lt;=Condition!$F$17,Condition!$D$17,IF(FV30&lt;=Condition!$F$18,Condition!$D$18,IF(FV30&gt;Condition!$E$19,Condition!$D$19,"")))))</f>
        <v>0</v>
      </c>
      <c r="FW73" s="85">
        <f>IF(FW30&lt;=Condition!$E$16,0,IF(FW30&lt;=Condition!$F$16,Condition!$D$16,IF(FW30&lt;=Condition!$F$17,Condition!$D$17,IF(FW30&lt;=Condition!$F$18,Condition!$D$18,IF(FW30&gt;Condition!$E$19,Condition!$D$19,"")))))</f>
        <v>0</v>
      </c>
      <c r="FX73" s="85">
        <f>IF(FX30&lt;=Condition!$E$16,0,IF(FX30&lt;=Condition!$F$16,Condition!$D$16,IF(FX30&lt;=Condition!$F$17,Condition!$D$17,IF(FX30&lt;=Condition!$F$18,Condition!$D$18,IF(FX30&gt;Condition!$E$19,Condition!$D$19,"")))))</f>
        <v>0</v>
      </c>
      <c r="FY73" s="85">
        <f>IF(FY30&lt;=Condition!$E$16,0,IF(FY30&lt;=Condition!$F$16,Condition!$D$16,IF(FY30&lt;=Condition!$F$17,Condition!$D$17,IF(FY30&lt;=Condition!$F$18,Condition!$D$18,IF(FY30&gt;Condition!$E$19,Condition!$D$19,"")))))</f>
        <v>0</v>
      </c>
      <c r="FZ73" s="85">
        <f>IF(FZ30&lt;=Condition!$E$16,0,IF(FZ30&lt;=Condition!$F$16,Condition!$D$16,IF(FZ30&lt;=Condition!$F$17,Condition!$D$17,IF(FZ30&lt;=Condition!$F$18,Condition!$D$18,IF(FZ30&gt;Condition!$E$19,Condition!$D$19,"")))))</f>
        <v>0</v>
      </c>
      <c r="GA73" s="85">
        <f>IF(GA30&lt;=Condition!$E$16,0,IF(GA30&lt;=Condition!$F$16,Condition!$D$16,IF(GA30&lt;=Condition!$F$17,Condition!$D$17,IF(GA30&lt;=Condition!$F$18,Condition!$D$18,IF(GA30&gt;Condition!$E$19,Condition!$D$19,"")))))</f>
        <v>0</v>
      </c>
      <c r="GB73" s="85">
        <f>IF(GB30&lt;=Condition!$E$16,0,IF(GB30&lt;=Condition!$F$16,Condition!$D$16,IF(GB30&lt;=Condition!$F$17,Condition!$D$17,IF(GB30&lt;=Condition!$F$18,Condition!$D$18,IF(GB30&gt;Condition!$E$19,Condition!$D$19,"")))))</f>
        <v>0</v>
      </c>
      <c r="GC73" s="85">
        <f>IF(GC30&lt;=Condition!$E$16,0,IF(GC30&lt;=Condition!$F$16,Condition!$D$16,IF(GC30&lt;=Condition!$F$17,Condition!$D$17,IF(GC30&lt;=Condition!$F$18,Condition!$D$18,IF(GC30&gt;Condition!$E$19,Condition!$D$19,"")))))</f>
        <v>0</v>
      </c>
      <c r="GD73" s="85">
        <f>IF(GD30&lt;=Condition!$E$16,0,IF(GD30&lt;=Condition!$F$16,Condition!$D$16,IF(GD30&lt;=Condition!$F$17,Condition!$D$17,IF(GD30&lt;=Condition!$F$18,Condition!$D$18,IF(GD30&gt;Condition!$E$19,Condition!$D$19,"")))))</f>
        <v>0</v>
      </c>
      <c r="GE73" s="85">
        <f>IF(GE30&lt;=Condition!$E$16,0,IF(GE30&lt;=Condition!$F$16,Condition!$D$16,IF(GE30&lt;=Condition!$F$17,Condition!$D$17,IF(GE30&lt;=Condition!$F$18,Condition!$D$18,IF(GE30&gt;Condition!$E$19,Condition!$D$19,"")))))</f>
        <v>0</v>
      </c>
      <c r="GF73" s="85">
        <f>IF(GF30&lt;=Condition!$E$16,0,IF(GF30&lt;=Condition!$F$16,Condition!$D$16,IF(GF30&lt;=Condition!$F$17,Condition!$D$17,IF(GF30&lt;=Condition!$F$18,Condition!$D$18,IF(GF30&gt;Condition!$E$19,Condition!$D$19,"")))))</f>
        <v>0</v>
      </c>
      <c r="GG73" s="85">
        <f>IF(GG30&lt;=Condition!$E$16,0,IF(GG30&lt;=Condition!$F$16,Condition!$D$16,IF(GG30&lt;=Condition!$F$17,Condition!$D$17,IF(GG30&lt;=Condition!$F$18,Condition!$D$18,IF(GG30&gt;Condition!$E$19,Condition!$D$19,"")))))</f>
        <v>0</v>
      </c>
      <c r="GH73" s="85">
        <f>IF(GH30&lt;=Condition!$E$16,0,IF(GH30&lt;=Condition!$F$16,Condition!$D$16,IF(GH30&lt;=Condition!$F$17,Condition!$D$17,IF(GH30&lt;=Condition!$F$18,Condition!$D$18,IF(GH30&gt;Condition!$E$19,Condition!$D$19,"")))))</f>
        <v>0</v>
      </c>
      <c r="GI73" s="85">
        <f>IF(GI30&lt;=Condition!$E$16,0,IF(GI30&lt;=Condition!$F$16,Condition!$D$16,IF(GI30&lt;=Condition!$F$17,Condition!$D$17,IF(GI30&lt;=Condition!$F$18,Condition!$D$18,IF(GI30&gt;Condition!$E$19,Condition!$D$19,"")))))</f>
        <v>0</v>
      </c>
      <c r="GJ73" s="85">
        <f>IF(GJ30&lt;=Condition!$E$16,0,IF(GJ30&lt;=Condition!$F$16,Condition!$D$16,IF(GJ30&lt;=Condition!$F$17,Condition!$D$17,IF(GJ30&lt;=Condition!$F$18,Condition!$D$18,IF(GJ30&gt;Condition!$E$19,Condition!$D$19,"")))))</f>
        <v>0</v>
      </c>
      <c r="GK73" s="85">
        <f>IF(GK30&lt;=Condition!$E$16,0,IF(GK30&lt;=Condition!$F$16,Condition!$D$16,IF(GK30&lt;=Condition!$F$17,Condition!$D$17,IF(GK30&lt;=Condition!$F$18,Condition!$D$18,IF(GK30&gt;Condition!$E$19,Condition!$D$19,"")))))</f>
        <v>0</v>
      </c>
      <c r="GL73" s="85">
        <f>IF(GL30&lt;=Condition!$E$16,0,IF(GL30&lt;=Condition!$F$16,Condition!$D$16,IF(GL30&lt;=Condition!$F$17,Condition!$D$17,IF(GL30&lt;=Condition!$F$18,Condition!$D$18,IF(GL30&gt;Condition!$E$19,Condition!$D$19,"")))))</f>
        <v>0</v>
      </c>
      <c r="GM73" s="85">
        <f>IF(GM30&lt;=Condition!$E$16,0,IF(GM30&lt;=Condition!$F$16,Condition!$D$16,IF(GM30&lt;=Condition!$F$17,Condition!$D$17,IF(GM30&lt;=Condition!$F$18,Condition!$D$18,IF(GM30&gt;Condition!$E$19,Condition!$D$19,"")))))</f>
        <v>0</v>
      </c>
      <c r="GN73" s="85">
        <f>IF(GN30&lt;=Condition!$E$16,0,IF(GN30&lt;=Condition!$F$16,Condition!$D$16,IF(GN30&lt;=Condition!$F$17,Condition!$D$17,IF(GN30&lt;=Condition!$F$18,Condition!$D$18,IF(GN30&gt;Condition!$E$19,Condition!$D$19,"")))))</f>
        <v>0</v>
      </c>
      <c r="GO73" s="85">
        <f>IF(GO30&lt;=Condition!$E$16,0,IF(GO30&lt;=Condition!$F$16,Condition!$D$16,IF(GO30&lt;=Condition!$F$17,Condition!$D$17,IF(GO30&lt;=Condition!$F$18,Condition!$D$18,IF(GO30&gt;Condition!$E$19,Condition!$D$19,"")))))</f>
        <v>0</v>
      </c>
      <c r="GP73" s="85">
        <f>IF(GP30&lt;=Condition!$E$16,0,IF(GP30&lt;=Condition!$F$16,Condition!$D$16,IF(GP30&lt;=Condition!$F$17,Condition!$D$17,IF(GP30&lt;=Condition!$F$18,Condition!$D$18,IF(GP30&gt;Condition!$E$19,Condition!$D$19,"")))))</f>
        <v>0</v>
      </c>
      <c r="GQ73" s="85">
        <f>IF(GQ30&lt;=Condition!$E$16,0,IF(GQ30&lt;=Condition!$F$16,Condition!$D$16,IF(GQ30&lt;=Condition!$F$17,Condition!$D$17,IF(GQ30&lt;=Condition!$F$18,Condition!$D$18,IF(GQ30&gt;Condition!$E$19,Condition!$D$19,"")))))</f>
        <v>0</v>
      </c>
      <c r="GR73" s="85">
        <f>IF(GR30&lt;=Condition!$E$16,0,IF(GR30&lt;=Condition!$F$16,Condition!$D$16,IF(GR30&lt;=Condition!$F$17,Condition!$D$17,IF(GR30&lt;=Condition!$F$18,Condition!$D$18,IF(GR30&gt;Condition!$E$19,Condition!$D$19,"")))))</f>
        <v>0</v>
      </c>
      <c r="GS73" s="85">
        <f>IF(GS30&lt;=Condition!$E$16,0,IF(GS30&lt;=Condition!$F$16,Condition!$D$16,IF(GS30&lt;=Condition!$F$17,Condition!$D$17,IF(GS30&lt;=Condition!$F$18,Condition!$D$18,IF(GS30&gt;Condition!$E$19,Condition!$D$19,"")))))</f>
        <v>0</v>
      </c>
      <c r="GT73" s="85">
        <f>IF(GT30&lt;=Condition!$E$16,0,IF(GT30&lt;=Condition!$F$16,Condition!$D$16,IF(GT30&lt;=Condition!$F$17,Condition!$D$17,IF(GT30&lt;=Condition!$F$18,Condition!$D$18,IF(GT30&gt;Condition!$E$19,Condition!$D$19,"")))))</f>
        <v>0</v>
      </c>
      <c r="GU73" s="85">
        <f>IF(GU30&lt;=Condition!$E$16,0,IF(GU30&lt;=Condition!$F$16,Condition!$D$16,IF(GU30&lt;=Condition!$F$17,Condition!$D$17,IF(GU30&lt;=Condition!$F$18,Condition!$D$18,IF(GU30&gt;Condition!$E$19,Condition!$D$19,"")))))</f>
        <v>0</v>
      </c>
      <c r="GV73" s="85">
        <f>IF(GV30&lt;=Condition!$E$16,0,IF(GV30&lt;=Condition!$F$16,Condition!$D$16,IF(GV30&lt;=Condition!$F$17,Condition!$D$17,IF(GV30&lt;=Condition!$F$18,Condition!$D$18,IF(GV30&gt;Condition!$E$19,Condition!$D$19,"")))))</f>
        <v>0</v>
      </c>
      <c r="GW73" s="85">
        <f>IF(GW30&lt;=Condition!$E$16,0,IF(GW30&lt;=Condition!$F$16,Condition!$D$16,IF(GW30&lt;=Condition!$F$17,Condition!$D$17,IF(GW30&lt;=Condition!$F$18,Condition!$D$18,IF(GW30&gt;Condition!$E$19,Condition!$D$19,"")))))</f>
        <v>0</v>
      </c>
      <c r="GX73" s="85">
        <f>IF(GX30&lt;=Condition!$E$16,0,IF(GX30&lt;=Condition!$F$16,Condition!$D$16,IF(GX30&lt;=Condition!$F$17,Condition!$D$17,IF(GX30&lt;=Condition!$F$18,Condition!$D$18,IF(GX30&gt;Condition!$E$19,Condition!$D$19,"")))))</f>
        <v>0</v>
      </c>
      <c r="GY73" s="85">
        <f>IF(GY30&lt;=Condition!$E$16,0,IF(GY30&lt;=Condition!$F$16,Condition!$D$16,IF(GY30&lt;=Condition!$F$17,Condition!$D$17,IF(GY30&lt;=Condition!$F$18,Condition!$D$18,IF(GY30&gt;Condition!$E$19,Condition!$D$19,"")))))</f>
        <v>0</v>
      </c>
      <c r="GZ73" s="85">
        <f>IF(GZ30&lt;=Condition!$E$16,0,IF(GZ30&lt;=Condition!$F$16,Condition!$D$16,IF(GZ30&lt;=Condition!$F$17,Condition!$D$17,IF(GZ30&lt;=Condition!$F$18,Condition!$D$18,IF(GZ30&gt;Condition!$E$19,Condition!$D$19,"")))))</f>
        <v>0</v>
      </c>
      <c r="HA73" s="85">
        <f>IF(HA30&lt;=Condition!$E$16,0,IF(HA30&lt;=Condition!$F$16,Condition!$D$16,IF(HA30&lt;=Condition!$F$17,Condition!$D$17,IF(HA30&lt;=Condition!$F$18,Condition!$D$18,IF(HA30&gt;Condition!$E$19,Condition!$D$19,"")))))</f>
        <v>0</v>
      </c>
      <c r="HB73" s="85">
        <f>IF(HB30&lt;=Condition!$E$16,0,IF(HB30&lt;=Condition!$F$16,Condition!$D$16,IF(HB30&lt;=Condition!$F$17,Condition!$D$17,IF(HB30&lt;=Condition!$F$18,Condition!$D$18,IF(HB30&gt;Condition!$E$19,Condition!$D$19,"")))))</f>
        <v>0</v>
      </c>
      <c r="HC73" s="85">
        <f>IF(HC30&lt;=Condition!$E$16,0,IF(HC30&lt;=Condition!$F$16,Condition!$D$16,IF(HC30&lt;=Condition!$F$17,Condition!$D$17,IF(HC30&lt;=Condition!$F$18,Condition!$D$18,IF(HC30&gt;Condition!$E$19,Condition!$D$19,"")))))</f>
        <v>0</v>
      </c>
      <c r="HD73" s="85">
        <f>IF(HD30&lt;=Condition!$E$16,0,IF(HD30&lt;=Condition!$F$16,Condition!$D$16,IF(HD30&lt;=Condition!$F$17,Condition!$D$17,IF(HD30&lt;=Condition!$F$18,Condition!$D$18,IF(HD30&gt;Condition!$E$19,Condition!$D$19,"")))))</f>
        <v>0</v>
      </c>
      <c r="HE73" s="85">
        <f>IF(HE30&lt;=Condition!$E$16,0,IF(HE30&lt;=Condition!$F$16,Condition!$D$16,IF(HE30&lt;=Condition!$F$17,Condition!$D$17,IF(HE30&lt;=Condition!$F$18,Condition!$D$18,IF(HE30&gt;Condition!$E$19,Condition!$D$19,"")))))</f>
        <v>0</v>
      </c>
      <c r="HF73" s="85">
        <f>IF(HF30&lt;=Condition!$E$16,0,IF(HF30&lt;=Condition!$F$16,Condition!$D$16,IF(HF30&lt;=Condition!$F$17,Condition!$D$17,IF(HF30&lt;=Condition!$F$18,Condition!$D$18,IF(HF30&gt;Condition!$E$19,Condition!$D$19,"")))))</f>
        <v>0</v>
      </c>
      <c r="HG73" s="85">
        <f>IF(HG30&lt;=Condition!$E$16,0,IF(HG30&lt;=Condition!$F$16,Condition!$D$16,IF(HG30&lt;=Condition!$F$17,Condition!$D$17,IF(HG30&lt;=Condition!$F$18,Condition!$D$18,IF(HG30&gt;Condition!$E$19,Condition!$D$19,"")))))</f>
        <v>0</v>
      </c>
      <c r="HH73" s="85">
        <f>IF(HH30&lt;=Condition!$E$16,0,IF(HH30&lt;=Condition!$F$16,Condition!$D$16,IF(HH30&lt;=Condition!$F$17,Condition!$D$17,IF(HH30&lt;=Condition!$F$18,Condition!$D$18,IF(HH30&gt;Condition!$E$19,Condition!$D$19,"")))))</f>
        <v>0</v>
      </c>
      <c r="HI73" s="85">
        <f>IF(HI30&lt;=Condition!$E$16,0,IF(HI30&lt;=Condition!$F$16,Condition!$D$16,IF(HI30&lt;=Condition!$F$17,Condition!$D$17,IF(HI30&lt;=Condition!$F$18,Condition!$D$18,IF(HI30&gt;Condition!$E$19,Condition!$D$19,"")))))</f>
        <v>0</v>
      </c>
      <c r="HJ73" s="85">
        <f>IF(HJ30&lt;=Condition!$E$16,0,IF(HJ30&lt;=Condition!$F$16,Condition!$D$16,IF(HJ30&lt;=Condition!$F$17,Condition!$D$17,IF(HJ30&lt;=Condition!$F$18,Condition!$D$18,IF(HJ30&gt;Condition!$E$19,Condition!$D$19,"")))))</f>
        <v>0</v>
      </c>
      <c r="HK73" s="85">
        <f>IF(HK30&lt;=Condition!$E$16,0,IF(HK30&lt;=Condition!$F$16,Condition!$D$16,IF(HK30&lt;=Condition!$F$17,Condition!$D$17,IF(HK30&lt;=Condition!$F$18,Condition!$D$18,IF(HK30&gt;Condition!$E$19,Condition!$D$19,"")))))</f>
        <v>0</v>
      </c>
      <c r="HL73" s="85">
        <f>IF(HL30&lt;=Condition!$E$16,0,IF(HL30&lt;=Condition!$F$16,Condition!$D$16,IF(HL30&lt;=Condition!$F$17,Condition!$D$17,IF(HL30&lt;=Condition!$F$18,Condition!$D$18,IF(HL30&gt;Condition!$E$19,Condition!$D$19,"")))))</f>
        <v>0</v>
      </c>
      <c r="HM73" s="85">
        <f>IF(HM30&lt;=Condition!$E$16,0,IF(HM30&lt;=Condition!$F$16,Condition!$D$16,IF(HM30&lt;=Condition!$F$17,Condition!$D$17,IF(HM30&lt;=Condition!$F$18,Condition!$D$18,IF(HM30&gt;Condition!$E$19,Condition!$D$19,"")))))</f>
        <v>0</v>
      </c>
      <c r="HN73" s="85">
        <f>IF(HN30&lt;=Condition!$E$16,0,IF(HN30&lt;=Condition!$F$16,Condition!$D$16,IF(HN30&lt;=Condition!$F$17,Condition!$D$17,IF(HN30&lt;=Condition!$F$18,Condition!$D$18,IF(HN30&gt;Condition!$E$19,Condition!$D$19,"")))))</f>
        <v>0</v>
      </c>
      <c r="HO73" s="85">
        <f>IF(HO30&lt;=Condition!$E$16,0,IF(HO30&lt;=Condition!$F$16,Condition!$D$16,IF(HO30&lt;=Condition!$F$17,Condition!$D$17,IF(HO30&lt;=Condition!$F$18,Condition!$D$18,IF(HO30&gt;Condition!$E$19,Condition!$D$19,"")))))</f>
        <v>0</v>
      </c>
      <c r="HP73" s="85">
        <f>IF(HP30&lt;=Condition!$E$16,0,IF(HP30&lt;=Condition!$F$16,Condition!$D$16,IF(HP30&lt;=Condition!$F$17,Condition!$D$17,IF(HP30&lt;=Condition!$F$18,Condition!$D$18,IF(HP30&gt;Condition!$E$19,Condition!$D$19,"")))))</f>
        <v>0</v>
      </c>
      <c r="HQ73" s="85">
        <f>IF(HQ30&lt;=Condition!$E$16,0,IF(HQ30&lt;=Condition!$F$16,Condition!$D$16,IF(HQ30&lt;=Condition!$F$17,Condition!$D$17,IF(HQ30&lt;=Condition!$F$18,Condition!$D$18,IF(HQ30&gt;Condition!$E$19,Condition!$D$19,"")))))</f>
        <v>0</v>
      </c>
      <c r="HR73" s="85">
        <f>IF(HR30&lt;=Condition!$E$16,0,IF(HR30&lt;=Condition!$F$16,Condition!$D$16,IF(HR30&lt;=Condition!$F$17,Condition!$D$17,IF(HR30&lt;=Condition!$F$18,Condition!$D$18,IF(HR30&gt;Condition!$E$19,Condition!$D$19,"")))))</f>
        <v>0</v>
      </c>
      <c r="HS73" s="85">
        <f>IF(HS30&lt;=Condition!$E$16,0,IF(HS30&lt;=Condition!$F$16,Condition!$D$16,IF(HS30&lt;=Condition!$F$17,Condition!$D$17,IF(HS30&lt;=Condition!$F$18,Condition!$D$18,IF(HS30&gt;Condition!$E$19,Condition!$D$19,"")))))</f>
        <v>0</v>
      </c>
      <c r="HT73" s="85">
        <f>IF(HT30&lt;=Condition!$E$16,0,IF(HT30&lt;=Condition!$F$16,Condition!$D$16,IF(HT30&lt;=Condition!$F$17,Condition!$D$17,IF(HT30&lt;=Condition!$F$18,Condition!$D$18,IF(HT30&gt;Condition!$E$19,Condition!$D$19,"")))))</f>
        <v>0</v>
      </c>
      <c r="HU73" s="85">
        <f>IF(HU30&lt;=Condition!$E$16,0,IF(HU30&lt;=Condition!$F$16,Condition!$D$16,IF(HU30&lt;=Condition!$F$17,Condition!$D$17,IF(HU30&lt;=Condition!$F$18,Condition!$D$18,IF(HU30&gt;Condition!$E$19,Condition!$D$19,"")))))</f>
        <v>0</v>
      </c>
      <c r="HV73" s="85">
        <f>IF(HV30&lt;=Condition!$E$16,0,IF(HV30&lt;=Condition!$F$16,Condition!$D$16,IF(HV30&lt;=Condition!$F$17,Condition!$D$17,IF(HV30&lt;=Condition!$F$18,Condition!$D$18,IF(HV30&gt;Condition!$E$19,Condition!$D$19,"")))))</f>
        <v>0</v>
      </c>
      <c r="HW73" s="85">
        <f>IF(HW30&lt;=Condition!$E$16,0,IF(HW30&lt;=Condition!$F$16,Condition!$D$16,IF(HW30&lt;=Condition!$F$17,Condition!$D$17,IF(HW30&lt;=Condition!$F$18,Condition!$D$18,IF(HW30&gt;Condition!$E$19,Condition!$D$19,"")))))</f>
        <v>0</v>
      </c>
      <c r="HX73" s="85">
        <f>IF(HX30&lt;=Condition!$E$16,0,IF(HX30&lt;=Condition!$F$16,Condition!$D$16,IF(HX30&lt;=Condition!$F$17,Condition!$D$17,IF(HX30&lt;=Condition!$F$18,Condition!$D$18,IF(HX30&gt;Condition!$E$19,Condition!$D$19,"")))))</f>
        <v>0</v>
      </c>
      <c r="HY73" s="85">
        <f>IF(HY30&lt;=Condition!$E$16,0,IF(HY30&lt;=Condition!$F$16,Condition!$D$16,IF(HY30&lt;=Condition!$F$17,Condition!$D$17,IF(HY30&lt;=Condition!$F$18,Condition!$D$18,IF(HY30&gt;Condition!$E$19,Condition!$D$19,"")))))</f>
        <v>0</v>
      </c>
      <c r="HZ73" s="85">
        <f>IF(HZ30&lt;=Condition!$E$16,0,IF(HZ30&lt;=Condition!$F$16,Condition!$D$16,IF(HZ30&lt;=Condition!$F$17,Condition!$D$17,IF(HZ30&lt;=Condition!$F$18,Condition!$D$18,IF(HZ30&gt;Condition!$E$19,Condition!$D$19,"")))))</f>
        <v>0</v>
      </c>
      <c r="IA73" s="85">
        <f>IF(IA30&lt;=Condition!$E$16,0,IF(IA30&lt;=Condition!$F$16,Condition!$D$16,IF(IA30&lt;=Condition!$F$17,Condition!$D$17,IF(IA30&lt;=Condition!$F$18,Condition!$D$18,IF(IA30&gt;Condition!$E$19,Condition!$D$19,"")))))</f>
        <v>0</v>
      </c>
      <c r="IB73" s="85">
        <f>IF(IB30&lt;=Condition!$E$16,0,IF(IB30&lt;=Condition!$F$16,Condition!$D$16,IF(IB30&lt;=Condition!$F$17,Condition!$D$17,IF(IB30&lt;=Condition!$F$18,Condition!$D$18,IF(IB30&gt;Condition!$E$19,Condition!$D$19,"")))))</f>
        <v>0</v>
      </c>
      <c r="IC73" s="85">
        <f>IF(IC30&lt;=Condition!$E$16,0,IF(IC30&lt;=Condition!$F$16,Condition!$D$16,IF(IC30&lt;=Condition!$F$17,Condition!$D$17,IF(IC30&lt;=Condition!$F$18,Condition!$D$18,IF(IC30&gt;Condition!$E$19,Condition!$D$19,"")))))</f>
        <v>0</v>
      </c>
      <c r="ID73" s="85">
        <f>IF(ID30&lt;=Condition!$E$16,0,IF(ID30&lt;=Condition!$F$16,Condition!$D$16,IF(ID30&lt;=Condition!$F$17,Condition!$D$17,IF(ID30&lt;=Condition!$F$18,Condition!$D$18,IF(ID30&gt;Condition!$E$19,Condition!$D$19,"")))))</f>
        <v>0</v>
      </c>
      <c r="IE73" s="85">
        <f>IF(IE30&lt;=Condition!$E$16,0,IF(IE30&lt;=Condition!$F$16,Condition!$D$16,IF(IE30&lt;=Condition!$F$17,Condition!$D$17,IF(IE30&lt;=Condition!$F$18,Condition!$D$18,IF(IE30&gt;Condition!$E$19,Condition!$D$19,"")))))</f>
        <v>0</v>
      </c>
      <c r="IF73" s="85">
        <f>IF(IF30&lt;=Condition!$E$16,0,IF(IF30&lt;=Condition!$F$16,Condition!$D$16,IF(IF30&lt;=Condition!$F$17,Condition!$D$17,IF(IF30&lt;=Condition!$F$18,Condition!$D$18,IF(IF30&gt;Condition!$E$19,Condition!$D$19,"")))))</f>
        <v>0</v>
      </c>
      <c r="IG73" s="85">
        <f>IF(IG30&lt;=Condition!$E$16,0,IF(IG30&lt;=Condition!$F$16,Condition!$D$16,IF(IG30&lt;=Condition!$F$17,Condition!$D$17,IF(IG30&lt;=Condition!$F$18,Condition!$D$18,IF(IG30&gt;Condition!$E$19,Condition!$D$19,"")))))</f>
        <v>0</v>
      </c>
      <c r="IH73" s="85">
        <f>IF(IH30&lt;=Condition!$E$16,0,IF(IH30&lt;=Condition!$F$16,Condition!$D$16,IF(IH30&lt;=Condition!$F$17,Condition!$D$17,IF(IH30&lt;=Condition!$F$18,Condition!$D$18,IF(IH30&gt;Condition!$E$19,Condition!$D$19,"")))))</f>
        <v>0</v>
      </c>
      <c r="II73" s="85">
        <f>IF(II30&lt;=Condition!$E$16,0,IF(II30&lt;=Condition!$F$16,Condition!$D$16,IF(II30&lt;=Condition!$F$17,Condition!$D$17,IF(II30&lt;=Condition!$F$18,Condition!$D$18,IF(II30&gt;Condition!$E$19,Condition!$D$19,"")))))</f>
        <v>0</v>
      </c>
      <c r="IJ73" s="85">
        <f>IF(IJ30&lt;=Condition!$E$16,0,IF(IJ30&lt;=Condition!$F$16,Condition!$D$16,IF(IJ30&lt;=Condition!$F$17,Condition!$D$17,IF(IJ30&lt;=Condition!$F$18,Condition!$D$18,IF(IJ30&gt;Condition!$E$19,Condition!$D$19,"")))))</f>
        <v>0</v>
      </c>
      <c r="IK73" s="85">
        <f>IF(IK30&lt;=Condition!$E$16,0,IF(IK30&lt;=Condition!$F$16,Condition!$D$16,IF(IK30&lt;=Condition!$F$17,Condition!$D$17,IF(IK30&lt;=Condition!$F$18,Condition!$D$18,IF(IK30&gt;Condition!$E$19,Condition!$D$19,"")))))</f>
        <v>0</v>
      </c>
      <c r="IL73" s="85">
        <f>IF(IL30&lt;=Condition!$E$16,0,IF(IL30&lt;=Condition!$F$16,Condition!$D$16,IF(IL30&lt;=Condition!$F$17,Condition!$D$17,IF(IL30&lt;=Condition!$F$18,Condition!$D$18,IF(IL30&gt;Condition!$E$19,Condition!$D$19,"")))))</f>
        <v>0</v>
      </c>
      <c r="IM73" s="85">
        <f>IF(IM30&lt;=Condition!$E$16,0,IF(IM30&lt;=Condition!$F$16,Condition!$D$16,IF(IM30&lt;=Condition!$F$17,Condition!$D$17,IF(IM30&lt;=Condition!$F$18,Condition!$D$18,IF(IM30&gt;Condition!$E$19,Condition!$D$19,"")))))</f>
        <v>0</v>
      </c>
      <c r="IN73" s="85">
        <f>IF(IN30&lt;=Condition!$E$16,0,IF(IN30&lt;=Condition!$F$16,Condition!$D$16,IF(IN30&lt;=Condition!$F$17,Condition!$D$17,IF(IN30&lt;=Condition!$F$18,Condition!$D$18,IF(IN30&gt;Condition!$E$19,Condition!$D$19,"")))))</f>
        <v>0</v>
      </c>
      <c r="IO73" s="85">
        <f>IF(IO30&lt;=Condition!$E$16,0,IF(IO30&lt;=Condition!$F$16,Condition!$D$16,IF(IO30&lt;=Condition!$F$17,Condition!$D$17,IF(IO30&lt;=Condition!$F$18,Condition!$D$18,IF(IO30&gt;Condition!$E$19,Condition!$D$19,"")))))</f>
        <v>0</v>
      </c>
      <c r="IP73" s="85">
        <f>IF(IP30&lt;=Condition!$E$16,0,IF(IP30&lt;=Condition!$F$16,Condition!$D$16,IF(IP30&lt;=Condition!$F$17,Condition!$D$17,IF(IP30&lt;=Condition!$F$18,Condition!$D$18,IF(IP30&gt;Condition!$E$19,Condition!$D$19,"")))))</f>
        <v>0</v>
      </c>
      <c r="IQ73" s="85">
        <f>IF(IQ30&lt;=Condition!$E$16,0,IF(IQ30&lt;=Condition!$F$16,Condition!$D$16,IF(IQ30&lt;=Condition!$F$17,Condition!$D$17,IF(IQ30&lt;=Condition!$F$18,Condition!$D$18,IF(IQ30&gt;Condition!$E$19,Condition!$D$19,"")))))</f>
        <v>0</v>
      </c>
      <c r="IR73" s="85">
        <f>IF(IR30&lt;=Condition!$E$16,0,IF(IR30&lt;=Condition!$F$16,Condition!$D$16,IF(IR30&lt;=Condition!$F$17,Condition!$D$17,IF(IR30&lt;=Condition!$F$18,Condition!$D$18,IF(IR30&gt;Condition!$E$19,Condition!$D$19,"")))))</f>
        <v>0</v>
      </c>
      <c r="IS73" s="85">
        <f>IF(IS30&lt;=Condition!$E$16,0,IF(IS30&lt;=Condition!$F$16,Condition!$D$16,IF(IS30&lt;=Condition!$F$17,Condition!$D$17,IF(IS30&lt;=Condition!$F$18,Condition!$D$18,IF(IS30&gt;Condition!$E$19,Condition!$D$19,"")))))</f>
        <v>0</v>
      </c>
      <c r="IT73" s="85">
        <f>IF(IT30&lt;=Condition!$E$16,0,IF(IT30&lt;=Condition!$F$16,Condition!$D$16,IF(IT30&lt;=Condition!$F$17,Condition!$D$17,IF(IT30&lt;=Condition!$F$18,Condition!$D$18,IF(IT30&gt;Condition!$E$19,Condition!$D$19,"")))))</f>
        <v>0</v>
      </c>
      <c r="IU73" s="85">
        <f>IF(IU30&lt;=Condition!$E$16,0,IF(IU30&lt;=Condition!$F$16,Condition!$D$16,IF(IU30&lt;=Condition!$F$17,Condition!$D$17,IF(IU30&lt;=Condition!$F$18,Condition!$D$18,IF(IU30&gt;Condition!$E$19,Condition!$D$19,"")))))</f>
        <v>0</v>
      </c>
      <c r="IV73" s="85">
        <f>IF(IV30&lt;=Condition!$E$16,0,IF(IV30&lt;=Condition!$F$16,Condition!$D$16,IF(IV30&lt;=Condition!$F$17,Condition!$D$17,IF(IV30&lt;=Condition!$F$18,Condition!$D$18,IF(IV30&gt;Condition!$E$19,Condition!$D$19,"")))))</f>
        <v>0</v>
      </c>
      <c r="IW73" s="85">
        <f>IF(IW30&lt;=Condition!$E$16,0,IF(IW30&lt;=Condition!$F$16,Condition!$D$16,IF(IW30&lt;=Condition!$F$17,Condition!$D$17,IF(IW30&lt;=Condition!$F$18,Condition!$D$18,IF(IW30&gt;Condition!$E$19,Condition!$D$19,"")))))</f>
        <v>0</v>
      </c>
      <c r="IX73" s="85">
        <f>IF(IX30&lt;=Condition!$E$16,0,IF(IX30&lt;=Condition!$F$16,Condition!$D$16,IF(IX30&lt;=Condition!$F$17,Condition!$D$17,IF(IX30&lt;=Condition!$F$18,Condition!$D$18,IF(IX30&gt;Condition!$E$19,Condition!$D$19,"")))))</f>
        <v>0</v>
      </c>
      <c r="IY73" s="85">
        <f>IF(IY30&lt;=Condition!$E$16,0,IF(IY30&lt;=Condition!$F$16,Condition!$D$16,IF(IY30&lt;=Condition!$F$17,Condition!$D$17,IF(IY30&lt;=Condition!$F$18,Condition!$D$18,IF(IY30&gt;Condition!$E$19,Condition!$D$19,"")))))</f>
        <v>0</v>
      </c>
      <c r="IZ73" s="85">
        <f>IF(IZ30&lt;=Condition!$E$16,0,IF(IZ30&lt;=Condition!$F$16,Condition!$D$16,IF(IZ30&lt;=Condition!$F$17,Condition!$D$17,IF(IZ30&lt;=Condition!$F$18,Condition!$D$18,IF(IZ30&gt;Condition!$E$19,Condition!$D$19,"")))))</f>
        <v>0</v>
      </c>
      <c r="JA73" s="85">
        <f>IF(JA30&lt;=Condition!$E$16,0,IF(JA30&lt;=Condition!$F$16,Condition!$D$16,IF(JA30&lt;=Condition!$F$17,Condition!$D$17,IF(JA30&lt;=Condition!$F$18,Condition!$D$18,IF(JA30&gt;Condition!$E$19,Condition!$D$19,"")))))</f>
        <v>0</v>
      </c>
      <c r="JB73" s="85">
        <f>IF(JB30&lt;=Condition!$E$16,0,IF(JB30&lt;=Condition!$F$16,Condition!$D$16,IF(JB30&lt;=Condition!$F$17,Condition!$D$17,IF(JB30&lt;=Condition!$F$18,Condition!$D$18,IF(JB30&gt;Condition!$E$19,Condition!$D$19,"")))))</f>
        <v>0</v>
      </c>
      <c r="JC73" s="85">
        <f>IF(JC30&lt;=Condition!$E$16,0,IF(JC30&lt;=Condition!$F$16,Condition!$D$16,IF(JC30&lt;=Condition!$F$17,Condition!$D$17,IF(JC30&lt;=Condition!$F$18,Condition!$D$18,IF(JC30&gt;Condition!$E$19,Condition!$D$19,"")))))</f>
        <v>0</v>
      </c>
      <c r="JD73" s="85">
        <f>IF(JD30&lt;=Condition!$E$16,0,IF(JD30&lt;=Condition!$F$16,Condition!$D$16,IF(JD30&lt;=Condition!$F$17,Condition!$D$17,IF(JD30&lt;=Condition!$F$18,Condition!$D$18,IF(JD30&gt;Condition!$E$19,Condition!$D$19,"")))))</f>
        <v>0</v>
      </c>
      <c r="JE73" s="85">
        <f>IF(JE30&lt;=Condition!$E$16,0,IF(JE30&lt;=Condition!$F$16,Condition!$D$16,IF(JE30&lt;=Condition!$F$17,Condition!$D$17,IF(JE30&lt;=Condition!$F$18,Condition!$D$18,IF(JE30&gt;Condition!$E$19,Condition!$D$19,"")))))</f>
        <v>0</v>
      </c>
      <c r="JF73" s="85">
        <f>IF(JF30&lt;=Condition!$E$16,0,IF(JF30&lt;=Condition!$F$16,Condition!$D$16,IF(JF30&lt;=Condition!$F$17,Condition!$D$17,IF(JF30&lt;=Condition!$F$18,Condition!$D$18,IF(JF30&gt;Condition!$E$19,Condition!$D$19,"")))))</f>
        <v>0</v>
      </c>
      <c r="JG73" s="85">
        <f>IF(JG30&lt;=Condition!$E$16,0,IF(JG30&lt;=Condition!$F$16,Condition!$D$16,IF(JG30&lt;=Condition!$F$17,Condition!$D$17,IF(JG30&lt;=Condition!$F$18,Condition!$D$18,IF(JG30&gt;Condition!$E$19,Condition!$D$19,"")))))</f>
        <v>0</v>
      </c>
      <c r="JH73" s="85">
        <f>IF(JH30&lt;=Condition!$E$16,0,IF(JH30&lt;=Condition!$F$16,Condition!$D$16,IF(JH30&lt;=Condition!$F$17,Condition!$D$17,IF(JH30&lt;=Condition!$F$18,Condition!$D$18,IF(JH30&gt;Condition!$E$19,Condition!$D$19,"")))))</f>
        <v>0</v>
      </c>
      <c r="JI73" s="85">
        <f>IF(JI30&lt;=Condition!$E$16,0,IF(JI30&lt;=Condition!$F$16,Condition!$D$16,IF(JI30&lt;=Condition!$F$17,Condition!$D$17,IF(JI30&lt;=Condition!$F$18,Condition!$D$18,IF(JI30&gt;Condition!$E$19,Condition!$D$19,"")))))</f>
        <v>0</v>
      </c>
      <c r="JJ73" s="85">
        <f>IF(JJ30&lt;=Condition!$E$16,0,IF(JJ30&lt;=Condition!$F$16,Condition!$D$16,IF(JJ30&lt;=Condition!$F$17,Condition!$D$17,IF(JJ30&lt;=Condition!$F$18,Condition!$D$18,IF(JJ30&gt;Condition!$E$19,Condition!$D$19,"")))))</f>
        <v>0</v>
      </c>
      <c r="JK73" s="85">
        <f>IF(JK30&lt;=Condition!$E$16,0,IF(JK30&lt;=Condition!$F$16,Condition!$D$16,IF(JK30&lt;=Condition!$F$17,Condition!$D$17,IF(JK30&lt;=Condition!$F$18,Condition!$D$18,IF(JK30&gt;Condition!$E$19,Condition!$D$19,"")))))</f>
        <v>0</v>
      </c>
      <c r="JL73" s="85">
        <f>IF(JL30&lt;=Condition!$E$16,0,IF(JL30&lt;=Condition!$F$16,Condition!$D$16,IF(JL30&lt;=Condition!$F$17,Condition!$D$17,IF(JL30&lt;=Condition!$F$18,Condition!$D$18,IF(JL30&gt;Condition!$E$19,Condition!$D$19,"")))))</f>
        <v>0</v>
      </c>
      <c r="JM73" s="85">
        <f>IF(JM30&lt;=Condition!$E$16,0,IF(JM30&lt;=Condition!$F$16,Condition!$D$16,IF(JM30&lt;=Condition!$F$17,Condition!$D$17,IF(JM30&lt;=Condition!$F$18,Condition!$D$18,IF(JM30&gt;Condition!$E$19,Condition!$D$19,"")))))</f>
        <v>0</v>
      </c>
      <c r="JN73" s="85">
        <f>IF(JN30&lt;=Condition!$E$16,0,IF(JN30&lt;=Condition!$F$16,Condition!$D$16,IF(JN30&lt;=Condition!$F$17,Condition!$D$17,IF(JN30&lt;=Condition!$F$18,Condition!$D$18,IF(JN30&gt;Condition!$E$19,Condition!$D$19,"")))))</f>
        <v>0</v>
      </c>
      <c r="JO73" s="85">
        <f>IF(JO30&lt;=Condition!$E$16,0,IF(JO30&lt;=Condition!$F$16,Condition!$D$16,IF(JO30&lt;=Condition!$F$17,Condition!$D$17,IF(JO30&lt;=Condition!$F$18,Condition!$D$18,IF(JO30&gt;Condition!$E$19,Condition!$D$19,"")))))</f>
        <v>0</v>
      </c>
      <c r="JP73" s="85">
        <f>IF(JP30&lt;=Condition!$E$16,0,IF(JP30&lt;=Condition!$F$16,Condition!$D$16,IF(JP30&lt;=Condition!$F$17,Condition!$D$17,IF(JP30&lt;=Condition!$F$18,Condition!$D$18,IF(JP30&gt;Condition!$E$19,Condition!$D$19,"")))))</f>
        <v>0</v>
      </c>
      <c r="JQ73" s="85">
        <f>IF(JQ30&lt;=Condition!$E$16,0,IF(JQ30&lt;=Condition!$F$16,Condition!$D$16,IF(JQ30&lt;=Condition!$F$17,Condition!$D$17,IF(JQ30&lt;=Condition!$F$18,Condition!$D$18,IF(JQ30&gt;Condition!$E$19,Condition!$D$19,"")))))</f>
        <v>0</v>
      </c>
      <c r="JR73" s="85">
        <f>IF(JR30&lt;=Condition!$E$16,0,IF(JR30&lt;=Condition!$F$16,Condition!$D$16,IF(JR30&lt;=Condition!$F$17,Condition!$D$17,IF(JR30&lt;=Condition!$F$18,Condition!$D$18,IF(JR30&gt;Condition!$E$19,Condition!$D$19,"")))))</f>
        <v>0</v>
      </c>
      <c r="JS73" s="85">
        <f>IF(JS30&lt;=Condition!$E$16,0,IF(JS30&lt;=Condition!$F$16,Condition!$D$16,IF(JS30&lt;=Condition!$F$17,Condition!$D$17,IF(JS30&lt;=Condition!$F$18,Condition!$D$18,IF(JS30&gt;Condition!$E$19,Condition!$D$19,"")))))</f>
        <v>0</v>
      </c>
      <c r="JT73" s="85">
        <f>IF(JT30&lt;=Condition!$E$16,0,IF(JT30&lt;=Condition!$F$16,Condition!$D$16,IF(JT30&lt;=Condition!$F$17,Condition!$D$17,IF(JT30&lt;=Condition!$F$18,Condition!$D$18,IF(JT30&gt;Condition!$E$19,Condition!$D$19,"")))))</f>
        <v>0</v>
      </c>
      <c r="JU73" s="85">
        <f>IF(JU30&lt;=Condition!$E$16,0,IF(JU30&lt;=Condition!$F$16,Condition!$D$16,IF(JU30&lt;=Condition!$F$17,Condition!$D$17,IF(JU30&lt;=Condition!$F$18,Condition!$D$18,IF(JU30&gt;Condition!$E$19,Condition!$D$19,"")))))</f>
        <v>0</v>
      </c>
      <c r="JV73" s="85">
        <f>IF(JV30&lt;=Condition!$E$16,0,IF(JV30&lt;=Condition!$F$16,Condition!$D$16,IF(JV30&lt;=Condition!$F$17,Condition!$D$17,IF(JV30&lt;=Condition!$F$18,Condition!$D$18,IF(JV30&gt;Condition!$E$19,Condition!$D$19,"")))))</f>
        <v>0</v>
      </c>
      <c r="JW73" s="85">
        <f>IF(JW30&lt;=Condition!$E$16,0,IF(JW30&lt;=Condition!$F$16,Condition!$D$16,IF(JW30&lt;=Condition!$F$17,Condition!$D$17,IF(JW30&lt;=Condition!$F$18,Condition!$D$18,IF(JW30&gt;Condition!$E$19,Condition!$D$19,"")))))</f>
        <v>0</v>
      </c>
      <c r="JX73" s="85">
        <f>IF(JX30&lt;=Condition!$E$16,0,IF(JX30&lt;=Condition!$F$16,Condition!$D$16,IF(JX30&lt;=Condition!$F$17,Condition!$D$17,IF(JX30&lt;=Condition!$F$18,Condition!$D$18,IF(JX30&gt;Condition!$E$19,Condition!$D$19,"")))))</f>
        <v>0</v>
      </c>
      <c r="JY73" s="85">
        <f>IF(JY30&lt;=Condition!$E$16,0,IF(JY30&lt;=Condition!$F$16,Condition!$D$16,IF(JY30&lt;=Condition!$F$17,Condition!$D$17,IF(JY30&lt;=Condition!$F$18,Condition!$D$18,IF(JY30&gt;Condition!$E$19,Condition!$D$19,"")))))</f>
        <v>0</v>
      </c>
      <c r="JZ73" s="85">
        <f>IF(JZ30&lt;=Condition!$E$16,0,IF(JZ30&lt;=Condition!$F$16,Condition!$D$16,IF(JZ30&lt;=Condition!$F$17,Condition!$D$17,IF(JZ30&lt;=Condition!$F$18,Condition!$D$18,IF(JZ30&gt;Condition!$E$19,Condition!$D$19,"")))))</f>
        <v>0</v>
      </c>
      <c r="KA73" s="85">
        <f>IF(KA30&lt;=Condition!$E$16,0,IF(KA30&lt;=Condition!$F$16,Condition!$D$16,IF(KA30&lt;=Condition!$F$17,Condition!$D$17,IF(KA30&lt;=Condition!$F$18,Condition!$D$18,IF(KA30&gt;Condition!$E$19,Condition!$D$19,"")))))</f>
        <v>0</v>
      </c>
      <c r="KB73" s="85">
        <f>IF(KB30&lt;=Condition!$E$16,0,IF(KB30&lt;=Condition!$F$16,Condition!$D$16,IF(KB30&lt;=Condition!$F$17,Condition!$D$17,IF(KB30&lt;=Condition!$F$18,Condition!$D$18,IF(KB30&gt;Condition!$E$19,Condition!$D$19,"")))))</f>
        <v>0</v>
      </c>
      <c r="KC73" s="85">
        <f>IF(KC30&lt;=Condition!$E$16,0,IF(KC30&lt;=Condition!$F$16,Condition!$D$16,IF(KC30&lt;=Condition!$F$17,Condition!$D$17,IF(KC30&lt;=Condition!$F$18,Condition!$D$18,IF(KC30&gt;Condition!$E$19,Condition!$D$19,"")))))</f>
        <v>0</v>
      </c>
      <c r="KD73" s="85">
        <f>IF(KD30&lt;=Condition!$E$16,0,IF(KD30&lt;=Condition!$F$16,Condition!$D$16,IF(KD30&lt;=Condition!$F$17,Condition!$D$17,IF(KD30&lt;=Condition!$F$18,Condition!$D$18,IF(KD30&gt;Condition!$E$19,Condition!$D$19,"")))))</f>
        <v>0</v>
      </c>
      <c r="KE73" s="85">
        <f>IF(KE30&lt;=Condition!$E$16,0,IF(KE30&lt;=Condition!$F$16,Condition!$D$16,IF(KE30&lt;=Condition!$F$17,Condition!$D$17,IF(KE30&lt;=Condition!$F$18,Condition!$D$18,IF(KE30&gt;Condition!$E$19,Condition!$D$19,"")))))</f>
        <v>0</v>
      </c>
      <c r="KF73" s="85">
        <f>IF(KF30&lt;=Condition!$E$16,0,IF(KF30&lt;=Condition!$F$16,Condition!$D$16,IF(KF30&lt;=Condition!$F$17,Condition!$D$17,IF(KF30&lt;=Condition!$F$18,Condition!$D$18,IF(KF30&gt;Condition!$E$19,Condition!$D$19,"")))))</f>
        <v>0</v>
      </c>
      <c r="KG73" s="85">
        <f>IF(KG30&lt;=Condition!$E$16,0,IF(KG30&lt;=Condition!$F$16,Condition!$D$16,IF(KG30&lt;=Condition!$F$17,Condition!$D$17,IF(KG30&lt;=Condition!$F$18,Condition!$D$18,IF(KG30&gt;Condition!$E$19,Condition!$D$19,"")))))</f>
        <v>0</v>
      </c>
      <c r="KH73" s="85">
        <f>IF(KH30&lt;=Condition!$E$16,0,IF(KH30&lt;=Condition!$F$16,Condition!$D$16,IF(KH30&lt;=Condition!$F$17,Condition!$D$17,IF(KH30&lt;=Condition!$F$18,Condition!$D$18,IF(KH30&gt;Condition!$E$19,Condition!$D$19,"")))))</f>
        <v>0</v>
      </c>
      <c r="KI73" s="85">
        <f>IF(KI30&lt;=Condition!$E$16,0,IF(KI30&lt;=Condition!$F$16,Condition!$D$16,IF(KI30&lt;=Condition!$F$17,Condition!$D$17,IF(KI30&lt;=Condition!$F$18,Condition!$D$18,IF(KI30&gt;Condition!$E$19,Condition!$D$19,"")))))</f>
        <v>0</v>
      </c>
    </row>
    <row r="74" spans="2:295" x14ac:dyDescent="0.25">
      <c r="B74" s="15">
        <f t="shared" ref="B74:E74" si="29">B31</f>
        <v>19</v>
      </c>
      <c r="C74" s="25" t="str">
        <f t="shared" si="29"/>
        <v>CTG</v>
      </c>
      <c r="D74" s="25" t="str">
        <f t="shared" si="29"/>
        <v>Tapan Barua</v>
      </c>
      <c r="E74" s="26" t="str">
        <f t="shared" si="29"/>
        <v>1475</v>
      </c>
      <c r="F74" s="112">
        <f t="shared" si="4"/>
        <v>0</v>
      </c>
      <c r="G74" s="112">
        <f t="shared" si="5"/>
        <v>0</v>
      </c>
      <c r="H74" s="85">
        <f>IF(H31&lt;=Condition!$E$16,0,IF(H31&lt;=Condition!$F$16,Condition!$D$16,IF(H31&lt;=Condition!$F$17,Condition!$D$17,IF(H31&lt;=Condition!$F$18,Condition!$D$18,IF(H31&gt;Condition!$E$19,Condition!$D$19,"")))))</f>
        <v>0</v>
      </c>
      <c r="I74" s="85">
        <f>IF(I31&lt;=Condition!$E$16,0,IF(I31&lt;=Condition!$F$16,Condition!$D$16,IF(I31&lt;=Condition!$F$17,Condition!$D$17,IF(I31&lt;=Condition!$F$18,Condition!$D$18,IF(I31&gt;Condition!$E$19,Condition!$D$19,"")))))</f>
        <v>0</v>
      </c>
      <c r="J74" s="85">
        <f>IF(J31&lt;=Condition!$E$16,0,IF(J31&lt;=Condition!$F$16,Condition!$D$16,IF(J31&lt;=Condition!$F$17,Condition!$D$17,IF(J31&lt;=Condition!$F$18,Condition!$D$18,IF(J31&gt;Condition!$E$19,Condition!$D$19,"")))))</f>
        <v>0</v>
      </c>
      <c r="K74" s="85">
        <f>IF(K31&lt;=Condition!$E$16,0,IF(K31&lt;=Condition!$F$16,Condition!$D$16,IF(K31&lt;=Condition!$F$17,Condition!$D$17,IF(K31&lt;=Condition!$F$18,Condition!$D$18,IF(K31&gt;Condition!$E$19,Condition!$D$19,"")))))</f>
        <v>0</v>
      </c>
      <c r="L74" s="85">
        <f>IF(L31&lt;=Condition!$E$16,0,IF(L31&lt;=Condition!$F$16,Condition!$D$16,IF(L31&lt;=Condition!$F$17,Condition!$D$17,IF(L31&lt;=Condition!$F$18,Condition!$D$18,IF(L31&gt;Condition!$E$19,Condition!$D$19,"")))))</f>
        <v>0</v>
      </c>
      <c r="M74" s="85">
        <f>IF(M31&lt;=Condition!$E$16,0,IF(M31&lt;=Condition!$F$16,Condition!$D$16,IF(M31&lt;=Condition!$F$17,Condition!$D$17,IF(M31&lt;=Condition!$F$18,Condition!$D$18,IF(M31&gt;Condition!$E$19,Condition!$D$19,"")))))</f>
        <v>0</v>
      </c>
      <c r="N74" s="85">
        <f>IF(N31&lt;=Condition!$E$16,0,IF(N31&lt;=Condition!$F$16,Condition!$D$16,IF(N31&lt;=Condition!$F$17,Condition!$D$17,IF(N31&lt;=Condition!$F$18,Condition!$D$18,IF(N31&gt;Condition!$E$19,Condition!$D$19,"")))))</f>
        <v>0</v>
      </c>
      <c r="O74" s="85">
        <f>IF(O31&lt;=Condition!$E$16,0,IF(O31&lt;=Condition!$F$16,Condition!$D$16,IF(O31&lt;=Condition!$F$17,Condition!$D$17,IF(O31&lt;=Condition!$F$18,Condition!$D$18,IF(O31&gt;Condition!$E$19,Condition!$D$19,"")))))</f>
        <v>0</v>
      </c>
      <c r="P74" s="85">
        <f>IF(P31&lt;=Condition!$E$16,0,IF(P31&lt;=Condition!$F$16,Condition!$D$16,IF(P31&lt;=Condition!$F$17,Condition!$D$17,IF(P31&lt;=Condition!$F$18,Condition!$D$18,IF(P31&gt;Condition!$E$19,Condition!$D$19,"")))))</f>
        <v>0</v>
      </c>
      <c r="Q74" s="85">
        <f>IF(Q31&lt;=Condition!$E$16,0,IF(Q31&lt;=Condition!$F$16,Condition!$D$16,IF(Q31&lt;=Condition!$F$17,Condition!$D$17,IF(Q31&lt;=Condition!$F$18,Condition!$D$18,IF(Q31&gt;Condition!$E$19,Condition!$D$19,"")))))</f>
        <v>0</v>
      </c>
      <c r="R74" s="85">
        <f>IF(R31&lt;=Condition!$E$16,0,IF(R31&lt;=Condition!$F$16,Condition!$D$16,IF(R31&lt;=Condition!$F$17,Condition!$D$17,IF(R31&lt;=Condition!$F$18,Condition!$D$18,IF(R31&gt;Condition!$E$19,Condition!$D$19,"")))))</f>
        <v>0</v>
      </c>
      <c r="S74" s="85">
        <f>IF(S31&lt;=Condition!$E$16,0,IF(S31&lt;=Condition!$F$16,Condition!$D$16,IF(S31&lt;=Condition!$F$17,Condition!$D$17,IF(S31&lt;=Condition!$F$18,Condition!$D$18,IF(S31&gt;Condition!$E$19,Condition!$D$19,"")))))</f>
        <v>0</v>
      </c>
      <c r="T74" s="85">
        <f>IF(T31&lt;=Condition!$E$16,0,IF(T31&lt;=Condition!$F$16,Condition!$D$16,IF(T31&lt;=Condition!$F$17,Condition!$D$17,IF(T31&lt;=Condition!$F$18,Condition!$D$18,IF(T31&gt;Condition!$E$19,Condition!$D$19,"")))))</f>
        <v>0</v>
      </c>
      <c r="U74" s="85">
        <f>IF(U31&lt;=Condition!$E$16,0,IF(U31&lt;=Condition!$F$16,Condition!$D$16,IF(U31&lt;=Condition!$F$17,Condition!$D$17,IF(U31&lt;=Condition!$F$18,Condition!$D$18,IF(U31&gt;Condition!$E$19,Condition!$D$19,"")))))</f>
        <v>0</v>
      </c>
      <c r="V74" s="85">
        <f>IF(V31&lt;=Condition!$E$16,0,IF(V31&lt;=Condition!$F$16,Condition!$D$16,IF(V31&lt;=Condition!$F$17,Condition!$D$17,IF(V31&lt;=Condition!$F$18,Condition!$D$18,IF(V31&gt;Condition!$E$19,Condition!$D$19,"")))))</f>
        <v>0</v>
      </c>
      <c r="W74" s="85">
        <f>IF(W31&lt;=Condition!$E$16,0,IF(W31&lt;=Condition!$F$16,Condition!$D$16,IF(W31&lt;=Condition!$F$17,Condition!$D$17,IF(W31&lt;=Condition!$F$18,Condition!$D$18,IF(W31&gt;Condition!$E$19,Condition!$D$19,"")))))</f>
        <v>0</v>
      </c>
      <c r="X74" s="85">
        <f>IF(X31&lt;=Condition!$E$16,0,IF(X31&lt;=Condition!$F$16,Condition!$D$16,IF(X31&lt;=Condition!$F$17,Condition!$D$17,IF(X31&lt;=Condition!$F$18,Condition!$D$18,IF(X31&gt;Condition!$E$19,Condition!$D$19,"")))))</f>
        <v>0</v>
      </c>
      <c r="Y74" s="85">
        <f>IF(Y31&lt;=Condition!$E$16,0,IF(Y31&lt;=Condition!$F$16,Condition!$D$16,IF(Y31&lt;=Condition!$F$17,Condition!$D$17,IF(Y31&lt;=Condition!$F$18,Condition!$D$18,IF(Y31&gt;Condition!$E$19,Condition!$D$19,"")))))</f>
        <v>0</v>
      </c>
      <c r="Z74" s="85">
        <f>IF(Z31&lt;=Condition!$E$16,0,IF(Z31&lt;=Condition!$F$16,Condition!$D$16,IF(Z31&lt;=Condition!$F$17,Condition!$D$17,IF(Z31&lt;=Condition!$F$18,Condition!$D$18,IF(Z31&gt;Condition!$E$19,Condition!$D$19,"")))))</f>
        <v>0</v>
      </c>
      <c r="AA74" s="85">
        <f>IF(AA31&lt;=Condition!$E$16,0,IF(AA31&lt;=Condition!$F$16,Condition!$D$16,IF(AA31&lt;=Condition!$F$17,Condition!$D$17,IF(AA31&lt;=Condition!$F$18,Condition!$D$18,IF(AA31&gt;Condition!$E$19,Condition!$D$19,"")))))</f>
        <v>0</v>
      </c>
      <c r="AB74" s="85">
        <f>IF(AB31&lt;=Condition!$E$16,0,IF(AB31&lt;=Condition!$F$16,Condition!$D$16,IF(AB31&lt;=Condition!$F$17,Condition!$D$17,IF(AB31&lt;=Condition!$F$18,Condition!$D$18,IF(AB31&gt;Condition!$E$19,Condition!$D$19,"")))))</f>
        <v>0</v>
      </c>
      <c r="AC74" s="85">
        <f>IF(AC31&lt;=Condition!$E$16,0,IF(AC31&lt;=Condition!$F$16,Condition!$D$16,IF(AC31&lt;=Condition!$F$17,Condition!$D$17,IF(AC31&lt;=Condition!$F$18,Condition!$D$18,IF(AC31&gt;Condition!$E$19,Condition!$D$19,"")))))</f>
        <v>0</v>
      </c>
      <c r="AD74" s="85">
        <f>IF(AD31&lt;=Condition!$E$16,0,IF(AD31&lt;=Condition!$F$16,Condition!$D$16,IF(AD31&lt;=Condition!$F$17,Condition!$D$17,IF(AD31&lt;=Condition!$F$18,Condition!$D$18,IF(AD31&gt;Condition!$E$19,Condition!$D$19,"")))))</f>
        <v>0</v>
      </c>
      <c r="AE74" s="85">
        <f>IF(AE31&lt;=Condition!$E$16,0,IF(AE31&lt;=Condition!$F$16,Condition!$D$16,IF(AE31&lt;=Condition!$F$17,Condition!$D$17,IF(AE31&lt;=Condition!$F$18,Condition!$D$18,IF(AE31&gt;Condition!$E$19,Condition!$D$19,"")))))</f>
        <v>0</v>
      </c>
      <c r="AF74" s="85">
        <f>IF(AF31&lt;=Condition!$E$16,0,IF(AF31&lt;=Condition!$F$16,Condition!$D$16,IF(AF31&lt;=Condition!$F$17,Condition!$D$17,IF(AF31&lt;=Condition!$F$18,Condition!$D$18,IF(AF31&gt;Condition!$E$19,Condition!$D$19,"")))))</f>
        <v>0</v>
      </c>
      <c r="AG74" s="85">
        <f>IF(AG31&lt;=Condition!$E$16,0,IF(AG31&lt;=Condition!$F$16,Condition!$D$16,IF(AG31&lt;=Condition!$F$17,Condition!$D$17,IF(AG31&lt;=Condition!$F$18,Condition!$D$18,IF(AG31&gt;Condition!$E$19,Condition!$D$19,"")))))</f>
        <v>0</v>
      </c>
      <c r="AH74" s="85">
        <f>IF(AH31&lt;=Condition!$E$16,0,IF(AH31&lt;=Condition!$F$16,Condition!$D$16,IF(AH31&lt;=Condition!$F$17,Condition!$D$17,IF(AH31&lt;=Condition!$F$18,Condition!$D$18,IF(AH31&gt;Condition!$E$19,Condition!$D$19,"")))))</f>
        <v>0</v>
      </c>
      <c r="AI74" s="85">
        <f>IF(AI31&lt;=Condition!$E$16,0,IF(AI31&lt;=Condition!$F$16,Condition!$D$16,IF(AI31&lt;=Condition!$F$17,Condition!$D$17,IF(AI31&lt;=Condition!$F$18,Condition!$D$18,IF(AI31&gt;Condition!$E$19,Condition!$D$19,"")))))</f>
        <v>0</v>
      </c>
      <c r="AJ74" s="85">
        <f>IF(AJ31&lt;=Condition!$E$16,0,IF(AJ31&lt;=Condition!$F$16,Condition!$D$16,IF(AJ31&lt;=Condition!$F$17,Condition!$D$17,IF(AJ31&lt;=Condition!$F$18,Condition!$D$18,IF(AJ31&gt;Condition!$E$19,Condition!$D$19,"")))))</f>
        <v>0</v>
      </c>
      <c r="AK74" s="85">
        <f>IF(AK31&lt;=Condition!$E$16,0,IF(AK31&lt;=Condition!$F$16,Condition!$D$16,IF(AK31&lt;=Condition!$F$17,Condition!$D$17,IF(AK31&lt;=Condition!$F$18,Condition!$D$18,IF(AK31&gt;Condition!$E$19,Condition!$D$19,"")))))</f>
        <v>0</v>
      </c>
      <c r="AL74" s="85">
        <f>IF(AL31&lt;=Condition!$E$16,0,IF(AL31&lt;=Condition!$F$16,Condition!$D$16,IF(AL31&lt;=Condition!$F$17,Condition!$D$17,IF(AL31&lt;=Condition!$F$18,Condition!$D$18,IF(AL31&gt;Condition!$E$19,Condition!$D$19,"")))))</f>
        <v>0</v>
      </c>
      <c r="AM74" s="85">
        <f>IF(AM31&lt;=Condition!$E$16,0,IF(AM31&lt;=Condition!$F$16,Condition!$D$16,IF(AM31&lt;=Condition!$F$17,Condition!$D$17,IF(AM31&lt;=Condition!$F$18,Condition!$D$18,IF(AM31&gt;Condition!$E$19,Condition!$D$19,"")))))</f>
        <v>0</v>
      </c>
      <c r="AN74" s="85">
        <f>IF(AN31&lt;=Condition!$E$16,0,IF(AN31&lt;=Condition!$F$16,Condition!$D$16,IF(AN31&lt;=Condition!$F$17,Condition!$D$17,IF(AN31&lt;=Condition!$F$18,Condition!$D$18,IF(AN31&gt;Condition!$E$19,Condition!$D$19,"")))))</f>
        <v>0</v>
      </c>
      <c r="AO74" s="85">
        <f>IF(AO31&lt;=Condition!$E$16,0,IF(AO31&lt;=Condition!$F$16,Condition!$D$16,IF(AO31&lt;=Condition!$F$17,Condition!$D$17,IF(AO31&lt;=Condition!$F$18,Condition!$D$18,IF(AO31&gt;Condition!$E$19,Condition!$D$19,"")))))</f>
        <v>0</v>
      </c>
      <c r="AP74" s="85">
        <f>IF(AP31&lt;=Condition!$E$16,0,IF(AP31&lt;=Condition!$F$16,Condition!$D$16,IF(AP31&lt;=Condition!$F$17,Condition!$D$17,IF(AP31&lt;=Condition!$F$18,Condition!$D$18,IF(AP31&gt;Condition!$E$19,Condition!$D$19,"")))))</f>
        <v>0</v>
      </c>
      <c r="AQ74" s="85">
        <f>IF(AQ31&lt;=Condition!$E$16,0,IF(AQ31&lt;=Condition!$F$16,Condition!$D$16,IF(AQ31&lt;=Condition!$F$17,Condition!$D$17,IF(AQ31&lt;=Condition!$F$18,Condition!$D$18,IF(AQ31&gt;Condition!$E$19,Condition!$D$19,"")))))</f>
        <v>0</v>
      </c>
      <c r="AR74" s="85">
        <f>IF(AR31&lt;=Condition!$E$16,0,IF(AR31&lt;=Condition!$F$16,Condition!$D$16,IF(AR31&lt;=Condition!$F$17,Condition!$D$17,IF(AR31&lt;=Condition!$F$18,Condition!$D$18,IF(AR31&gt;Condition!$E$19,Condition!$D$19,"")))))</f>
        <v>0</v>
      </c>
      <c r="AS74" s="85">
        <f>IF(AS31&lt;=Condition!$E$16,0,IF(AS31&lt;=Condition!$F$16,Condition!$D$16,IF(AS31&lt;=Condition!$F$17,Condition!$D$17,IF(AS31&lt;=Condition!$F$18,Condition!$D$18,IF(AS31&gt;Condition!$E$19,Condition!$D$19,"")))))</f>
        <v>0</v>
      </c>
      <c r="AT74" s="85">
        <f>IF(AT31&lt;=Condition!$E$16,0,IF(AT31&lt;=Condition!$F$16,Condition!$D$16,IF(AT31&lt;=Condition!$F$17,Condition!$D$17,IF(AT31&lt;=Condition!$F$18,Condition!$D$18,IF(AT31&gt;Condition!$E$19,Condition!$D$19,"")))))</f>
        <v>0</v>
      </c>
      <c r="AU74" s="85">
        <f>IF(AU31&lt;=Condition!$E$16,0,IF(AU31&lt;=Condition!$F$16,Condition!$D$16,IF(AU31&lt;=Condition!$F$17,Condition!$D$17,IF(AU31&lt;=Condition!$F$18,Condition!$D$18,IF(AU31&gt;Condition!$E$19,Condition!$D$19,"")))))</f>
        <v>0</v>
      </c>
      <c r="AV74" s="85">
        <f>IF(AV31&lt;=Condition!$E$16,0,IF(AV31&lt;=Condition!$F$16,Condition!$D$16,IF(AV31&lt;=Condition!$F$17,Condition!$D$17,IF(AV31&lt;=Condition!$F$18,Condition!$D$18,IF(AV31&gt;Condition!$E$19,Condition!$D$19,"")))))</f>
        <v>0</v>
      </c>
      <c r="AW74" s="85">
        <f>IF(AW31&lt;=Condition!$E$16,0,IF(AW31&lt;=Condition!$F$16,Condition!$D$16,IF(AW31&lt;=Condition!$F$17,Condition!$D$17,IF(AW31&lt;=Condition!$F$18,Condition!$D$18,IF(AW31&gt;Condition!$E$19,Condition!$D$19,"")))))</f>
        <v>0</v>
      </c>
      <c r="AX74" s="85">
        <f>IF(AX31&lt;=Condition!$E$16,0,IF(AX31&lt;=Condition!$F$16,Condition!$D$16,IF(AX31&lt;=Condition!$F$17,Condition!$D$17,IF(AX31&lt;=Condition!$F$18,Condition!$D$18,IF(AX31&gt;Condition!$E$19,Condition!$D$19,"")))))</f>
        <v>0</v>
      </c>
      <c r="AY74" s="85">
        <f>IF(AY31&lt;=Condition!$E$16,0,IF(AY31&lt;=Condition!$F$16,Condition!$D$16,IF(AY31&lt;=Condition!$F$17,Condition!$D$17,IF(AY31&lt;=Condition!$F$18,Condition!$D$18,IF(AY31&gt;Condition!$E$19,Condition!$D$19,"")))))</f>
        <v>0</v>
      </c>
      <c r="AZ74" s="85">
        <f>IF(AZ31&lt;=Condition!$E$16,0,IF(AZ31&lt;=Condition!$F$16,Condition!$D$16,IF(AZ31&lt;=Condition!$F$17,Condition!$D$17,IF(AZ31&lt;=Condition!$F$18,Condition!$D$18,IF(AZ31&gt;Condition!$E$19,Condition!$D$19,"")))))</f>
        <v>0</v>
      </c>
      <c r="BA74" s="85">
        <f>IF(BA31&lt;=Condition!$E$16,0,IF(BA31&lt;=Condition!$F$16,Condition!$D$16,IF(BA31&lt;=Condition!$F$17,Condition!$D$17,IF(BA31&lt;=Condition!$F$18,Condition!$D$18,IF(BA31&gt;Condition!$E$19,Condition!$D$19,"")))))</f>
        <v>0</v>
      </c>
      <c r="BB74" s="85">
        <f>IF(BB31&lt;=Condition!$E$16,0,IF(BB31&lt;=Condition!$F$16,Condition!$D$16,IF(BB31&lt;=Condition!$F$17,Condition!$D$17,IF(BB31&lt;=Condition!$F$18,Condition!$D$18,IF(BB31&gt;Condition!$E$19,Condition!$D$19,"")))))</f>
        <v>0</v>
      </c>
      <c r="BC74" s="85">
        <f>IF(BC31&lt;=Condition!$E$16,0,IF(BC31&lt;=Condition!$F$16,Condition!$D$16,IF(BC31&lt;=Condition!$F$17,Condition!$D$17,IF(BC31&lt;=Condition!$F$18,Condition!$D$18,IF(BC31&gt;Condition!$E$19,Condition!$D$19,"")))))</f>
        <v>0</v>
      </c>
      <c r="BD74" s="85">
        <f>IF(BD31&lt;=Condition!$E$16,0,IF(BD31&lt;=Condition!$F$16,Condition!$D$16,IF(BD31&lt;=Condition!$F$17,Condition!$D$17,IF(BD31&lt;=Condition!$F$18,Condition!$D$18,IF(BD31&gt;Condition!$E$19,Condition!$D$19,"")))))</f>
        <v>0</v>
      </c>
      <c r="BE74" s="85">
        <f>IF(BE31&lt;=Condition!$E$16,0,IF(BE31&lt;=Condition!$F$16,Condition!$D$16,IF(BE31&lt;=Condition!$F$17,Condition!$D$17,IF(BE31&lt;=Condition!$F$18,Condition!$D$18,IF(BE31&gt;Condition!$E$19,Condition!$D$19,"")))))</f>
        <v>0</v>
      </c>
      <c r="BF74" s="85">
        <f>IF(BF31&lt;=Condition!$E$16,0,IF(BF31&lt;=Condition!$F$16,Condition!$D$16,IF(BF31&lt;=Condition!$F$17,Condition!$D$17,IF(BF31&lt;=Condition!$F$18,Condition!$D$18,IF(BF31&gt;Condition!$E$19,Condition!$D$19,"")))))</f>
        <v>0</v>
      </c>
      <c r="BG74" s="85">
        <f>IF(BG31&lt;=Condition!$E$16,0,IF(BG31&lt;=Condition!$F$16,Condition!$D$16,IF(BG31&lt;=Condition!$F$17,Condition!$D$17,IF(BG31&lt;=Condition!$F$18,Condition!$D$18,IF(BG31&gt;Condition!$E$19,Condition!$D$19,"")))))</f>
        <v>0</v>
      </c>
      <c r="BH74" s="85">
        <f>IF(BH31&lt;=Condition!$E$16,0,IF(BH31&lt;=Condition!$F$16,Condition!$D$16,IF(BH31&lt;=Condition!$F$17,Condition!$D$17,IF(BH31&lt;=Condition!$F$18,Condition!$D$18,IF(BH31&gt;Condition!$E$19,Condition!$D$19,"")))))</f>
        <v>0</v>
      </c>
      <c r="BI74" s="85">
        <f>IF(BI31&lt;=Condition!$E$16,0,IF(BI31&lt;=Condition!$F$16,Condition!$D$16,IF(BI31&lt;=Condition!$F$17,Condition!$D$17,IF(BI31&lt;=Condition!$F$18,Condition!$D$18,IF(BI31&gt;Condition!$E$19,Condition!$D$19,"")))))</f>
        <v>0</v>
      </c>
      <c r="BJ74" s="85">
        <f>IF(BJ31&lt;=Condition!$E$16,0,IF(BJ31&lt;=Condition!$F$16,Condition!$D$16,IF(BJ31&lt;=Condition!$F$17,Condition!$D$17,IF(BJ31&lt;=Condition!$F$18,Condition!$D$18,IF(BJ31&gt;Condition!$E$19,Condition!$D$19,"")))))</f>
        <v>0</v>
      </c>
      <c r="BK74" s="85">
        <f>IF(BK31&lt;=Condition!$E$16,0,IF(BK31&lt;=Condition!$F$16,Condition!$D$16,IF(BK31&lt;=Condition!$F$17,Condition!$D$17,IF(BK31&lt;=Condition!$F$18,Condition!$D$18,IF(BK31&gt;Condition!$E$19,Condition!$D$19,"")))))</f>
        <v>0</v>
      </c>
      <c r="BL74" s="85">
        <f>IF(BL31&lt;=Condition!$E$16,0,IF(BL31&lt;=Condition!$F$16,Condition!$D$16,IF(BL31&lt;=Condition!$F$17,Condition!$D$17,IF(BL31&lt;=Condition!$F$18,Condition!$D$18,IF(BL31&gt;Condition!$E$19,Condition!$D$19,"")))))</f>
        <v>0</v>
      </c>
      <c r="BM74" s="85">
        <f>IF(BM31&lt;=Condition!$E$16,0,IF(BM31&lt;=Condition!$F$16,Condition!$D$16,IF(BM31&lt;=Condition!$F$17,Condition!$D$17,IF(BM31&lt;=Condition!$F$18,Condition!$D$18,IF(BM31&gt;Condition!$E$19,Condition!$D$19,"")))))</f>
        <v>0</v>
      </c>
      <c r="BN74" s="85">
        <f>IF(BN31&lt;=Condition!$E$16,0,IF(BN31&lt;=Condition!$F$16,Condition!$D$16,IF(BN31&lt;=Condition!$F$17,Condition!$D$17,IF(BN31&lt;=Condition!$F$18,Condition!$D$18,IF(BN31&gt;Condition!$E$19,Condition!$D$19,"")))))</f>
        <v>0</v>
      </c>
      <c r="BO74" s="85">
        <f>IF(BO31&lt;=Condition!$E$16,0,IF(BO31&lt;=Condition!$F$16,Condition!$D$16,IF(BO31&lt;=Condition!$F$17,Condition!$D$17,IF(BO31&lt;=Condition!$F$18,Condition!$D$18,IF(BO31&gt;Condition!$E$19,Condition!$D$19,"")))))</f>
        <v>0</v>
      </c>
      <c r="BP74" s="85">
        <f>IF(BP31&lt;=Condition!$E$16,0,IF(BP31&lt;=Condition!$F$16,Condition!$D$16,IF(BP31&lt;=Condition!$F$17,Condition!$D$17,IF(BP31&lt;=Condition!$F$18,Condition!$D$18,IF(BP31&gt;Condition!$E$19,Condition!$D$19,"")))))</f>
        <v>0</v>
      </c>
      <c r="BQ74" s="85">
        <f>IF(BQ31&lt;=Condition!$E$16,0,IF(BQ31&lt;=Condition!$F$16,Condition!$D$16,IF(BQ31&lt;=Condition!$F$17,Condition!$D$17,IF(BQ31&lt;=Condition!$F$18,Condition!$D$18,IF(BQ31&gt;Condition!$E$19,Condition!$D$19,"")))))</f>
        <v>0</v>
      </c>
      <c r="BR74" s="85">
        <f>IF(BR31&lt;=Condition!$E$16,0,IF(BR31&lt;=Condition!$F$16,Condition!$D$16,IF(BR31&lt;=Condition!$F$17,Condition!$D$17,IF(BR31&lt;=Condition!$F$18,Condition!$D$18,IF(BR31&gt;Condition!$E$19,Condition!$D$19,"")))))</f>
        <v>0</v>
      </c>
      <c r="BS74" s="85">
        <f>IF(BS31&lt;=Condition!$E$16,0,IF(BS31&lt;=Condition!$F$16,Condition!$D$16,IF(BS31&lt;=Condition!$F$17,Condition!$D$17,IF(BS31&lt;=Condition!$F$18,Condition!$D$18,IF(BS31&gt;Condition!$E$19,Condition!$D$19,"")))))</f>
        <v>0</v>
      </c>
      <c r="BT74" s="85">
        <f>IF(BT31&lt;=Condition!$E$16,0,IF(BT31&lt;=Condition!$F$16,Condition!$D$16,IF(BT31&lt;=Condition!$F$17,Condition!$D$17,IF(BT31&lt;=Condition!$F$18,Condition!$D$18,IF(BT31&gt;Condition!$E$19,Condition!$D$19,"")))))</f>
        <v>0</v>
      </c>
      <c r="BU74" s="85">
        <f>IF(BU31&lt;=Condition!$E$16,0,IF(BU31&lt;=Condition!$F$16,Condition!$D$16,IF(BU31&lt;=Condition!$F$17,Condition!$D$17,IF(BU31&lt;=Condition!$F$18,Condition!$D$18,IF(BU31&gt;Condition!$E$19,Condition!$D$19,"")))))</f>
        <v>0</v>
      </c>
      <c r="BV74" s="85">
        <f>IF(BV31&lt;=Condition!$E$16,0,IF(BV31&lt;=Condition!$F$16,Condition!$D$16,IF(BV31&lt;=Condition!$F$17,Condition!$D$17,IF(BV31&lt;=Condition!$F$18,Condition!$D$18,IF(BV31&gt;Condition!$E$19,Condition!$D$19,"")))))</f>
        <v>0</v>
      </c>
      <c r="BW74" s="85">
        <f>IF(BW31&lt;=Condition!$E$16,0,IF(BW31&lt;=Condition!$F$16,Condition!$D$16,IF(BW31&lt;=Condition!$F$17,Condition!$D$17,IF(BW31&lt;=Condition!$F$18,Condition!$D$18,IF(BW31&gt;Condition!$E$19,Condition!$D$19,"")))))</f>
        <v>0</v>
      </c>
      <c r="BX74" s="85">
        <f>IF(BX31&lt;=Condition!$E$16,0,IF(BX31&lt;=Condition!$F$16,Condition!$D$16,IF(BX31&lt;=Condition!$F$17,Condition!$D$17,IF(BX31&lt;=Condition!$F$18,Condition!$D$18,IF(BX31&gt;Condition!$E$19,Condition!$D$19,"")))))</f>
        <v>0</v>
      </c>
      <c r="BY74" s="85">
        <f>IF(BY31&lt;=Condition!$E$16,0,IF(BY31&lt;=Condition!$F$16,Condition!$D$16,IF(BY31&lt;=Condition!$F$17,Condition!$D$17,IF(BY31&lt;=Condition!$F$18,Condition!$D$18,IF(BY31&gt;Condition!$E$19,Condition!$D$19,"")))))</f>
        <v>0</v>
      </c>
      <c r="BZ74" s="85">
        <f>IF(BZ31&lt;=Condition!$E$16,0,IF(BZ31&lt;=Condition!$F$16,Condition!$D$16,IF(BZ31&lt;=Condition!$F$17,Condition!$D$17,IF(BZ31&lt;=Condition!$F$18,Condition!$D$18,IF(BZ31&gt;Condition!$E$19,Condition!$D$19,"")))))</f>
        <v>0</v>
      </c>
      <c r="CA74" s="85">
        <f>IF(CA31&lt;=Condition!$E$16,0,IF(CA31&lt;=Condition!$F$16,Condition!$D$16,IF(CA31&lt;=Condition!$F$17,Condition!$D$17,IF(CA31&lt;=Condition!$F$18,Condition!$D$18,IF(CA31&gt;Condition!$E$19,Condition!$D$19,"")))))</f>
        <v>0</v>
      </c>
      <c r="CB74" s="85">
        <f>IF(CB31&lt;=Condition!$E$16,0,IF(CB31&lt;=Condition!$F$16,Condition!$D$16,IF(CB31&lt;=Condition!$F$17,Condition!$D$17,IF(CB31&lt;=Condition!$F$18,Condition!$D$18,IF(CB31&gt;Condition!$E$19,Condition!$D$19,"")))))</f>
        <v>0</v>
      </c>
      <c r="CC74" s="85">
        <f>IF(CC31&lt;=Condition!$E$16,0,IF(CC31&lt;=Condition!$F$16,Condition!$D$16,IF(CC31&lt;=Condition!$F$17,Condition!$D$17,IF(CC31&lt;=Condition!$F$18,Condition!$D$18,IF(CC31&gt;Condition!$E$19,Condition!$D$19,"")))))</f>
        <v>0</v>
      </c>
      <c r="CD74" s="85">
        <f>IF(CD31&lt;=Condition!$E$16,0,IF(CD31&lt;=Condition!$F$16,Condition!$D$16,IF(CD31&lt;=Condition!$F$17,Condition!$D$17,IF(CD31&lt;=Condition!$F$18,Condition!$D$18,IF(CD31&gt;Condition!$E$19,Condition!$D$19,"")))))</f>
        <v>0</v>
      </c>
      <c r="CE74" s="85">
        <f>IF(CE31&lt;=Condition!$E$16,0,IF(CE31&lt;=Condition!$F$16,Condition!$D$16,IF(CE31&lt;=Condition!$F$17,Condition!$D$17,IF(CE31&lt;=Condition!$F$18,Condition!$D$18,IF(CE31&gt;Condition!$E$19,Condition!$D$19,"")))))</f>
        <v>0</v>
      </c>
      <c r="CF74" s="85">
        <f>IF(CF31&lt;=Condition!$E$16,0,IF(CF31&lt;=Condition!$F$16,Condition!$D$16,IF(CF31&lt;=Condition!$F$17,Condition!$D$17,IF(CF31&lt;=Condition!$F$18,Condition!$D$18,IF(CF31&gt;Condition!$E$19,Condition!$D$19,"")))))</f>
        <v>0</v>
      </c>
      <c r="CG74" s="85">
        <f>IF(CG31&lt;=Condition!$E$16,0,IF(CG31&lt;=Condition!$F$16,Condition!$D$16,IF(CG31&lt;=Condition!$F$17,Condition!$D$17,IF(CG31&lt;=Condition!$F$18,Condition!$D$18,IF(CG31&gt;Condition!$E$19,Condition!$D$19,"")))))</f>
        <v>0</v>
      </c>
      <c r="CH74" s="85">
        <f>IF(CH31&lt;=Condition!$E$16,0,IF(CH31&lt;=Condition!$F$16,Condition!$D$16,IF(CH31&lt;=Condition!$F$17,Condition!$D$17,IF(CH31&lt;=Condition!$F$18,Condition!$D$18,IF(CH31&gt;Condition!$E$19,Condition!$D$19,"")))))</f>
        <v>0</v>
      </c>
      <c r="CI74" s="85">
        <f>IF(CI31&lt;=Condition!$E$16,0,IF(CI31&lt;=Condition!$F$16,Condition!$D$16,IF(CI31&lt;=Condition!$F$17,Condition!$D$17,IF(CI31&lt;=Condition!$F$18,Condition!$D$18,IF(CI31&gt;Condition!$E$19,Condition!$D$19,"")))))</f>
        <v>0</v>
      </c>
      <c r="CJ74" s="85">
        <f>IF(CJ31&lt;=Condition!$E$16,0,IF(CJ31&lt;=Condition!$F$16,Condition!$D$16,IF(CJ31&lt;=Condition!$F$17,Condition!$D$17,IF(CJ31&lt;=Condition!$F$18,Condition!$D$18,IF(CJ31&gt;Condition!$E$19,Condition!$D$19,"")))))</f>
        <v>0</v>
      </c>
      <c r="CK74" s="85">
        <f>IF(CK31&lt;=Condition!$E$16,0,IF(CK31&lt;=Condition!$F$16,Condition!$D$16,IF(CK31&lt;=Condition!$F$17,Condition!$D$17,IF(CK31&lt;=Condition!$F$18,Condition!$D$18,IF(CK31&gt;Condition!$E$19,Condition!$D$19,"")))))</f>
        <v>0</v>
      </c>
      <c r="CL74" s="85">
        <f>IF(CL31&lt;=Condition!$E$16,0,IF(CL31&lt;=Condition!$F$16,Condition!$D$16,IF(CL31&lt;=Condition!$F$17,Condition!$D$17,IF(CL31&lt;=Condition!$F$18,Condition!$D$18,IF(CL31&gt;Condition!$E$19,Condition!$D$19,"")))))</f>
        <v>0</v>
      </c>
      <c r="CM74" s="85">
        <f>IF(CM31&lt;=Condition!$E$16,0,IF(CM31&lt;=Condition!$F$16,Condition!$D$16,IF(CM31&lt;=Condition!$F$17,Condition!$D$17,IF(CM31&lt;=Condition!$F$18,Condition!$D$18,IF(CM31&gt;Condition!$E$19,Condition!$D$19,"")))))</f>
        <v>0</v>
      </c>
      <c r="CN74" s="85">
        <f>IF(CN31&lt;=Condition!$E$16,0,IF(CN31&lt;=Condition!$F$16,Condition!$D$16,IF(CN31&lt;=Condition!$F$17,Condition!$D$17,IF(CN31&lt;=Condition!$F$18,Condition!$D$18,IF(CN31&gt;Condition!$E$19,Condition!$D$19,"")))))</f>
        <v>0</v>
      </c>
      <c r="CO74" s="85">
        <f>IF(CO31&lt;=Condition!$E$16,0,IF(CO31&lt;=Condition!$F$16,Condition!$D$16,IF(CO31&lt;=Condition!$F$17,Condition!$D$17,IF(CO31&lt;=Condition!$F$18,Condition!$D$18,IF(CO31&gt;Condition!$E$19,Condition!$D$19,"")))))</f>
        <v>0</v>
      </c>
      <c r="CP74" s="85">
        <f>IF(CP31&lt;=Condition!$E$16,0,IF(CP31&lt;=Condition!$F$16,Condition!$D$16,IF(CP31&lt;=Condition!$F$17,Condition!$D$17,IF(CP31&lt;=Condition!$F$18,Condition!$D$18,IF(CP31&gt;Condition!$E$19,Condition!$D$19,"")))))</f>
        <v>0</v>
      </c>
      <c r="CQ74" s="85">
        <f>IF(CQ31&lt;=Condition!$E$16,0,IF(CQ31&lt;=Condition!$F$16,Condition!$D$16,IF(CQ31&lt;=Condition!$F$17,Condition!$D$17,IF(CQ31&lt;=Condition!$F$18,Condition!$D$18,IF(CQ31&gt;Condition!$E$19,Condition!$D$19,"")))))</f>
        <v>0</v>
      </c>
      <c r="CR74" s="85">
        <f>IF(CR31&lt;=Condition!$E$16,0,IF(CR31&lt;=Condition!$F$16,Condition!$D$16,IF(CR31&lt;=Condition!$F$17,Condition!$D$17,IF(CR31&lt;=Condition!$F$18,Condition!$D$18,IF(CR31&gt;Condition!$E$19,Condition!$D$19,"")))))</f>
        <v>0</v>
      </c>
      <c r="CS74" s="85">
        <f>IF(CS31&lt;=Condition!$E$16,0,IF(CS31&lt;=Condition!$F$16,Condition!$D$16,IF(CS31&lt;=Condition!$F$17,Condition!$D$17,IF(CS31&lt;=Condition!$F$18,Condition!$D$18,IF(CS31&gt;Condition!$E$19,Condition!$D$19,"")))))</f>
        <v>0</v>
      </c>
      <c r="CT74" s="85">
        <f>IF(CT31&lt;=Condition!$E$16,0,IF(CT31&lt;=Condition!$F$16,Condition!$D$16,IF(CT31&lt;=Condition!$F$17,Condition!$D$17,IF(CT31&lt;=Condition!$F$18,Condition!$D$18,IF(CT31&gt;Condition!$E$19,Condition!$D$19,"")))))</f>
        <v>0</v>
      </c>
      <c r="CU74" s="85">
        <f>IF(CU31&lt;=Condition!$E$16,0,IF(CU31&lt;=Condition!$F$16,Condition!$D$16,IF(CU31&lt;=Condition!$F$17,Condition!$D$17,IF(CU31&lt;=Condition!$F$18,Condition!$D$18,IF(CU31&gt;Condition!$E$19,Condition!$D$19,"")))))</f>
        <v>0</v>
      </c>
      <c r="CV74" s="85">
        <f>IF(CV31&lt;=Condition!$E$16,0,IF(CV31&lt;=Condition!$F$16,Condition!$D$16,IF(CV31&lt;=Condition!$F$17,Condition!$D$17,IF(CV31&lt;=Condition!$F$18,Condition!$D$18,IF(CV31&gt;Condition!$E$19,Condition!$D$19,"")))))</f>
        <v>0</v>
      </c>
      <c r="CW74" s="85">
        <f>IF(CW31&lt;=Condition!$E$16,0,IF(CW31&lt;=Condition!$F$16,Condition!$D$16,IF(CW31&lt;=Condition!$F$17,Condition!$D$17,IF(CW31&lt;=Condition!$F$18,Condition!$D$18,IF(CW31&gt;Condition!$E$19,Condition!$D$19,"")))))</f>
        <v>0</v>
      </c>
      <c r="CX74" s="85">
        <f>IF(CX31&lt;=Condition!$E$16,0,IF(CX31&lt;=Condition!$F$16,Condition!$D$16,IF(CX31&lt;=Condition!$F$17,Condition!$D$17,IF(CX31&lt;=Condition!$F$18,Condition!$D$18,IF(CX31&gt;Condition!$E$19,Condition!$D$19,"")))))</f>
        <v>0</v>
      </c>
      <c r="CY74" s="85">
        <f>IF(CY31&lt;=Condition!$E$16,0,IF(CY31&lt;=Condition!$F$16,Condition!$D$16,IF(CY31&lt;=Condition!$F$17,Condition!$D$17,IF(CY31&lt;=Condition!$F$18,Condition!$D$18,IF(CY31&gt;Condition!$E$19,Condition!$D$19,"")))))</f>
        <v>0</v>
      </c>
      <c r="CZ74" s="85">
        <f>IF(CZ31&lt;=Condition!$E$16,0,IF(CZ31&lt;=Condition!$F$16,Condition!$D$16,IF(CZ31&lt;=Condition!$F$17,Condition!$D$17,IF(CZ31&lt;=Condition!$F$18,Condition!$D$18,IF(CZ31&gt;Condition!$E$19,Condition!$D$19,"")))))</f>
        <v>0</v>
      </c>
      <c r="DA74" s="85">
        <f>IF(DA31&lt;=Condition!$E$16,0,IF(DA31&lt;=Condition!$F$16,Condition!$D$16,IF(DA31&lt;=Condition!$F$17,Condition!$D$17,IF(DA31&lt;=Condition!$F$18,Condition!$D$18,IF(DA31&gt;Condition!$E$19,Condition!$D$19,"")))))</f>
        <v>0</v>
      </c>
      <c r="DB74" s="85">
        <f>IF(DB31&lt;=Condition!$E$16,0,IF(DB31&lt;=Condition!$F$16,Condition!$D$16,IF(DB31&lt;=Condition!$F$17,Condition!$D$17,IF(DB31&lt;=Condition!$F$18,Condition!$D$18,IF(DB31&gt;Condition!$E$19,Condition!$D$19,"")))))</f>
        <v>0</v>
      </c>
      <c r="DC74" s="85">
        <f>IF(DC31&lt;=Condition!$E$16,0,IF(DC31&lt;=Condition!$F$16,Condition!$D$16,IF(DC31&lt;=Condition!$F$17,Condition!$D$17,IF(DC31&lt;=Condition!$F$18,Condition!$D$18,IF(DC31&gt;Condition!$E$19,Condition!$D$19,"")))))</f>
        <v>0</v>
      </c>
      <c r="DD74" s="85">
        <f>IF(DD31&lt;=Condition!$E$16,0,IF(DD31&lt;=Condition!$F$16,Condition!$D$16,IF(DD31&lt;=Condition!$F$17,Condition!$D$17,IF(DD31&lt;=Condition!$F$18,Condition!$D$18,IF(DD31&gt;Condition!$E$19,Condition!$D$19,"")))))</f>
        <v>0</v>
      </c>
      <c r="DE74" s="85">
        <f>IF(DE31&lt;=Condition!$E$16,0,IF(DE31&lt;=Condition!$F$16,Condition!$D$16,IF(DE31&lt;=Condition!$F$17,Condition!$D$17,IF(DE31&lt;=Condition!$F$18,Condition!$D$18,IF(DE31&gt;Condition!$E$19,Condition!$D$19,"")))))</f>
        <v>0</v>
      </c>
      <c r="DF74" s="85">
        <f>IF(DF31&lt;=Condition!$E$16,0,IF(DF31&lt;=Condition!$F$16,Condition!$D$16,IF(DF31&lt;=Condition!$F$17,Condition!$D$17,IF(DF31&lt;=Condition!$F$18,Condition!$D$18,IF(DF31&gt;Condition!$E$19,Condition!$D$19,"")))))</f>
        <v>0</v>
      </c>
      <c r="DG74" s="85">
        <f>IF(DG31&lt;=Condition!$E$16,0,IF(DG31&lt;=Condition!$F$16,Condition!$D$16,IF(DG31&lt;=Condition!$F$17,Condition!$D$17,IF(DG31&lt;=Condition!$F$18,Condition!$D$18,IF(DG31&gt;Condition!$E$19,Condition!$D$19,"")))))</f>
        <v>0</v>
      </c>
      <c r="DH74" s="85">
        <f>IF(DH31&lt;=Condition!$E$16,0,IF(DH31&lt;=Condition!$F$16,Condition!$D$16,IF(DH31&lt;=Condition!$F$17,Condition!$D$17,IF(DH31&lt;=Condition!$F$18,Condition!$D$18,IF(DH31&gt;Condition!$E$19,Condition!$D$19,"")))))</f>
        <v>0</v>
      </c>
      <c r="DI74" s="85">
        <f>IF(DI31&lt;=Condition!$E$16,0,IF(DI31&lt;=Condition!$F$16,Condition!$D$16,IF(DI31&lt;=Condition!$F$17,Condition!$D$17,IF(DI31&lt;=Condition!$F$18,Condition!$D$18,IF(DI31&gt;Condition!$E$19,Condition!$D$19,"")))))</f>
        <v>0</v>
      </c>
      <c r="DJ74" s="85">
        <f>IF(DJ31&lt;=Condition!$E$16,0,IF(DJ31&lt;=Condition!$F$16,Condition!$D$16,IF(DJ31&lt;=Condition!$F$17,Condition!$D$17,IF(DJ31&lt;=Condition!$F$18,Condition!$D$18,IF(DJ31&gt;Condition!$E$19,Condition!$D$19,"")))))</f>
        <v>0</v>
      </c>
      <c r="DK74" s="85">
        <f>IF(DK31&lt;=Condition!$E$16,0,IF(DK31&lt;=Condition!$F$16,Condition!$D$16,IF(DK31&lt;=Condition!$F$17,Condition!$D$17,IF(DK31&lt;=Condition!$F$18,Condition!$D$18,IF(DK31&gt;Condition!$E$19,Condition!$D$19,"")))))</f>
        <v>0</v>
      </c>
      <c r="DL74" s="85">
        <f>IF(DL31&lt;=Condition!$E$16,0,IF(DL31&lt;=Condition!$F$16,Condition!$D$16,IF(DL31&lt;=Condition!$F$17,Condition!$D$17,IF(DL31&lt;=Condition!$F$18,Condition!$D$18,IF(DL31&gt;Condition!$E$19,Condition!$D$19,"")))))</f>
        <v>0</v>
      </c>
      <c r="DM74" s="85">
        <f>IF(DM31&lt;=Condition!$E$16,0,IF(DM31&lt;=Condition!$F$16,Condition!$D$16,IF(DM31&lt;=Condition!$F$17,Condition!$D$17,IF(DM31&lt;=Condition!$F$18,Condition!$D$18,IF(DM31&gt;Condition!$E$19,Condition!$D$19,"")))))</f>
        <v>0</v>
      </c>
      <c r="DN74" s="85">
        <f>IF(DN31&lt;=Condition!$E$16,0,IF(DN31&lt;=Condition!$F$16,Condition!$D$16,IF(DN31&lt;=Condition!$F$17,Condition!$D$17,IF(DN31&lt;=Condition!$F$18,Condition!$D$18,IF(DN31&gt;Condition!$E$19,Condition!$D$19,"")))))</f>
        <v>0</v>
      </c>
      <c r="DO74" s="85">
        <f>IF(DO31&lt;=Condition!$E$16,0,IF(DO31&lt;=Condition!$F$16,Condition!$D$16,IF(DO31&lt;=Condition!$F$17,Condition!$D$17,IF(DO31&lt;=Condition!$F$18,Condition!$D$18,IF(DO31&gt;Condition!$E$19,Condition!$D$19,"")))))</f>
        <v>0</v>
      </c>
      <c r="DP74" s="85">
        <f>IF(DP31&lt;=Condition!$E$16,0,IF(DP31&lt;=Condition!$F$16,Condition!$D$16,IF(DP31&lt;=Condition!$F$17,Condition!$D$17,IF(DP31&lt;=Condition!$F$18,Condition!$D$18,IF(DP31&gt;Condition!$E$19,Condition!$D$19,"")))))</f>
        <v>0</v>
      </c>
      <c r="DQ74" s="85">
        <f>IF(DQ31&lt;=Condition!$E$16,0,IF(DQ31&lt;=Condition!$F$16,Condition!$D$16,IF(DQ31&lt;=Condition!$F$17,Condition!$D$17,IF(DQ31&lt;=Condition!$F$18,Condition!$D$18,IF(DQ31&gt;Condition!$E$19,Condition!$D$19,"")))))</f>
        <v>0</v>
      </c>
      <c r="DR74" s="85">
        <f>IF(DR31&lt;=Condition!$E$16,0,IF(DR31&lt;=Condition!$F$16,Condition!$D$16,IF(DR31&lt;=Condition!$F$17,Condition!$D$17,IF(DR31&lt;=Condition!$F$18,Condition!$D$18,IF(DR31&gt;Condition!$E$19,Condition!$D$19,"")))))</f>
        <v>0</v>
      </c>
      <c r="DS74" s="85">
        <f>IF(DS31&lt;=Condition!$E$16,0,IF(DS31&lt;=Condition!$F$16,Condition!$D$16,IF(DS31&lt;=Condition!$F$17,Condition!$D$17,IF(DS31&lt;=Condition!$F$18,Condition!$D$18,IF(DS31&gt;Condition!$E$19,Condition!$D$19,"")))))</f>
        <v>0</v>
      </c>
      <c r="DT74" s="85">
        <f>IF(DT31&lt;=Condition!$E$16,0,IF(DT31&lt;=Condition!$F$16,Condition!$D$16,IF(DT31&lt;=Condition!$F$17,Condition!$D$17,IF(DT31&lt;=Condition!$F$18,Condition!$D$18,IF(DT31&gt;Condition!$E$19,Condition!$D$19,"")))))</f>
        <v>0</v>
      </c>
      <c r="DU74" s="85">
        <f>IF(DU31&lt;=Condition!$E$16,0,IF(DU31&lt;=Condition!$F$16,Condition!$D$16,IF(DU31&lt;=Condition!$F$17,Condition!$D$17,IF(DU31&lt;=Condition!$F$18,Condition!$D$18,IF(DU31&gt;Condition!$E$19,Condition!$D$19,"")))))</f>
        <v>0</v>
      </c>
      <c r="DV74" s="85">
        <f>IF(DV31&lt;=Condition!$E$16,0,IF(DV31&lt;=Condition!$F$16,Condition!$D$16,IF(DV31&lt;=Condition!$F$17,Condition!$D$17,IF(DV31&lt;=Condition!$F$18,Condition!$D$18,IF(DV31&gt;Condition!$E$19,Condition!$D$19,"")))))</f>
        <v>0</v>
      </c>
      <c r="DW74" s="85">
        <f>IF(DW31&lt;=Condition!$E$16,0,IF(DW31&lt;=Condition!$F$16,Condition!$D$16,IF(DW31&lt;=Condition!$F$17,Condition!$D$17,IF(DW31&lt;=Condition!$F$18,Condition!$D$18,IF(DW31&gt;Condition!$E$19,Condition!$D$19,"")))))</f>
        <v>0</v>
      </c>
      <c r="DX74" s="85">
        <f>IF(DX31&lt;=Condition!$E$16,0,IF(DX31&lt;=Condition!$F$16,Condition!$D$16,IF(DX31&lt;=Condition!$F$17,Condition!$D$17,IF(DX31&lt;=Condition!$F$18,Condition!$D$18,IF(DX31&gt;Condition!$E$19,Condition!$D$19,"")))))</f>
        <v>0</v>
      </c>
      <c r="DY74" s="85">
        <f>IF(DY31&lt;=Condition!$E$16,0,IF(DY31&lt;=Condition!$F$16,Condition!$D$16,IF(DY31&lt;=Condition!$F$17,Condition!$D$17,IF(DY31&lt;=Condition!$F$18,Condition!$D$18,IF(DY31&gt;Condition!$E$19,Condition!$D$19,"")))))</f>
        <v>0</v>
      </c>
      <c r="DZ74" s="85">
        <f>IF(DZ31&lt;=Condition!$E$16,0,IF(DZ31&lt;=Condition!$F$16,Condition!$D$16,IF(DZ31&lt;=Condition!$F$17,Condition!$D$17,IF(DZ31&lt;=Condition!$F$18,Condition!$D$18,IF(DZ31&gt;Condition!$E$19,Condition!$D$19,"")))))</f>
        <v>0</v>
      </c>
      <c r="EA74" s="85">
        <f>IF(EA31&lt;=Condition!$E$16,0,IF(EA31&lt;=Condition!$F$16,Condition!$D$16,IF(EA31&lt;=Condition!$F$17,Condition!$D$17,IF(EA31&lt;=Condition!$F$18,Condition!$D$18,IF(EA31&gt;Condition!$E$19,Condition!$D$19,"")))))</f>
        <v>0</v>
      </c>
      <c r="EB74" s="85">
        <f>IF(EB31&lt;=Condition!$E$16,0,IF(EB31&lt;=Condition!$F$16,Condition!$D$16,IF(EB31&lt;=Condition!$F$17,Condition!$D$17,IF(EB31&lt;=Condition!$F$18,Condition!$D$18,IF(EB31&gt;Condition!$E$19,Condition!$D$19,"")))))</f>
        <v>0</v>
      </c>
      <c r="EC74" s="85">
        <f>IF(EC31&lt;=Condition!$E$16,0,IF(EC31&lt;=Condition!$F$16,Condition!$D$16,IF(EC31&lt;=Condition!$F$17,Condition!$D$17,IF(EC31&lt;=Condition!$F$18,Condition!$D$18,IF(EC31&gt;Condition!$E$19,Condition!$D$19,"")))))</f>
        <v>0</v>
      </c>
      <c r="ED74" s="85">
        <f>IF(ED31&lt;=Condition!$E$16,0,IF(ED31&lt;=Condition!$F$16,Condition!$D$16,IF(ED31&lt;=Condition!$F$17,Condition!$D$17,IF(ED31&lt;=Condition!$F$18,Condition!$D$18,IF(ED31&gt;Condition!$E$19,Condition!$D$19,"")))))</f>
        <v>0</v>
      </c>
      <c r="EE74" s="85">
        <f>IF(EE31&lt;=Condition!$E$16,0,IF(EE31&lt;=Condition!$F$16,Condition!$D$16,IF(EE31&lt;=Condition!$F$17,Condition!$D$17,IF(EE31&lt;=Condition!$F$18,Condition!$D$18,IF(EE31&gt;Condition!$E$19,Condition!$D$19,"")))))</f>
        <v>0</v>
      </c>
      <c r="EF74" s="85">
        <f>IF(EF31&lt;=Condition!$E$16,0,IF(EF31&lt;=Condition!$F$16,Condition!$D$16,IF(EF31&lt;=Condition!$F$17,Condition!$D$17,IF(EF31&lt;=Condition!$F$18,Condition!$D$18,IF(EF31&gt;Condition!$E$19,Condition!$D$19,"")))))</f>
        <v>0</v>
      </c>
      <c r="EG74" s="85">
        <f>IF(EG31&lt;=Condition!$E$16,0,IF(EG31&lt;=Condition!$F$16,Condition!$D$16,IF(EG31&lt;=Condition!$F$17,Condition!$D$17,IF(EG31&lt;=Condition!$F$18,Condition!$D$18,IF(EG31&gt;Condition!$E$19,Condition!$D$19,"")))))</f>
        <v>0</v>
      </c>
      <c r="EH74" s="85">
        <f>IF(EH31&lt;=Condition!$E$16,0,IF(EH31&lt;=Condition!$F$16,Condition!$D$16,IF(EH31&lt;=Condition!$F$17,Condition!$D$17,IF(EH31&lt;=Condition!$F$18,Condition!$D$18,IF(EH31&gt;Condition!$E$19,Condition!$D$19,"")))))</f>
        <v>0</v>
      </c>
      <c r="EI74" s="85">
        <f>IF(EI31&lt;=Condition!$E$16,0,IF(EI31&lt;=Condition!$F$16,Condition!$D$16,IF(EI31&lt;=Condition!$F$17,Condition!$D$17,IF(EI31&lt;=Condition!$F$18,Condition!$D$18,IF(EI31&gt;Condition!$E$19,Condition!$D$19,"")))))</f>
        <v>0</v>
      </c>
      <c r="EJ74" s="85">
        <f>IF(EJ31&lt;=Condition!$E$16,0,IF(EJ31&lt;=Condition!$F$16,Condition!$D$16,IF(EJ31&lt;=Condition!$F$17,Condition!$D$17,IF(EJ31&lt;=Condition!$F$18,Condition!$D$18,IF(EJ31&gt;Condition!$E$19,Condition!$D$19,"")))))</f>
        <v>0</v>
      </c>
      <c r="EK74" s="85">
        <f>IF(EK31&lt;=Condition!$E$16,0,IF(EK31&lt;=Condition!$F$16,Condition!$D$16,IF(EK31&lt;=Condition!$F$17,Condition!$D$17,IF(EK31&lt;=Condition!$F$18,Condition!$D$18,IF(EK31&gt;Condition!$E$19,Condition!$D$19,"")))))</f>
        <v>0</v>
      </c>
      <c r="EL74" s="85">
        <f>IF(EL31&lt;=Condition!$E$16,0,IF(EL31&lt;=Condition!$F$16,Condition!$D$16,IF(EL31&lt;=Condition!$F$17,Condition!$D$17,IF(EL31&lt;=Condition!$F$18,Condition!$D$18,IF(EL31&gt;Condition!$E$19,Condition!$D$19,"")))))</f>
        <v>0</v>
      </c>
      <c r="EM74" s="85">
        <f>IF(EM31&lt;=Condition!$E$16,0,IF(EM31&lt;=Condition!$F$16,Condition!$D$16,IF(EM31&lt;=Condition!$F$17,Condition!$D$17,IF(EM31&lt;=Condition!$F$18,Condition!$D$18,IF(EM31&gt;Condition!$E$19,Condition!$D$19,"")))))</f>
        <v>0</v>
      </c>
      <c r="EN74" s="85">
        <f>IF(EN31&lt;=Condition!$E$16,0,IF(EN31&lt;=Condition!$F$16,Condition!$D$16,IF(EN31&lt;=Condition!$F$17,Condition!$D$17,IF(EN31&lt;=Condition!$F$18,Condition!$D$18,IF(EN31&gt;Condition!$E$19,Condition!$D$19,"")))))</f>
        <v>0</v>
      </c>
      <c r="EO74" s="85">
        <f>IF(EO31&lt;=Condition!$E$16,0,IF(EO31&lt;=Condition!$F$16,Condition!$D$16,IF(EO31&lt;=Condition!$F$17,Condition!$D$17,IF(EO31&lt;=Condition!$F$18,Condition!$D$18,IF(EO31&gt;Condition!$E$19,Condition!$D$19,"")))))</f>
        <v>0</v>
      </c>
      <c r="EP74" s="85">
        <f>IF(EP31&lt;=Condition!$E$16,0,IF(EP31&lt;=Condition!$F$16,Condition!$D$16,IF(EP31&lt;=Condition!$F$17,Condition!$D$17,IF(EP31&lt;=Condition!$F$18,Condition!$D$18,IF(EP31&gt;Condition!$E$19,Condition!$D$19,"")))))</f>
        <v>0</v>
      </c>
      <c r="EQ74" s="85">
        <f>IF(EQ31&lt;=Condition!$E$16,0,IF(EQ31&lt;=Condition!$F$16,Condition!$D$16,IF(EQ31&lt;=Condition!$F$17,Condition!$D$17,IF(EQ31&lt;=Condition!$F$18,Condition!$D$18,IF(EQ31&gt;Condition!$E$19,Condition!$D$19,"")))))</f>
        <v>0</v>
      </c>
      <c r="ER74" s="85">
        <f>IF(ER31&lt;=Condition!$E$16,0,IF(ER31&lt;=Condition!$F$16,Condition!$D$16,IF(ER31&lt;=Condition!$F$17,Condition!$D$17,IF(ER31&lt;=Condition!$F$18,Condition!$D$18,IF(ER31&gt;Condition!$E$19,Condition!$D$19,"")))))</f>
        <v>0</v>
      </c>
      <c r="ES74" s="85">
        <f>IF(ES31&lt;=Condition!$E$16,0,IF(ES31&lt;=Condition!$F$16,Condition!$D$16,IF(ES31&lt;=Condition!$F$17,Condition!$D$17,IF(ES31&lt;=Condition!$F$18,Condition!$D$18,IF(ES31&gt;Condition!$E$19,Condition!$D$19,"")))))</f>
        <v>0</v>
      </c>
      <c r="ET74" s="85">
        <f>IF(ET31&lt;=Condition!$E$16,0,IF(ET31&lt;=Condition!$F$16,Condition!$D$16,IF(ET31&lt;=Condition!$F$17,Condition!$D$17,IF(ET31&lt;=Condition!$F$18,Condition!$D$18,IF(ET31&gt;Condition!$E$19,Condition!$D$19,"")))))</f>
        <v>0</v>
      </c>
      <c r="EU74" s="85">
        <f>IF(EU31&lt;=Condition!$E$16,0,IF(EU31&lt;=Condition!$F$16,Condition!$D$16,IF(EU31&lt;=Condition!$F$17,Condition!$D$17,IF(EU31&lt;=Condition!$F$18,Condition!$D$18,IF(EU31&gt;Condition!$E$19,Condition!$D$19,"")))))</f>
        <v>0</v>
      </c>
      <c r="EV74" s="85">
        <f>IF(EV31&lt;=Condition!$E$16,0,IF(EV31&lt;=Condition!$F$16,Condition!$D$16,IF(EV31&lt;=Condition!$F$17,Condition!$D$17,IF(EV31&lt;=Condition!$F$18,Condition!$D$18,IF(EV31&gt;Condition!$E$19,Condition!$D$19,"")))))</f>
        <v>0</v>
      </c>
      <c r="EW74" s="85">
        <f>IF(EW31&lt;=Condition!$E$16,0,IF(EW31&lt;=Condition!$F$16,Condition!$D$16,IF(EW31&lt;=Condition!$F$17,Condition!$D$17,IF(EW31&lt;=Condition!$F$18,Condition!$D$18,IF(EW31&gt;Condition!$E$19,Condition!$D$19,"")))))</f>
        <v>0</v>
      </c>
      <c r="EX74" s="85">
        <f>IF(EX31&lt;=Condition!$E$16,0,IF(EX31&lt;=Condition!$F$16,Condition!$D$16,IF(EX31&lt;=Condition!$F$17,Condition!$D$17,IF(EX31&lt;=Condition!$F$18,Condition!$D$18,IF(EX31&gt;Condition!$E$19,Condition!$D$19,"")))))</f>
        <v>0</v>
      </c>
      <c r="EY74" s="85">
        <f>IF(EY31&lt;=Condition!$E$16,0,IF(EY31&lt;=Condition!$F$16,Condition!$D$16,IF(EY31&lt;=Condition!$F$17,Condition!$D$17,IF(EY31&lt;=Condition!$F$18,Condition!$D$18,IF(EY31&gt;Condition!$E$19,Condition!$D$19,"")))))</f>
        <v>0</v>
      </c>
      <c r="EZ74" s="85">
        <f>IF(EZ31&lt;=Condition!$E$16,0,IF(EZ31&lt;=Condition!$F$16,Condition!$D$16,IF(EZ31&lt;=Condition!$F$17,Condition!$D$17,IF(EZ31&lt;=Condition!$F$18,Condition!$D$18,IF(EZ31&gt;Condition!$E$19,Condition!$D$19,"")))))</f>
        <v>0</v>
      </c>
      <c r="FA74" s="85">
        <f>IF(FA31&lt;=Condition!$E$16,0,IF(FA31&lt;=Condition!$F$16,Condition!$D$16,IF(FA31&lt;=Condition!$F$17,Condition!$D$17,IF(FA31&lt;=Condition!$F$18,Condition!$D$18,IF(FA31&gt;Condition!$E$19,Condition!$D$19,"")))))</f>
        <v>0</v>
      </c>
      <c r="FB74" s="85">
        <f>IF(FB31&lt;=Condition!$E$16,0,IF(FB31&lt;=Condition!$F$16,Condition!$D$16,IF(FB31&lt;=Condition!$F$17,Condition!$D$17,IF(FB31&lt;=Condition!$F$18,Condition!$D$18,IF(FB31&gt;Condition!$E$19,Condition!$D$19,"")))))</f>
        <v>0</v>
      </c>
      <c r="FC74" s="85">
        <f>IF(FC31&lt;=Condition!$E$16,0,IF(FC31&lt;=Condition!$F$16,Condition!$D$16,IF(FC31&lt;=Condition!$F$17,Condition!$D$17,IF(FC31&lt;=Condition!$F$18,Condition!$D$18,IF(FC31&gt;Condition!$E$19,Condition!$D$19,"")))))</f>
        <v>0</v>
      </c>
      <c r="FD74" s="85">
        <f>IF(FD31&lt;=Condition!$E$16,0,IF(FD31&lt;=Condition!$F$16,Condition!$D$16,IF(FD31&lt;=Condition!$F$17,Condition!$D$17,IF(FD31&lt;=Condition!$F$18,Condition!$D$18,IF(FD31&gt;Condition!$E$19,Condition!$D$19,"")))))</f>
        <v>0</v>
      </c>
      <c r="FE74" s="85">
        <f>IF(FE31&lt;=Condition!$E$16,0,IF(FE31&lt;=Condition!$F$16,Condition!$D$16,IF(FE31&lt;=Condition!$F$17,Condition!$D$17,IF(FE31&lt;=Condition!$F$18,Condition!$D$18,IF(FE31&gt;Condition!$E$19,Condition!$D$19,"")))))</f>
        <v>0</v>
      </c>
      <c r="FF74" s="85">
        <f>IF(FF31&lt;=Condition!$E$16,0,IF(FF31&lt;=Condition!$F$16,Condition!$D$16,IF(FF31&lt;=Condition!$F$17,Condition!$D$17,IF(FF31&lt;=Condition!$F$18,Condition!$D$18,IF(FF31&gt;Condition!$E$19,Condition!$D$19,"")))))</f>
        <v>0</v>
      </c>
      <c r="FG74" s="85">
        <f>IF(FG31&lt;=Condition!$E$16,0,IF(FG31&lt;=Condition!$F$16,Condition!$D$16,IF(FG31&lt;=Condition!$F$17,Condition!$D$17,IF(FG31&lt;=Condition!$F$18,Condition!$D$18,IF(FG31&gt;Condition!$E$19,Condition!$D$19,"")))))</f>
        <v>0</v>
      </c>
      <c r="FH74" s="85">
        <f>IF(FH31&lt;=Condition!$E$16,0,IF(FH31&lt;=Condition!$F$16,Condition!$D$16,IF(FH31&lt;=Condition!$F$17,Condition!$D$17,IF(FH31&lt;=Condition!$F$18,Condition!$D$18,IF(FH31&gt;Condition!$E$19,Condition!$D$19,"")))))</f>
        <v>0</v>
      </c>
      <c r="FI74" s="85">
        <f>IF(FI31&lt;=Condition!$E$16,0,IF(FI31&lt;=Condition!$F$16,Condition!$D$16,IF(FI31&lt;=Condition!$F$17,Condition!$D$17,IF(FI31&lt;=Condition!$F$18,Condition!$D$18,IF(FI31&gt;Condition!$E$19,Condition!$D$19,"")))))</f>
        <v>0</v>
      </c>
      <c r="FJ74" s="85">
        <f>IF(FJ31&lt;=Condition!$E$16,0,IF(FJ31&lt;=Condition!$F$16,Condition!$D$16,IF(FJ31&lt;=Condition!$F$17,Condition!$D$17,IF(FJ31&lt;=Condition!$F$18,Condition!$D$18,IF(FJ31&gt;Condition!$E$19,Condition!$D$19,"")))))</f>
        <v>0</v>
      </c>
      <c r="FK74" s="85">
        <f>IF(FK31&lt;=Condition!$E$16,0,IF(FK31&lt;=Condition!$F$16,Condition!$D$16,IF(FK31&lt;=Condition!$F$17,Condition!$D$17,IF(FK31&lt;=Condition!$F$18,Condition!$D$18,IF(FK31&gt;Condition!$E$19,Condition!$D$19,"")))))</f>
        <v>0</v>
      </c>
      <c r="FL74" s="85">
        <f>IF(FL31&lt;=Condition!$E$16,0,IF(FL31&lt;=Condition!$F$16,Condition!$D$16,IF(FL31&lt;=Condition!$F$17,Condition!$D$17,IF(FL31&lt;=Condition!$F$18,Condition!$D$18,IF(FL31&gt;Condition!$E$19,Condition!$D$19,"")))))</f>
        <v>0</v>
      </c>
      <c r="FM74" s="85">
        <f>IF(FM31&lt;=Condition!$E$16,0,IF(FM31&lt;=Condition!$F$16,Condition!$D$16,IF(FM31&lt;=Condition!$F$17,Condition!$D$17,IF(FM31&lt;=Condition!$F$18,Condition!$D$18,IF(FM31&gt;Condition!$E$19,Condition!$D$19,"")))))</f>
        <v>0</v>
      </c>
      <c r="FN74" s="85">
        <f>IF(FN31&lt;=Condition!$E$16,0,IF(FN31&lt;=Condition!$F$16,Condition!$D$16,IF(FN31&lt;=Condition!$F$17,Condition!$D$17,IF(FN31&lt;=Condition!$F$18,Condition!$D$18,IF(FN31&gt;Condition!$E$19,Condition!$D$19,"")))))</f>
        <v>0</v>
      </c>
      <c r="FO74" s="85">
        <f>IF(FO31&lt;=Condition!$E$16,0,IF(FO31&lt;=Condition!$F$16,Condition!$D$16,IF(FO31&lt;=Condition!$F$17,Condition!$D$17,IF(FO31&lt;=Condition!$F$18,Condition!$D$18,IF(FO31&gt;Condition!$E$19,Condition!$D$19,"")))))</f>
        <v>0</v>
      </c>
      <c r="FP74" s="85">
        <f>IF(FP31&lt;=Condition!$E$16,0,IF(FP31&lt;=Condition!$F$16,Condition!$D$16,IF(FP31&lt;=Condition!$F$17,Condition!$D$17,IF(FP31&lt;=Condition!$F$18,Condition!$D$18,IF(FP31&gt;Condition!$E$19,Condition!$D$19,"")))))</f>
        <v>0</v>
      </c>
      <c r="FQ74" s="85">
        <f>IF(FQ31&lt;=Condition!$E$16,0,IF(FQ31&lt;=Condition!$F$16,Condition!$D$16,IF(FQ31&lt;=Condition!$F$17,Condition!$D$17,IF(FQ31&lt;=Condition!$F$18,Condition!$D$18,IF(FQ31&gt;Condition!$E$19,Condition!$D$19,"")))))</f>
        <v>0</v>
      </c>
      <c r="FR74" s="85">
        <f>IF(FR31&lt;=Condition!$E$16,0,IF(FR31&lt;=Condition!$F$16,Condition!$D$16,IF(FR31&lt;=Condition!$F$17,Condition!$D$17,IF(FR31&lt;=Condition!$F$18,Condition!$D$18,IF(FR31&gt;Condition!$E$19,Condition!$D$19,"")))))</f>
        <v>0</v>
      </c>
      <c r="FS74" s="85">
        <f>IF(FS31&lt;=Condition!$E$16,0,IF(FS31&lt;=Condition!$F$16,Condition!$D$16,IF(FS31&lt;=Condition!$F$17,Condition!$D$17,IF(FS31&lt;=Condition!$F$18,Condition!$D$18,IF(FS31&gt;Condition!$E$19,Condition!$D$19,"")))))</f>
        <v>0</v>
      </c>
      <c r="FT74" s="85">
        <f>IF(FT31&lt;=Condition!$E$16,0,IF(FT31&lt;=Condition!$F$16,Condition!$D$16,IF(FT31&lt;=Condition!$F$17,Condition!$D$17,IF(FT31&lt;=Condition!$F$18,Condition!$D$18,IF(FT31&gt;Condition!$E$19,Condition!$D$19,"")))))</f>
        <v>0</v>
      </c>
      <c r="FU74" s="85">
        <f>IF(FU31&lt;=Condition!$E$16,0,IF(FU31&lt;=Condition!$F$16,Condition!$D$16,IF(FU31&lt;=Condition!$F$17,Condition!$D$17,IF(FU31&lt;=Condition!$F$18,Condition!$D$18,IF(FU31&gt;Condition!$E$19,Condition!$D$19,"")))))</f>
        <v>0</v>
      </c>
      <c r="FV74" s="85">
        <f>IF(FV31&lt;=Condition!$E$16,0,IF(FV31&lt;=Condition!$F$16,Condition!$D$16,IF(FV31&lt;=Condition!$F$17,Condition!$D$17,IF(FV31&lt;=Condition!$F$18,Condition!$D$18,IF(FV31&gt;Condition!$E$19,Condition!$D$19,"")))))</f>
        <v>0</v>
      </c>
      <c r="FW74" s="85">
        <f>IF(FW31&lt;=Condition!$E$16,0,IF(FW31&lt;=Condition!$F$16,Condition!$D$16,IF(FW31&lt;=Condition!$F$17,Condition!$D$17,IF(FW31&lt;=Condition!$F$18,Condition!$D$18,IF(FW31&gt;Condition!$E$19,Condition!$D$19,"")))))</f>
        <v>0</v>
      </c>
      <c r="FX74" s="85">
        <f>IF(FX31&lt;=Condition!$E$16,0,IF(FX31&lt;=Condition!$F$16,Condition!$D$16,IF(FX31&lt;=Condition!$F$17,Condition!$D$17,IF(FX31&lt;=Condition!$F$18,Condition!$D$18,IF(FX31&gt;Condition!$E$19,Condition!$D$19,"")))))</f>
        <v>0</v>
      </c>
      <c r="FY74" s="85">
        <f>IF(FY31&lt;=Condition!$E$16,0,IF(FY31&lt;=Condition!$F$16,Condition!$D$16,IF(FY31&lt;=Condition!$F$17,Condition!$D$17,IF(FY31&lt;=Condition!$F$18,Condition!$D$18,IF(FY31&gt;Condition!$E$19,Condition!$D$19,"")))))</f>
        <v>0</v>
      </c>
      <c r="FZ74" s="85">
        <f>IF(FZ31&lt;=Condition!$E$16,0,IF(FZ31&lt;=Condition!$F$16,Condition!$D$16,IF(FZ31&lt;=Condition!$F$17,Condition!$D$17,IF(FZ31&lt;=Condition!$F$18,Condition!$D$18,IF(FZ31&gt;Condition!$E$19,Condition!$D$19,"")))))</f>
        <v>0</v>
      </c>
      <c r="GA74" s="85">
        <f>IF(GA31&lt;=Condition!$E$16,0,IF(GA31&lt;=Condition!$F$16,Condition!$D$16,IF(GA31&lt;=Condition!$F$17,Condition!$D$17,IF(GA31&lt;=Condition!$F$18,Condition!$D$18,IF(GA31&gt;Condition!$E$19,Condition!$D$19,"")))))</f>
        <v>0</v>
      </c>
      <c r="GB74" s="85">
        <f>IF(GB31&lt;=Condition!$E$16,0,IF(GB31&lt;=Condition!$F$16,Condition!$D$16,IF(GB31&lt;=Condition!$F$17,Condition!$D$17,IF(GB31&lt;=Condition!$F$18,Condition!$D$18,IF(GB31&gt;Condition!$E$19,Condition!$D$19,"")))))</f>
        <v>0</v>
      </c>
      <c r="GC74" s="85">
        <f>IF(GC31&lt;=Condition!$E$16,0,IF(GC31&lt;=Condition!$F$16,Condition!$D$16,IF(GC31&lt;=Condition!$F$17,Condition!$D$17,IF(GC31&lt;=Condition!$F$18,Condition!$D$18,IF(GC31&gt;Condition!$E$19,Condition!$D$19,"")))))</f>
        <v>0</v>
      </c>
      <c r="GD74" s="85">
        <f>IF(GD31&lt;=Condition!$E$16,0,IF(GD31&lt;=Condition!$F$16,Condition!$D$16,IF(GD31&lt;=Condition!$F$17,Condition!$D$17,IF(GD31&lt;=Condition!$F$18,Condition!$D$18,IF(GD31&gt;Condition!$E$19,Condition!$D$19,"")))))</f>
        <v>0</v>
      </c>
      <c r="GE74" s="85">
        <f>IF(GE31&lt;=Condition!$E$16,0,IF(GE31&lt;=Condition!$F$16,Condition!$D$16,IF(GE31&lt;=Condition!$F$17,Condition!$D$17,IF(GE31&lt;=Condition!$F$18,Condition!$D$18,IF(GE31&gt;Condition!$E$19,Condition!$D$19,"")))))</f>
        <v>0</v>
      </c>
      <c r="GF74" s="85">
        <f>IF(GF31&lt;=Condition!$E$16,0,IF(GF31&lt;=Condition!$F$16,Condition!$D$16,IF(GF31&lt;=Condition!$F$17,Condition!$D$17,IF(GF31&lt;=Condition!$F$18,Condition!$D$18,IF(GF31&gt;Condition!$E$19,Condition!$D$19,"")))))</f>
        <v>0</v>
      </c>
      <c r="GG74" s="85">
        <f>IF(GG31&lt;=Condition!$E$16,0,IF(GG31&lt;=Condition!$F$16,Condition!$D$16,IF(GG31&lt;=Condition!$F$17,Condition!$D$17,IF(GG31&lt;=Condition!$F$18,Condition!$D$18,IF(GG31&gt;Condition!$E$19,Condition!$D$19,"")))))</f>
        <v>0</v>
      </c>
      <c r="GH74" s="85">
        <f>IF(GH31&lt;=Condition!$E$16,0,IF(GH31&lt;=Condition!$F$16,Condition!$D$16,IF(GH31&lt;=Condition!$F$17,Condition!$D$17,IF(GH31&lt;=Condition!$F$18,Condition!$D$18,IF(GH31&gt;Condition!$E$19,Condition!$D$19,"")))))</f>
        <v>0</v>
      </c>
      <c r="GI74" s="85">
        <f>IF(GI31&lt;=Condition!$E$16,0,IF(GI31&lt;=Condition!$F$16,Condition!$D$16,IF(GI31&lt;=Condition!$F$17,Condition!$D$17,IF(GI31&lt;=Condition!$F$18,Condition!$D$18,IF(GI31&gt;Condition!$E$19,Condition!$D$19,"")))))</f>
        <v>0</v>
      </c>
      <c r="GJ74" s="85">
        <f>IF(GJ31&lt;=Condition!$E$16,0,IF(GJ31&lt;=Condition!$F$16,Condition!$D$16,IF(GJ31&lt;=Condition!$F$17,Condition!$D$17,IF(GJ31&lt;=Condition!$F$18,Condition!$D$18,IF(GJ31&gt;Condition!$E$19,Condition!$D$19,"")))))</f>
        <v>0</v>
      </c>
      <c r="GK74" s="85">
        <f>IF(GK31&lt;=Condition!$E$16,0,IF(GK31&lt;=Condition!$F$16,Condition!$D$16,IF(GK31&lt;=Condition!$F$17,Condition!$D$17,IF(GK31&lt;=Condition!$F$18,Condition!$D$18,IF(GK31&gt;Condition!$E$19,Condition!$D$19,"")))))</f>
        <v>0</v>
      </c>
      <c r="GL74" s="85">
        <f>IF(GL31&lt;=Condition!$E$16,0,IF(GL31&lt;=Condition!$F$16,Condition!$D$16,IF(GL31&lt;=Condition!$F$17,Condition!$D$17,IF(GL31&lt;=Condition!$F$18,Condition!$D$18,IF(GL31&gt;Condition!$E$19,Condition!$D$19,"")))))</f>
        <v>0</v>
      </c>
      <c r="GM74" s="85">
        <f>IF(GM31&lt;=Condition!$E$16,0,IF(GM31&lt;=Condition!$F$16,Condition!$D$16,IF(GM31&lt;=Condition!$F$17,Condition!$D$17,IF(GM31&lt;=Condition!$F$18,Condition!$D$18,IF(GM31&gt;Condition!$E$19,Condition!$D$19,"")))))</f>
        <v>0</v>
      </c>
      <c r="GN74" s="85">
        <f>IF(GN31&lt;=Condition!$E$16,0,IF(GN31&lt;=Condition!$F$16,Condition!$D$16,IF(GN31&lt;=Condition!$F$17,Condition!$D$17,IF(GN31&lt;=Condition!$F$18,Condition!$D$18,IF(GN31&gt;Condition!$E$19,Condition!$D$19,"")))))</f>
        <v>0</v>
      </c>
      <c r="GO74" s="85">
        <f>IF(GO31&lt;=Condition!$E$16,0,IF(GO31&lt;=Condition!$F$16,Condition!$D$16,IF(GO31&lt;=Condition!$F$17,Condition!$D$17,IF(GO31&lt;=Condition!$F$18,Condition!$D$18,IF(GO31&gt;Condition!$E$19,Condition!$D$19,"")))))</f>
        <v>0</v>
      </c>
      <c r="GP74" s="85">
        <f>IF(GP31&lt;=Condition!$E$16,0,IF(GP31&lt;=Condition!$F$16,Condition!$D$16,IF(GP31&lt;=Condition!$F$17,Condition!$D$17,IF(GP31&lt;=Condition!$F$18,Condition!$D$18,IF(GP31&gt;Condition!$E$19,Condition!$D$19,"")))))</f>
        <v>0</v>
      </c>
      <c r="GQ74" s="85">
        <f>IF(GQ31&lt;=Condition!$E$16,0,IF(GQ31&lt;=Condition!$F$16,Condition!$D$16,IF(GQ31&lt;=Condition!$F$17,Condition!$D$17,IF(GQ31&lt;=Condition!$F$18,Condition!$D$18,IF(GQ31&gt;Condition!$E$19,Condition!$D$19,"")))))</f>
        <v>0</v>
      </c>
      <c r="GR74" s="85">
        <f>IF(GR31&lt;=Condition!$E$16,0,IF(GR31&lt;=Condition!$F$16,Condition!$D$16,IF(GR31&lt;=Condition!$F$17,Condition!$D$17,IF(GR31&lt;=Condition!$F$18,Condition!$D$18,IF(GR31&gt;Condition!$E$19,Condition!$D$19,"")))))</f>
        <v>0</v>
      </c>
      <c r="GS74" s="85">
        <f>IF(GS31&lt;=Condition!$E$16,0,IF(GS31&lt;=Condition!$F$16,Condition!$D$16,IF(GS31&lt;=Condition!$F$17,Condition!$D$17,IF(GS31&lt;=Condition!$F$18,Condition!$D$18,IF(GS31&gt;Condition!$E$19,Condition!$D$19,"")))))</f>
        <v>0</v>
      </c>
      <c r="GT74" s="85">
        <f>IF(GT31&lt;=Condition!$E$16,0,IF(GT31&lt;=Condition!$F$16,Condition!$D$16,IF(GT31&lt;=Condition!$F$17,Condition!$D$17,IF(GT31&lt;=Condition!$F$18,Condition!$D$18,IF(GT31&gt;Condition!$E$19,Condition!$D$19,"")))))</f>
        <v>0</v>
      </c>
      <c r="GU74" s="85">
        <f>IF(GU31&lt;=Condition!$E$16,0,IF(GU31&lt;=Condition!$F$16,Condition!$D$16,IF(GU31&lt;=Condition!$F$17,Condition!$D$17,IF(GU31&lt;=Condition!$F$18,Condition!$D$18,IF(GU31&gt;Condition!$E$19,Condition!$D$19,"")))))</f>
        <v>0</v>
      </c>
      <c r="GV74" s="85">
        <f>IF(GV31&lt;=Condition!$E$16,0,IF(GV31&lt;=Condition!$F$16,Condition!$D$16,IF(GV31&lt;=Condition!$F$17,Condition!$D$17,IF(GV31&lt;=Condition!$F$18,Condition!$D$18,IF(GV31&gt;Condition!$E$19,Condition!$D$19,"")))))</f>
        <v>0</v>
      </c>
      <c r="GW74" s="85">
        <f>IF(GW31&lt;=Condition!$E$16,0,IF(GW31&lt;=Condition!$F$16,Condition!$D$16,IF(GW31&lt;=Condition!$F$17,Condition!$D$17,IF(GW31&lt;=Condition!$F$18,Condition!$D$18,IF(GW31&gt;Condition!$E$19,Condition!$D$19,"")))))</f>
        <v>0</v>
      </c>
      <c r="GX74" s="85">
        <f>IF(GX31&lt;=Condition!$E$16,0,IF(GX31&lt;=Condition!$F$16,Condition!$D$16,IF(GX31&lt;=Condition!$F$17,Condition!$D$17,IF(GX31&lt;=Condition!$F$18,Condition!$D$18,IF(GX31&gt;Condition!$E$19,Condition!$D$19,"")))))</f>
        <v>0</v>
      </c>
      <c r="GY74" s="85">
        <f>IF(GY31&lt;=Condition!$E$16,0,IF(GY31&lt;=Condition!$F$16,Condition!$D$16,IF(GY31&lt;=Condition!$F$17,Condition!$D$17,IF(GY31&lt;=Condition!$F$18,Condition!$D$18,IF(GY31&gt;Condition!$E$19,Condition!$D$19,"")))))</f>
        <v>0</v>
      </c>
      <c r="GZ74" s="85">
        <f>IF(GZ31&lt;=Condition!$E$16,0,IF(GZ31&lt;=Condition!$F$16,Condition!$D$16,IF(GZ31&lt;=Condition!$F$17,Condition!$D$17,IF(GZ31&lt;=Condition!$F$18,Condition!$D$18,IF(GZ31&gt;Condition!$E$19,Condition!$D$19,"")))))</f>
        <v>0</v>
      </c>
      <c r="HA74" s="85">
        <f>IF(HA31&lt;=Condition!$E$16,0,IF(HA31&lt;=Condition!$F$16,Condition!$D$16,IF(HA31&lt;=Condition!$F$17,Condition!$D$17,IF(HA31&lt;=Condition!$F$18,Condition!$D$18,IF(HA31&gt;Condition!$E$19,Condition!$D$19,"")))))</f>
        <v>0</v>
      </c>
      <c r="HB74" s="85">
        <f>IF(HB31&lt;=Condition!$E$16,0,IF(HB31&lt;=Condition!$F$16,Condition!$D$16,IF(HB31&lt;=Condition!$F$17,Condition!$D$17,IF(HB31&lt;=Condition!$F$18,Condition!$D$18,IF(HB31&gt;Condition!$E$19,Condition!$D$19,"")))))</f>
        <v>0</v>
      </c>
      <c r="HC74" s="85">
        <f>IF(HC31&lt;=Condition!$E$16,0,IF(HC31&lt;=Condition!$F$16,Condition!$D$16,IF(HC31&lt;=Condition!$F$17,Condition!$D$17,IF(HC31&lt;=Condition!$F$18,Condition!$D$18,IF(HC31&gt;Condition!$E$19,Condition!$D$19,"")))))</f>
        <v>0</v>
      </c>
      <c r="HD74" s="85">
        <f>IF(HD31&lt;=Condition!$E$16,0,IF(HD31&lt;=Condition!$F$16,Condition!$D$16,IF(HD31&lt;=Condition!$F$17,Condition!$D$17,IF(HD31&lt;=Condition!$F$18,Condition!$D$18,IF(HD31&gt;Condition!$E$19,Condition!$D$19,"")))))</f>
        <v>0</v>
      </c>
      <c r="HE74" s="85">
        <f>IF(HE31&lt;=Condition!$E$16,0,IF(HE31&lt;=Condition!$F$16,Condition!$D$16,IF(HE31&lt;=Condition!$F$17,Condition!$D$17,IF(HE31&lt;=Condition!$F$18,Condition!$D$18,IF(HE31&gt;Condition!$E$19,Condition!$D$19,"")))))</f>
        <v>0</v>
      </c>
      <c r="HF74" s="85">
        <f>IF(HF31&lt;=Condition!$E$16,0,IF(HF31&lt;=Condition!$F$16,Condition!$D$16,IF(HF31&lt;=Condition!$F$17,Condition!$D$17,IF(HF31&lt;=Condition!$F$18,Condition!$D$18,IF(HF31&gt;Condition!$E$19,Condition!$D$19,"")))))</f>
        <v>0</v>
      </c>
      <c r="HG74" s="85">
        <f>IF(HG31&lt;=Condition!$E$16,0,IF(HG31&lt;=Condition!$F$16,Condition!$D$16,IF(HG31&lt;=Condition!$F$17,Condition!$D$17,IF(HG31&lt;=Condition!$F$18,Condition!$D$18,IF(HG31&gt;Condition!$E$19,Condition!$D$19,"")))))</f>
        <v>0</v>
      </c>
      <c r="HH74" s="85">
        <f>IF(HH31&lt;=Condition!$E$16,0,IF(HH31&lt;=Condition!$F$16,Condition!$D$16,IF(HH31&lt;=Condition!$F$17,Condition!$D$17,IF(HH31&lt;=Condition!$F$18,Condition!$D$18,IF(HH31&gt;Condition!$E$19,Condition!$D$19,"")))))</f>
        <v>0</v>
      </c>
      <c r="HI74" s="85">
        <f>IF(HI31&lt;=Condition!$E$16,0,IF(HI31&lt;=Condition!$F$16,Condition!$D$16,IF(HI31&lt;=Condition!$F$17,Condition!$D$17,IF(HI31&lt;=Condition!$F$18,Condition!$D$18,IF(HI31&gt;Condition!$E$19,Condition!$D$19,"")))))</f>
        <v>0</v>
      </c>
      <c r="HJ74" s="85">
        <f>IF(HJ31&lt;=Condition!$E$16,0,IF(HJ31&lt;=Condition!$F$16,Condition!$D$16,IF(HJ31&lt;=Condition!$F$17,Condition!$D$17,IF(HJ31&lt;=Condition!$F$18,Condition!$D$18,IF(HJ31&gt;Condition!$E$19,Condition!$D$19,"")))))</f>
        <v>0</v>
      </c>
      <c r="HK74" s="85">
        <f>IF(HK31&lt;=Condition!$E$16,0,IF(HK31&lt;=Condition!$F$16,Condition!$D$16,IF(HK31&lt;=Condition!$F$17,Condition!$D$17,IF(HK31&lt;=Condition!$F$18,Condition!$D$18,IF(HK31&gt;Condition!$E$19,Condition!$D$19,"")))))</f>
        <v>0</v>
      </c>
      <c r="HL74" s="85">
        <f>IF(HL31&lt;=Condition!$E$16,0,IF(HL31&lt;=Condition!$F$16,Condition!$D$16,IF(HL31&lt;=Condition!$F$17,Condition!$D$17,IF(HL31&lt;=Condition!$F$18,Condition!$D$18,IF(HL31&gt;Condition!$E$19,Condition!$D$19,"")))))</f>
        <v>0</v>
      </c>
      <c r="HM74" s="85">
        <f>IF(HM31&lt;=Condition!$E$16,0,IF(HM31&lt;=Condition!$F$16,Condition!$D$16,IF(HM31&lt;=Condition!$F$17,Condition!$D$17,IF(HM31&lt;=Condition!$F$18,Condition!$D$18,IF(HM31&gt;Condition!$E$19,Condition!$D$19,"")))))</f>
        <v>0</v>
      </c>
      <c r="HN74" s="85">
        <f>IF(HN31&lt;=Condition!$E$16,0,IF(HN31&lt;=Condition!$F$16,Condition!$D$16,IF(HN31&lt;=Condition!$F$17,Condition!$D$17,IF(HN31&lt;=Condition!$F$18,Condition!$D$18,IF(HN31&gt;Condition!$E$19,Condition!$D$19,"")))))</f>
        <v>0</v>
      </c>
      <c r="HO74" s="85">
        <f>IF(HO31&lt;=Condition!$E$16,0,IF(HO31&lt;=Condition!$F$16,Condition!$D$16,IF(HO31&lt;=Condition!$F$17,Condition!$D$17,IF(HO31&lt;=Condition!$F$18,Condition!$D$18,IF(HO31&gt;Condition!$E$19,Condition!$D$19,"")))))</f>
        <v>0</v>
      </c>
      <c r="HP74" s="85">
        <f>IF(HP31&lt;=Condition!$E$16,0,IF(HP31&lt;=Condition!$F$16,Condition!$D$16,IF(HP31&lt;=Condition!$F$17,Condition!$D$17,IF(HP31&lt;=Condition!$F$18,Condition!$D$18,IF(HP31&gt;Condition!$E$19,Condition!$D$19,"")))))</f>
        <v>0</v>
      </c>
      <c r="HQ74" s="85">
        <f>IF(HQ31&lt;=Condition!$E$16,0,IF(HQ31&lt;=Condition!$F$16,Condition!$D$16,IF(HQ31&lt;=Condition!$F$17,Condition!$D$17,IF(HQ31&lt;=Condition!$F$18,Condition!$D$18,IF(HQ31&gt;Condition!$E$19,Condition!$D$19,"")))))</f>
        <v>0</v>
      </c>
      <c r="HR74" s="85">
        <f>IF(HR31&lt;=Condition!$E$16,0,IF(HR31&lt;=Condition!$F$16,Condition!$D$16,IF(HR31&lt;=Condition!$F$17,Condition!$D$17,IF(HR31&lt;=Condition!$F$18,Condition!$D$18,IF(HR31&gt;Condition!$E$19,Condition!$D$19,"")))))</f>
        <v>0</v>
      </c>
      <c r="HS74" s="85">
        <f>IF(HS31&lt;=Condition!$E$16,0,IF(HS31&lt;=Condition!$F$16,Condition!$D$16,IF(HS31&lt;=Condition!$F$17,Condition!$D$17,IF(HS31&lt;=Condition!$F$18,Condition!$D$18,IF(HS31&gt;Condition!$E$19,Condition!$D$19,"")))))</f>
        <v>0</v>
      </c>
      <c r="HT74" s="85">
        <f>IF(HT31&lt;=Condition!$E$16,0,IF(HT31&lt;=Condition!$F$16,Condition!$D$16,IF(HT31&lt;=Condition!$F$17,Condition!$D$17,IF(HT31&lt;=Condition!$F$18,Condition!$D$18,IF(HT31&gt;Condition!$E$19,Condition!$D$19,"")))))</f>
        <v>0</v>
      </c>
      <c r="HU74" s="85">
        <f>IF(HU31&lt;=Condition!$E$16,0,IF(HU31&lt;=Condition!$F$16,Condition!$D$16,IF(HU31&lt;=Condition!$F$17,Condition!$D$17,IF(HU31&lt;=Condition!$F$18,Condition!$D$18,IF(HU31&gt;Condition!$E$19,Condition!$D$19,"")))))</f>
        <v>0</v>
      </c>
      <c r="HV74" s="85">
        <f>IF(HV31&lt;=Condition!$E$16,0,IF(HV31&lt;=Condition!$F$16,Condition!$D$16,IF(HV31&lt;=Condition!$F$17,Condition!$D$17,IF(HV31&lt;=Condition!$F$18,Condition!$D$18,IF(HV31&gt;Condition!$E$19,Condition!$D$19,"")))))</f>
        <v>0</v>
      </c>
      <c r="HW74" s="85">
        <f>IF(HW31&lt;=Condition!$E$16,0,IF(HW31&lt;=Condition!$F$16,Condition!$D$16,IF(HW31&lt;=Condition!$F$17,Condition!$D$17,IF(HW31&lt;=Condition!$F$18,Condition!$D$18,IF(HW31&gt;Condition!$E$19,Condition!$D$19,"")))))</f>
        <v>0</v>
      </c>
      <c r="HX74" s="85">
        <f>IF(HX31&lt;=Condition!$E$16,0,IF(HX31&lt;=Condition!$F$16,Condition!$D$16,IF(HX31&lt;=Condition!$F$17,Condition!$D$17,IF(HX31&lt;=Condition!$F$18,Condition!$D$18,IF(HX31&gt;Condition!$E$19,Condition!$D$19,"")))))</f>
        <v>0</v>
      </c>
      <c r="HY74" s="85">
        <f>IF(HY31&lt;=Condition!$E$16,0,IF(HY31&lt;=Condition!$F$16,Condition!$D$16,IF(HY31&lt;=Condition!$F$17,Condition!$D$17,IF(HY31&lt;=Condition!$F$18,Condition!$D$18,IF(HY31&gt;Condition!$E$19,Condition!$D$19,"")))))</f>
        <v>0</v>
      </c>
      <c r="HZ74" s="85">
        <f>IF(HZ31&lt;=Condition!$E$16,0,IF(HZ31&lt;=Condition!$F$16,Condition!$D$16,IF(HZ31&lt;=Condition!$F$17,Condition!$D$17,IF(HZ31&lt;=Condition!$F$18,Condition!$D$18,IF(HZ31&gt;Condition!$E$19,Condition!$D$19,"")))))</f>
        <v>0</v>
      </c>
      <c r="IA74" s="85">
        <f>IF(IA31&lt;=Condition!$E$16,0,IF(IA31&lt;=Condition!$F$16,Condition!$D$16,IF(IA31&lt;=Condition!$F$17,Condition!$D$17,IF(IA31&lt;=Condition!$F$18,Condition!$D$18,IF(IA31&gt;Condition!$E$19,Condition!$D$19,"")))))</f>
        <v>0</v>
      </c>
      <c r="IB74" s="85">
        <f>IF(IB31&lt;=Condition!$E$16,0,IF(IB31&lt;=Condition!$F$16,Condition!$D$16,IF(IB31&lt;=Condition!$F$17,Condition!$D$17,IF(IB31&lt;=Condition!$F$18,Condition!$D$18,IF(IB31&gt;Condition!$E$19,Condition!$D$19,"")))))</f>
        <v>0</v>
      </c>
      <c r="IC74" s="85">
        <f>IF(IC31&lt;=Condition!$E$16,0,IF(IC31&lt;=Condition!$F$16,Condition!$D$16,IF(IC31&lt;=Condition!$F$17,Condition!$D$17,IF(IC31&lt;=Condition!$F$18,Condition!$D$18,IF(IC31&gt;Condition!$E$19,Condition!$D$19,"")))))</f>
        <v>0</v>
      </c>
      <c r="ID74" s="85">
        <f>IF(ID31&lt;=Condition!$E$16,0,IF(ID31&lt;=Condition!$F$16,Condition!$D$16,IF(ID31&lt;=Condition!$F$17,Condition!$D$17,IF(ID31&lt;=Condition!$F$18,Condition!$D$18,IF(ID31&gt;Condition!$E$19,Condition!$D$19,"")))))</f>
        <v>0</v>
      </c>
      <c r="IE74" s="85">
        <f>IF(IE31&lt;=Condition!$E$16,0,IF(IE31&lt;=Condition!$F$16,Condition!$D$16,IF(IE31&lt;=Condition!$F$17,Condition!$D$17,IF(IE31&lt;=Condition!$F$18,Condition!$D$18,IF(IE31&gt;Condition!$E$19,Condition!$D$19,"")))))</f>
        <v>0</v>
      </c>
      <c r="IF74" s="85">
        <f>IF(IF31&lt;=Condition!$E$16,0,IF(IF31&lt;=Condition!$F$16,Condition!$D$16,IF(IF31&lt;=Condition!$F$17,Condition!$D$17,IF(IF31&lt;=Condition!$F$18,Condition!$D$18,IF(IF31&gt;Condition!$E$19,Condition!$D$19,"")))))</f>
        <v>0</v>
      </c>
      <c r="IG74" s="85">
        <f>IF(IG31&lt;=Condition!$E$16,0,IF(IG31&lt;=Condition!$F$16,Condition!$D$16,IF(IG31&lt;=Condition!$F$17,Condition!$D$17,IF(IG31&lt;=Condition!$F$18,Condition!$D$18,IF(IG31&gt;Condition!$E$19,Condition!$D$19,"")))))</f>
        <v>0</v>
      </c>
      <c r="IH74" s="85">
        <f>IF(IH31&lt;=Condition!$E$16,0,IF(IH31&lt;=Condition!$F$16,Condition!$D$16,IF(IH31&lt;=Condition!$F$17,Condition!$D$17,IF(IH31&lt;=Condition!$F$18,Condition!$D$18,IF(IH31&gt;Condition!$E$19,Condition!$D$19,"")))))</f>
        <v>0</v>
      </c>
      <c r="II74" s="85">
        <f>IF(II31&lt;=Condition!$E$16,0,IF(II31&lt;=Condition!$F$16,Condition!$D$16,IF(II31&lt;=Condition!$F$17,Condition!$D$17,IF(II31&lt;=Condition!$F$18,Condition!$D$18,IF(II31&gt;Condition!$E$19,Condition!$D$19,"")))))</f>
        <v>0</v>
      </c>
      <c r="IJ74" s="85">
        <f>IF(IJ31&lt;=Condition!$E$16,0,IF(IJ31&lt;=Condition!$F$16,Condition!$D$16,IF(IJ31&lt;=Condition!$F$17,Condition!$D$17,IF(IJ31&lt;=Condition!$F$18,Condition!$D$18,IF(IJ31&gt;Condition!$E$19,Condition!$D$19,"")))))</f>
        <v>0</v>
      </c>
      <c r="IK74" s="85">
        <f>IF(IK31&lt;=Condition!$E$16,0,IF(IK31&lt;=Condition!$F$16,Condition!$D$16,IF(IK31&lt;=Condition!$F$17,Condition!$D$17,IF(IK31&lt;=Condition!$F$18,Condition!$D$18,IF(IK31&gt;Condition!$E$19,Condition!$D$19,"")))))</f>
        <v>0</v>
      </c>
      <c r="IL74" s="85">
        <f>IF(IL31&lt;=Condition!$E$16,0,IF(IL31&lt;=Condition!$F$16,Condition!$D$16,IF(IL31&lt;=Condition!$F$17,Condition!$D$17,IF(IL31&lt;=Condition!$F$18,Condition!$D$18,IF(IL31&gt;Condition!$E$19,Condition!$D$19,"")))))</f>
        <v>0</v>
      </c>
      <c r="IM74" s="85">
        <f>IF(IM31&lt;=Condition!$E$16,0,IF(IM31&lt;=Condition!$F$16,Condition!$D$16,IF(IM31&lt;=Condition!$F$17,Condition!$D$17,IF(IM31&lt;=Condition!$F$18,Condition!$D$18,IF(IM31&gt;Condition!$E$19,Condition!$D$19,"")))))</f>
        <v>0</v>
      </c>
      <c r="IN74" s="85">
        <f>IF(IN31&lt;=Condition!$E$16,0,IF(IN31&lt;=Condition!$F$16,Condition!$D$16,IF(IN31&lt;=Condition!$F$17,Condition!$D$17,IF(IN31&lt;=Condition!$F$18,Condition!$D$18,IF(IN31&gt;Condition!$E$19,Condition!$D$19,"")))))</f>
        <v>0</v>
      </c>
      <c r="IO74" s="85">
        <f>IF(IO31&lt;=Condition!$E$16,0,IF(IO31&lt;=Condition!$F$16,Condition!$D$16,IF(IO31&lt;=Condition!$F$17,Condition!$D$17,IF(IO31&lt;=Condition!$F$18,Condition!$D$18,IF(IO31&gt;Condition!$E$19,Condition!$D$19,"")))))</f>
        <v>0</v>
      </c>
      <c r="IP74" s="85">
        <f>IF(IP31&lt;=Condition!$E$16,0,IF(IP31&lt;=Condition!$F$16,Condition!$D$16,IF(IP31&lt;=Condition!$F$17,Condition!$D$17,IF(IP31&lt;=Condition!$F$18,Condition!$D$18,IF(IP31&gt;Condition!$E$19,Condition!$D$19,"")))))</f>
        <v>0</v>
      </c>
      <c r="IQ74" s="85">
        <f>IF(IQ31&lt;=Condition!$E$16,0,IF(IQ31&lt;=Condition!$F$16,Condition!$D$16,IF(IQ31&lt;=Condition!$F$17,Condition!$D$17,IF(IQ31&lt;=Condition!$F$18,Condition!$D$18,IF(IQ31&gt;Condition!$E$19,Condition!$D$19,"")))))</f>
        <v>0</v>
      </c>
      <c r="IR74" s="85">
        <f>IF(IR31&lt;=Condition!$E$16,0,IF(IR31&lt;=Condition!$F$16,Condition!$D$16,IF(IR31&lt;=Condition!$F$17,Condition!$D$17,IF(IR31&lt;=Condition!$F$18,Condition!$D$18,IF(IR31&gt;Condition!$E$19,Condition!$D$19,"")))))</f>
        <v>0</v>
      </c>
      <c r="IS74" s="85">
        <f>IF(IS31&lt;=Condition!$E$16,0,IF(IS31&lt;=Condition!$F$16,Condition!$D$16,IF(IS31&lt;=Condition!$F$17,Condition!$D$17,IF(IS31&lt;=Condition!$F$18,Condition!$D$18,IF(IS31&gt;Condition!$E$19,Condition!$D$19,"")))))</f>
        <v>0</v>
      </c>
      <c r="IT74" s="85">
        <f>IF(IT31&lt;=Condition!$E$16,0,IF(IT31&lt;=Condition!$F$16,Condition!$D$16,IF(IT31&lt;=Condition!$F$17,Condition!$D$17,IF(IT31&lt;=Condition!$F$18,Condition!$D$18,IF(IT31&gt;Condition!$E$19,Condition!$D$19,"")))))</f>
        <v>0</v>
      </c>
      <c r="IU74" s="85">
        <f>IF(IU31&lt;=Condition!$E$16,0,IF(IU31&lt;=Condition!$F$16,Condition!$D$16,IF(IU31&lt;=Condition!$F$17,Condition!$D$17,IF(IU31&lt;=Condition!$F$18,Condition!$D$18,IF(IU31&gt;Condition!$E$19,Condition!$D$19,"")))))</f>
        <v>0</v>
      </c>
      <c r="IV74" s="85">
        <f>IF(IV31&lt;=Condition!$E$16,0,IF(IV31&lt;=Condition!$F$16,Condition!$D$16,IF(IV31&lt;=Condition!$F$17,Condition!$D$17,IF(IV31&lt;=Condition!$F$18,Condition!$D$18,IF(IV31&gt;Condition!$E$19,Condition!$D$19,"")))))</f>
        <v>0</v>
      </c>
      <c r="IW74" s="85">
        <f>IF(IW31&lt;=Condition!$E$16,0,IF(IW31&lt;=Condition!$F$16,Condition!$D$16,IF(IW31&lt;=Condition!$F$17,Condition!$D$17,IF(IW31&lt;=Condition!$F$18,Condition!$D$18,IF(IW31&gt;Condition!$E$19,Condition!$D$19,"")))))</f>
        <v>0</v>
      </c>
      <c r="IX74" s="85">
        <f>IF(IX31&lt;=Condition!$E$16,0,IF(IX31&lt;=Condition!$F$16,Condition!$D$16,IF(IX31&lt;=Condition!$F$17,Condition!$D$17,IF(IX31&lt;=Condition!$F$18,Condition!$D$18,IF(IX31&gt;Condition!$E$19,Condition!$D$19,"")))))</f>
        <v>0</v>
      </c>
      <c r="IY74" s="85">
        <f>IF(IY31&lt;=Condition!$E$16,0,IF(IY31&lt;=Condition!$F$16,Condition!$D$16,IF(IY31&lt;=Condition!$F$17,Condition!$D$17,IF(IY31&lt;=Condition!$F$18,Condition!$D$18,IF(IY31&gt;Condition!$E$19,Condition!$D$19,"")))))</f>
        <v>0</v>
      </c>
      <c r="IZ74" s="85">
        <f>IF(IZ31&lt;=Condition!$E$16,0,IF(IZ31&lt;=Condition!$F$16,Condition!$D$16,IF(IZ31&lt;=Condition!$F$17,Condition!$D$17,IF(IZ31&lt;=Condition!$F$18,Condition!$D$18,IF(IZ31&gt;Condition!$E$19,Condition!$D$19,"")))))</f>
        <v>0</v>
      </c>
      <c r="JA74" s="85">
        <f>IF(JA31&lt;=Condition!$E$16,0,IF(JA31&lt;=Condition!$F$16,Condition!$D$16,IF(JA31&lt;=Condition!$F$17,Condition!$D$17,IF(JA31&lt;=Condition!$F$18,Condition!$D$18,IF(JA31&gt;Condition!$E$19,Condition!$D$19,"")))))</f>
        <v>0</v>
      </c>
      <c r="JB74" s="85">
        <f>IF(JB31&lt;=Condition!$E$16,0,IF(JB31&lt;=Condition!$F$16,Condition!$D$16,IF(JB31&lt;=Condition!$F$17,Condition!$D$17,IF(JB31&lt;=Condition!$F$18,Condition!$D$18,IF(JB31&gt;Condition!$E$19,Condition!$D$19,"")))))</f>
        <v>0</v>
      </c>
      <c r="JC74" s="85">
        <f>IF(JC31&lt;=Condition!$E$16,0,IF(JC31&lt;=Condition!$F$16,Condition!$D$16,IF(JC31&lt;=Condition!$F$17,Condition!$D$17,IF(JC31&lt;=Condition!$F$18,Condition!$D$18,IF(JC31&gt;Condition!$E$19,Condition!$D$19,"")))))</f>
        <v>0</v>
      </c>
      <c r="JD74" s="85">
        <f>IF(JD31&lt;=Condition!$E$16,0,IF(JD31&lt;=Condition!$F$16,Condition!$D$16,IF(JD31&lt;=Condition!$F$17,Condition!$D$17,IF(JD31&lt;=Condition!$F$18,Condition!$D$18,IF(JD31&gt;Condition!$E$19,Condition!$D$19,"")))))</f>
        <v>0</v>
      </c>
      <c r="JE74" s="85">
        <f>IF(JE31&lt;=Condition!$E$16,0,IF(JE31&lt;=Condition!$F$16,Condition!$D$16,IF(JE31&lt;=Condition!$F$17,Condition!$D$17,IF(JE31&lt;=Condition!$F$18,Condition!$D$18,IF(JE31&gt;Condition!$E$19,Condition!$D$19,"")))))</f>
        <v>0</v>
      </c>
      <c r="JF74" s="85">
        <f>IF(JF31&lt;=Condition!$E$16,0,IF(JF31&lt;=Condition!$F$16,Condition!$D$16,IF(JF31&lt;=Condition!$F$17,Condition!$D$17,IF(JF31&lt;=Condition!$F$18,Condition!$D$18,IF(JF31&gt;Condition!$E$19,Condition!$D$19,"")))))</f>
        <v>0</v>
      </c>
      <c r="JG74" s="85">
        <f>IF(JG31&lt;=Condition!$E$16,0,IF(JG31&lt;=Condition!$F$16,Condition!$D$16,IF(JG31&lt;=Condition!$F$17,Condition!$D$17,IF(JG31&lt;=Condition!$F$18,Condition!$D$18,IF(JG31&gt;Condition!$E$19,Condition!$D$19,"")))))</f>
        <v>0</v>
      </c>
      <c r="JH74" s="85">
        <f>IF(JH31&lt;=Condition!$E$16,0,IF(JH31&lt;=Condition!$F$16,Condition!$D$16,IF(JH31&lt;=Condition!$F$17,Condition!$D$17,IF(JH31&lt;=Condition!$F$18,Condition!$D$18,IF(JH31&gt;Condition!$E$19,Condition!$D$19,"")))))</f>
        <v>0</v>
      </c>
      <c r="JI74" s="85">
        <f>IF(JI31&lt;=Condition!$E$16,0,IF(JI31&lt;=Condition!$F$16,Condition!$D$16,IF(JI31&lt;=Condition!$F$17,Condition!$D$17,IF(JI31&lt;=Condition!$F$18,Condition!$D$18,IF(JI31&gt;Condition!$E$19,Condition!$D$19,"")))))</f>
        <v>0</v>
      </c>
      <c r="JJ74" s="85">
        <f>IF(JJ31&lt;=Condition!$E$16,0,IF(JJ31&lt;=Condition!$F$16,Condition!$D$16,IF(JJ31&lt;=Condition!$F$17,Condition!$D$17,IF(JJ31&lt;=Condition!$F$18,Condition!$D$18,IF(JJ31&gt;Condition!$E$19,Condition!$D$19,"")))))</f>
        <v>0</v>
      </c>
      <c r="JK74" s="85">
        <f>IF(JK31&lt;=Condition!$E$16,0,IF(JK31&lt;=Condition!$F$16,Condition!$D$16,IF(JK31&lt;=Condition!$F$17,Condition!$D$17,IF(JK31&lt;=Condition!$F$18,Condition!$D$18,IF(JK31&gt;Condition!$E$19,Condition!$D$19,"")))))</f>
        <v>0</v>
      </c>
      <c r="JL74" s="85">
        <f>IF(JL31&lt;=Condition!$E$16,0,IF(JL31&lt;=Condition!$F$16,Condition!$D$16,IF(JL31&lt;=Condition!$F$17,Condition!$D$17,IF(JL31&lt;=Condition!$F$18,Condition!$D$18,IF(JL31&gt;Condition!$E$19,Condition!$D$19,"")))))</f>
        <v>0</v>
      </c>
      <c r="JM74" s="85">
        <f>IF(JM31&lt;=Condition!$E$16,0,IF(JM31&lt;=Condition!$F$16,Condition!$D$16,IF(JM31&lt;=Condition!$F$17,Condition!$D$17,IF(JM31&lt;=Condition!$F$18,Condition!$D$18,IF(JM31&gt;Condition!$E$19,Condition!$D$19,"")))))</f>
        <v>0</v>
      </c>
      <c r="JN74" s="85">
        <f>IF(JN31&lt;=Condition!$E$16,0,IF(JN31&lt;=Condition!$F$16,Condition!$D$16,IF(JN31&lt;=Condition!$F$17,Condition!$D$17,IF(JN31&lt;=Condition!$F$18,Condition!$D$18,IF(JN31&gt;Condition!$E$19,Condition!$D$19,"")))))</f>
        <v>0</v>
      </c>
      <c r="JO74" s="85">
        <f>IF(JO31&lt;=Condition!$E$16,0,IF(JO31&lt;=Condition!$F$16,Condition!$D$16,IF(JO31&lt;=Condition!$F$17,Condition!$D$17,IF(JO31&lt;=Condition!$F$18,Condition!$D$18,IF(JO31&gt;Condition!$E$19,Condition!$D$19,"")))))</f>
        <v>0</v>
      </c>
      <c r="JP74" s="85">
        <f>IF(JP31&lt;=Condition!$E$16,0,IF(JP31&lt;=Condition!$F$16,Condition!$D$16,IF(JP31&lt;=Condition!$F$17,Condition!$D$17,IF(JP31&lt;=Condition!$F$18,Condition!$D$18,IF(JP31&gt;Condition!$E$19,Condition!$D$19,"")))))</f>
        <v>0</v>
      </c>
      <c r="JQ74" s="85">
        <f>IF(JQ31&lt;=Condition!$E$16,0,IF(JQ31&lt;=Condition!$F$16,Condition!$D$16,IF(JQ31&lt;=Condition!$F$17,Condition!$D$17,IF(JQ31&lt;=Condition!$F$18,Condition!$D$18,IF(JQ31&gt;Condition!$E$19,Condition!$D$19,"")))))</f>
        <v>0</v>
      </c>
      <c r="JR74" s="85">
        <f>IF(JR31&lt;=Condition!$E$16,0,IF(JR31&lt;=Condition!$F$16,Condition!$D$16,IF(JR31&lt;=Condition!$F$17,Condition!$D$17,IF(JR31&lt;=Condition!$F$18,Condition!$D$18,IF(JR31&gt;Condition!$E$19,Condition!$D$19,"")))))</f>
        <v>0</v>
      </c>
      <c r="JS74" s="85">
        <f>IF(JS31&lt;=Condition!$E$16,0,IF(JS31&lt;=Condition!$F$16,Condition!$D$16,IF(JS31&lt;=Condition!$F$17,Condition!$D$17,IF(JS31&lt;=Condition!$F$18,Condition!$D$18,IF(JS31&gt;Condition!$E$19,Condition!$D$19,"")))))</f>
        <v>0</v>
      </c>
      <c r="JT74" s="85">
        <f>IF(JT31&lt;=Condition!$E$16,0,IF(JT31&lt;=Condition!$F$16,Condition!$D$16,IF(JT31&lt;=Condition!$F$17,Condition!$D$17,IF(JT31&lt;=Condition!$F$18,Condition!$D$18,IF(JT31&gt;Condition!$E$19,Condition!$D$19,"")))))</f>
        <v>0</v>
      </c>
      <c r="JU74" s="85">
        <f>IF(JU31&lt;=Condition!$E$16,0,IF(JU31&lt;=Condition!$F$16,Condition!$D$16,IF(JU31&lt;=Condition!$F$17,Condition!$D$17,IF(JU31&lt;=Condition!$F$18,Condition!$D$18,IF(JU31&gt;Condition!$E$19,Condition!$D$19,"")))))</f>
        <v>0</v>
      </c>
      <c r="JV74" s="85">
        <f>IF(JV31&lt;=Condition!$E$16,0,IF(JV31&lt;=Condition!$F$16,Condition!$D$16,IF(JV31&lt;=Condition!$F$17,Condition!$D$17,IF(JV31&lt;=Condition!$F$18,Condition!$D$18,IF(JV31&gt;Condition!$E$19,Condition!$D$19,"")))))</f>
        <v>0</v>
      </c>
      <c r="JW74" s="85">
        <f>IF(JW31&lt;=Condition!$E$16,0,IF(JW31&lt;=Condition!$F$16,Condition!$D$16,IF(JW31&lt;=Condition!$F$17,Condition!$D$17,IF(JW31&lt;=Condition!$F$18,Condition!$D$18,IF(JW31&gt;Condition!$E$19,Condition!$D$19,"")))))</f>
        <v>0</v>
      </c>
      <c r="JX74" s="85">
        <f>IF(JX31&lt;=Condition!$E$16,0,IF(JX31&lt;=Condition!$F$16,Condition!$D$16,IF(JX31&lt;=Condition!$F$17,Condition!$D$17,IF(JX31&lt;=Condition!$F$18,Condition!$D$18,IF(JX31&gt;Condition!$E$19,Condition!$D$19,"")))))</f>
        <v>0</v>
      </c>
      <c r="JY74" s="85">
        <f>IF(JY31&lt;=Condition!$E$16,0,IF(JY31&lt;=Condition!$F$16,Condition!$D$16,IF(JY31&lt;=Condition!$F$17,Condition!$D$17,IF(JY31&lt;=Condition!$F$18,Condition!$D$18,IF(JY31&gt;Condition!$E$19,Condition!$D$19,"")))))</f>
        <v>0</v>
      </c>
      <c r="JZ74" s="85">
        <f>IF(JZ31&lt;=Condition!$E$16,0,IF(JZ31&lt;=Condition!$F$16,Condition!$D$16,IF(JZ31&lt;=Condition!$F$17,Condition!$D$17,IF(JZ31&lt;=Condition!$F$18,Condition!$D$18,IF(JZ31&gt;Condition!$E$19,Condition!$D$19,"")))))</f>
        <v>0</v>
      </c>
      <c r="KA74" s="85">
        <f>IF(KA31&lt;=Condition!$E$16,0,IF(KA31&lt;=Condition!$F$16,Condition!$D$16,IF(KA31&lt;=Condition!$F$17,Condition!$D$17,IF(KA31&lt;=Condition!$F$18,Condition!$D$18,IF(KA31&gt;Condition!$E$19,Condition!$D$19,"")))))</f>
        <v>0</v>
      </c>
      <c r="KB74" s="85">
        <f>IF(KB31&lt;=Condition!$E$16,0,IF(KB31&lt;=Condition!$F$16,Condition!$D$16,IF(KB31&lt;=Condition!$F$17,Condition!$D$17,IF(KB31&lt;=Condition!$F$18,Condition!$D$18,IF(KB31&gt;Condition!$E$19,Condition!$D$19,"")))))</f>
        <v>0</v>
      </c>
      <c r="KC74" s="85">
        <f>IF(KC31&lt;=Condition!$E$16,0,IF(KC31&lt;=Condition!$F$16,Condition!$D$16,IF(KC31&lt;=Condition!$F$17,Condition!$D$17,IF(KC31&lt;=Condition!$F$18,Condition!$D$18,IF(KC31&gt;Condition!$E$19,Condition!$D$19,"")))))</f>
        <v>0</v>
      </c>
      <c r="KD74" s="85">
        <f>IF(KD31&lt;=Condition!$E$16,0,IF(KD31&lt;=Condition!$F$16,Condition!$D$16,IF(KD31&lt;=Condition!$F$17,Condition!$D$17,IF(KD31&lt;=Condition!$F$18,Condition!$D$18,IF(KD31&gt;Condition!$E$19,Condition!$D$19,"")))))</f>
        <v>0</v>
      </c>
      <c r="KE74" s="85">
        <f>IF(KE31&lt;=Condition!$E$16,0,IF(KE31&lt;=Condition!$F$16,Condition!$D$16,IF(KE31&lt;=Condition!$F$17,Condition!$D$17,IF(KE31&lt;=Condition!$F$18,Condition!$D$18,IF(KE31&gt;Condition!$E$19,Condition!$D$19,"")))))</f>
        <v>0</v>
      </c>
      <c r="KF74" s="85">
        <f>IF(KF31&lt;=Condition!$E$16,0,IF(KF31&lt;=Condition!$F$16,Condition!$D$16,IF(KF31&lt;=Condition!$F$17,Condition!$D$17,IF(KF31&lt;=Condition!$F$18,Condition!$D$18,IF(KF31&gt;Condition!$E$19,Condition!$D$19,"")))))</f>
        <v>0</v>
      </c>
      <c r="KG74" s="85">
        <f>IF(KG31&lt;=Condition!$E$16,0,IF(KG31&lt;=Condition!$F$16,Condition!$D$16,IF(KG31&lt;=Condition!$F$17,Condition!$D$17,IF(KG31&lt;=Condition!$F$18,Condition!$D$18,IF(KG31&gt;Condition!$E$19,Condition!$D$19,"")))))</f>
        <v>0</v>
      </c>
      <c r="KH74" s="85">
        <f>IF(KH31&lt;=Condition!$E$16,0,IF(KH31&lt;=Condition!$F$16,Condition!$D$16,IF(KH31&lt;=Condition!$F$17,Condition!$D$17,IF(KH31&lt;=Condition!$F$18,Condition!$D$18,IF(KH31&gt;Condition!$E$19,Condition!$D$19,"")))))</f>
        <v>0</v>
      </c>
      <c r="KI74" s="85">
        <f>IF(KI31&lt;=Condition!$E$16,0,IF(KI31&lt;=Condition!$F$16,Condition!$D$16,IF(KI31&lt;=Condition!$F$17,Condition!$D$17,IF(KI31&lt;=Condition!$F$18,Condition!$D$18,IF(KI31&gt;Condition!$E$19,Condition!$D$19,"")))))</f>
        <v>0</v>
      </c>
    </row>
    <row r="75" spans="2:295" x14ac:dyDescent="0.25">
      <c r="B75" s="15">
        <f t="shared" ref="B75:E75" si="30">B32</f>
        <v>20</v>
      </c>
      <c r="C75" s="25" t="str">
        <f t="shared" si="30"/>
        <v>CTG</v>
      </c>
      <c r="D75" s="25" t="str">
        <f t="shared" si="30"/>
        <v>Sozol prince</v>
      </c>
      <c r="E75" s="26" t="str">
        <f t="shared" si="30"/>
        <v>6076</v>
      </c>
      <c r="F75" s="112">
        <f t="shared" si="4"/>
        <v>0</v>
      </c>
      <c r="G75" s="112">
        <f t="shared" si="5"/>
        <v>0</v>
      </c>
      <c r="H75" s="85">
        <f>IF(H32&lt;=Condition!$E$16,0,IF(H32&lt;=Condition!$F$16,Condition!$D$16,IF(H32&lt;=Condition!$F$17,Condition!$D$17,IF(H32&lt;=Condition!$F$18,Condition!$D$18,IF(H32&gt;Condition!$E$19,Condition!$D$19,"")))))</f>
        <v>0</v>
      </c>
      <c r="I75" s="85">
        <f>IF(I32&lt;=Condition!$E$16,0,IF(I32&lt;=Condition!$F$16,Condition!$D$16,IF(I32&lt;=Condition!$F$17,Condition!$D$17,IF(I32&lt;=Condition!$F$18,Condition!$D$18,IF(I32&gt;Condition!$E$19,Condition!$D$19,"")))))</f>
        <v>0</v>
      </c>
      <c r="J75" s="85">
        <f>IF(J32&lt;=Condition!$E$16,0,IF(J32&lt;=Condition!$F$16,Condition!$D$16,IF(J32&lt;=Condition!$F$17,Condition!$D$17,IF(J32&lt;=Condition!$F$18,Condition!$D$18,IF(J32&gt;Condition!$E$19,Condition!$D$19,"")))))</f>
        <v>0</v>
      </c>
      <c r="K75" s="85">
        <f>IF(K32&lt;=Condition!$E$16,0,IF(K32&lt;=Condition!$F$16,Condition!$D$16,IF(K32&lt;=Condition!$F$17,Condition!$D$17,IF(K32&lt;=Condition!$F$18,Condition!$D$18,IF(K32&gt;Condition!$E$19,Condition!$D$19,"")))))</f>
        <v>0</v>
      </c>
      <c r="L75" s="85">
        <f>IF(L32&lt;=Condition!$E$16,0,IF(L32&lt;=Condition!$F$16,Condition!$D$16,IF(L32&lt;=Condition!$F$17,Condition!$D$17,IF(L32&lt;=Condition!$F$18,Condition!$D$18,IF(L32&gt;Condition!$E$19,Condition!$D$19,"")))))</f>
        <v>0</v>
      </c>
      <c r="M75" s="85">
        <f>IF(M32&lt;=Condition!$E$16,0,IF(M32&lt;=Condition!$F$16,Condition!$D$16,IF(M32&lt;=Condition!$F$17,Condition!$D$17,IF(M32&lt;=Condition!$F$18,Condition!$D$18,IF(M32&gt;Condition!$E$19,Condition!$D$19,"")))))</f>
        <v>0</v>
      </c>
      <c r="N75" s="85">
        <f>IF(N32&lt;=Condition!$E$16,0,IF(N32&lt;=Condition!$F$16,Condition!$D$16,IF(N32&lt;=Condition!$F$17,Condition!$D$17,IF(N32&lt;=Condition!$F$18,Condition!$D$18,IF(N32&gt;Condition!$E$19,Condition!$D$19,"")))))</f>
        <v>0</v>
      </c>
      <c r="O75" s="85">
        <f>IF(O32&lt;=Condition!$E$16,0,IF(O32&lt;=Condition!$F$16,Condition!$D$16,IF(O32&lt;=Condition!$F$17,Condition!$D$17,IF(O32&lt;=Condition!$F$18,Condition!$D$18,IF(O32&gt;Condition!$E$19,Condition!$D$19,"")))))</f>
        <v>0</v>
      </c>
      <c r="P75" s="85">
        <f>IF(P32&lt;=Condition!$E$16,0,IF(P32&lt;=Condition!$F$16,Condition!$D$16,IF(P32&lt;=Condition!$F$17,Condition!$D$17,IF(P32&lt;=Condition!$F$18,Condition!$D$18,IF(P32&gt;Condition!$E$19,Condition!$D$19,"")))))</f>
        <v>0</v>
      </c>
      <c r="Q75" s="85">
        <f>IF(Q32&lt;=Condition!$E$16,0,IF(Q32&lt;=Condition!$F$16,Condition!$D$16,IF(Q32&lt;=Condition!$F$17,Condition!$D$17,IF(Q32&lt;=Condition!$F$18,Condition!$D$18,IF(Q32&gt;Condition!$E$19,Condition!$D$19,"")))))</f>
        <v>0</v>
      </c>
      <c r="R75" s="85">
        <f>IF(R32&lt;=Condition!$E$16,0,IF(R32&lt;=Condition!$F$16,Condition!$D$16,IF(R32&lt;=Condition!$F$17,Condition!$D$17,IF(R32&lt;=Condition!$F$18,Condition!$D$18,IF(R32&gt;Condition!$E$19,Condition!$D$19,"")))))</f>
        <v>0</v>
      </c>
      <c r="S75" s="85">
        <f>IF(S32&lt;=Condition!$E$16,0,IF(S32&lt;=Condition!$F$16,Condition!$D$16,IF(S32&lt;=Condition!$F$17,Condition!$D$17,IF(S32&lt;=Condition!$F$18,Condition!$D$18,IF(S32&gt;Condition!$E$19,Condition!$D$19,"")))))</f>
        <v>0</v>
      </c>
      <c r="T75" s="85">
        <f>IF(T32&lt;=Condition!$E$16,0,IF(T32&lt;=Condition!$F$16,Condition!$D$16,IF(T32&lt;=Condition!$F$17,Condition!$D$17,IF(T32&lt;=Condition!$F$18,Condition!$D$18,IF(T32&gt;Condition!$E$19,Condition!$D$19,"")))))</f>
        <v>0</v>
      </c>
      <c r="U75" s="85">
        <f>IF(U32&lt;=Condition!$E$16,0,IF(U32&lt;=Condition!$F$16,Condition!$D$16,IF(U32&lt;=Condition!$F$17,Condition!$D$17,IF(U32&lt;=Condition!$F$18,Condition!$D$18,IF(U32&gt;Condition!$E$19,Condition!$D$19,"")))))</f>
        <v>0</v>
      </c>
      <c r="V75" s="85">
        <f>IF(V32&lt;=Condition!$E$16,0,IF(V32&lt;=Condition!$F$16,Condition!$D$16,IF(V32&lt;=Condition!$F$17,Condition!$D$17,IF(V32&lt;=Condition!$F$18,Condition!$D$18,IF(V32&gt;Condition!$E$19,Condition!$D$19,"")))))</f>
        <v>0</v>
      </c>
      <c r="W75" s="85">
        <f>IF(W32&lt;=Condition!$E$16,0,IF(W32&lt;=Condition!$F$16,Condition!$D$16,IF(W32&lt;=Condition!$F$17,Condition!$D$17,IF(W32&lt;=Condition!$F$18,Condition!$D$18,IF(W32&gt;Condition!$E$19,Condition!$D$19,"")))))</f>
        <v>0</v>
      </c>
      <c r="X75" s="85">
        <f>IF(X32&lt;=Condition!$E$16,0,IF(X32&lt;=Condition!$F$16,Condition!$D$16,IF(X32&lt;=Condition!$F$17,Condition!$D$17,IF(X32&lt;=Condition!$F$18,Condition!$D$18,IF(X32&gt;Condition!$E$19,Condition!$D$19,"")))))</f>
        <v>0</v>
      </c>
      <c r="Y75" s="85">
        <f>IF(Y32&lt;=Condition!$E$16,0,IF(Y32&lt;=Condition!$F$16,Condition!$D$16,IF(Y32&lt;=Condition!$F$17,Condition!$D$17,IF(Y32&lt;=Condition!$F$18,Condition!$D$18,IF(Y32&gt;Condition!$E$19,Condition!$D$19,"")))))</f>
        <v>0</v>
      </c>
      <c r="Z75" s="85">
        <f>IF(Z32&lt;=Condition!$E$16,0,IF(Z32&lt;=Condition!$F$16,Condition!$D$16,IF(Z32&lt;=Condition!$F$17,Condition!$D$17,IF(Z32&lt;=Condition!$F$18,Condition!$D$18,IF(Z32&gt;Condition!$E$19,Condition!$D$19,"")))))</f>
        <v>0</v>
      </c>
      <c r="AA75" s="85">
        <f>IF(AA32&lt;=Condition!$E$16,0,IF(AA32&lt;=Condition!$F$16,Condition!$D$16,IF(AA32&lt;=Condition!$F$17,Condition!$D$17,IF(AA32&lt;=Condition!$F$18,Condition!$D$18,IF(AA32&gt;Condition!$E$19,Condition!$D$19,"")))))</f>
        <v>0</v>
      </c>
      <c r="AB75" s="85">
        <f>IF(AB32&lt;=Condition!$E$16,0,IF(AB32&lt;=Condition!$F$16,Condition!$D$16,IF(AB32&lt;=Condition!$F$17,Condition!$D$17,IF(AB32&lt;=Condition!$F$18,Condition!$D$18,IF(AB32&gt;Condition!$E$19,Condition!$D$19,"")))))</f>
        <v>0</v>
      </c>
      <c r="AC75" s="85">
        <f>IF(AC32&lt;=Condition!$E$16,0,IF(AC32&lt;=Condition!$F$16,Condition!$D$16,IF(AC32&lt;=Condition!$F$17,Condition!$D$17,IF(AC32&lt;=Condition!$F$18,Condition!$D$18,IF(AC32&gt;Condition!$E$19,Condition!$D$19,"")))))</f>
        <v>0</v>
      </c>
      <c r="AD75" s="85">
        <f>IF(AD32&lt;=Condition!$E$16,0,IF(AD32&lt;=Condition!$F$16,Condition!$D$16,IF(AD32&lt;=Condition!$F$17,Condition!$D$17,IF(AD32&lt;=Condition!$F$18,Condition!$D$18,IF(AD32&gt;Condition!$E$19,Condition!$D$19,"")))))</f>
        <v>0</v>
      </c>
      <c r="AE75" s="85">
        <f>IF(AE32&lt;=Condition!$E$16,0,IF(AE32&lt;=Condition!$F$16,Condition!$D$16,IF(AE32&lt;=Condition!$F$17,Condition!$D$17,IF(AE32&lt;=Condition!$F$18,Condition!$D$18,IF(AE32&gt;Condition!$E$19,Condition!$D$19,"")))))</f>
        <v>0</v>
      </c>
      <c r="AF75" s="85">
        <f>IF(AF32&lt;=Condition!$E$16,0,IF(AF32&lt;=Condition!$F$16,Condition!$D$16,IF(AF32&lt;=Condition!$F$17,Condition!$D$17,IF(AF32&lt;=Condition!$F$18,Condition!$D$18,IF(AF32&gt;Condition!$E$19,Condition!$D$19,"")))))</f>
        <v>0</v>
      </c>
      <c r="AG75" s="85">
        <f>IF(AG32&lt;=Condition!$E$16,0,IF(AG32&lt;=Condition!$F$16,Condition!$D$16,IF(AG32&lt;=Condition!$F$17,Condition!$D$17,IF(AG32&lt;=Condition!$F$18,Condition!$D$18,IF(AG32&gt;Condition!$E$19,Condition!$D$19,"")))))</f>
        <v>0</v>
      </c>
      <c r="AH75" s="85">
        <f>IF(AH32&lt;=Condition!$E$16,0,IF(AH32&lt;=Condition!$F$16,Condition!$D$16,IF(AH32&lt;=Condition!$F$17,Condition!$D$17,IF(AH32&lt;=Condition!$F$18,Condition!$D$18,IF(AH32&gt;Condition!$E$19,Condition!$D$19,"")))))</f>
        <v>0</v>
      </c>
      <c r="AI75" s="85">
        <f>IF(AI32&lt;=Condition!$E$16,0,IF(AI32&lt;=Condition!$F$16,Condition!$D$16,IF(AI32&lt;=Condition!$F$17,Condition!$D$17,IF(AI32&lt;=Condition!$F$18,Condition!$D$18,IF(AI32&gt;Condition!$E$19,Condition!$D$19,"")))))</f>
        <v>0</v>
      </c>
      <c r="AJ75" s="85">
        <f>IF(AJ32&lt;=Condition!$E$16,0,IF(AJ32&lt;=Condition!$F$16,Condition!$D$16,IF(AJ32&lt;=Condition!$F$17,Condition!$D$17,IF(AJ32&lt;=Condition!$F$18,Condition!$D$18,IF(AJ32&gt;Condition!$E$19,Condition!$D$19,"")))))</f>
        <v>0</v>
      </c>
      <c r="AK75" s="85">
        <f>IF(AK32&lt;=Condition!$E$16,0,IF(AK32&lt;=Condition!$F$16,Condition!$D$16,IF(AK32&lt;=Condition!$F$17,Condition!$D$17,IF(AK32&lt;=Condition!$F$18,Condition!$D$18,IF(AK32&gt;Condition!$E$19,Condition!$D$19,"")))))</f>
        <v>0</v>
      </c>
      <c r="AL75" s="85">
        <f>IF(AL32&lt;=Condition!$E$16,0,IF(AL32&lt;=Condition!$F$16,Condition!$D$16,IF(AL32&lt;=Condition!$F$17,Condition!$D$17,IF(AL32&lt;=Condition!$F$18,Condition!$D$18,IF(AL32&gt;Condition!$E$19,Condition!$D$19,"")))))</f>
        <v>0</v>
      </c>
      <c r="AM75" s="85">
        <f>IF(AM32&lt;=Condition!$E$16,0,IF(AM32&lt;=Condition!$F$16,Condition!$D$16,IF(AM32&lt;=Condition!$F$17,Condition!$D$17,IF(AM32&lt;=Condition!$F$18,Condition!$D$18,IF(AM32&gt;Condition!$E$19,Condition!$D$19,"")))))</f>
        <v>0</v>
      </c>
      <c r="AN75" s="85">
        <f>IF(AN32&lt;=Condition!$E$16,0,IF(AN32&lt;=Condition!$F$16,Condition!$D$16,IF(AN32&lt;=Condition!$F$17,Condition!$D$17,IF(AN32&lt;=Condition!$F$18,Condition!$D$18,IF(AN32&gt;Condition!$E$19,Condition!$D$19,"")))))</f>
        <v>0</v>
      </c>
      <c r="AO75" s="85">
        <f>IF(AO32&lt;=Condition!$E$16,0,IF(AO32&lt;=Condition!$F$16,Condition!$D$16,IF(AO32&lt;=Condition!$F$17,Condition!$D$17,IF(AO32&lt;=Condition!$F$18,Condition!$D$18,IF(AO32&gt;Condition!$E$19,Condition!$D$19,"")))))</f>
        <v>0</v>
      </c>
      <c r="AP75" s="85">
        <f>IF(AP32&lt;=Condition!$E$16,0,IF(AP32&lt;=Condition!$F$16,Condition!$D$16,IF(AP32&lt;=Condition!$F$17,Condition!$D$17,IF(AP32&lt;=Condition!$F$18,Condition!$D$18,IF(AP32&gt;Condition!$E$19,Condition!$D$19,"")))))</f>
        <v>0</v>
      </c>
      <c r="AQ75" s="85">
        <f>IF(AQ32&lt;=Condition!$E$16,0,IF(AQ32&lt;=Condition!$F$16,Condition!$D$16,IF(AQ32&lt;=Condition!$F$17,Condition!$D$17,IF(AQ32&lt;=Condition!$F$18,Condition!$D$18,IF(AQ32&gt;Condition!$E$19,Condition!$D$19,"")))))</f>
        <v>0</v>
      </c>
      <c r="AR75" s="85">
        <f>IF(AR32&lt;=Condition!$E$16,0,IF(AR32&lt;=Condition!$F$16,Condition!$D$16,IF(AR32&lt;=Condition!$F$17,Condition!$D$17,IF(AR32&lt;=Condition!$F$18,Condition!$D$18,IF(AR32&gt;Condition!$E$19,Condition!$D$19,"")))))</f>
        <v>0</v>
      </c>
      <c r="AS75" s="85">
        <f>IF(AS32&lt;=Condition!$E$16,0,IF(AS32&lt;=Condition!$F$16,Condition!$D$16,IF(AS32&lt;=Condition!$F$17,Condition!$D$17,IF(AS32&lt;=Condition!$F$18,Condition!$D$18,IF(AS32&gt;Condition!$E$19,Condition!$D$19,"")))))</f>
        <v>0</v>
      </c>
      <c r="AT75" s="85">
        <f>IF(AT32&lt;=Condition!$E$16,0,IF(AT32&lt;=Condition!$F$16,Condition!$D$16,IF(AT32&lt;=Condition!$F$17,Condition!$D$17,IF(AT32&lt;=Condition!$F$18,Condition!$D$18,IF(AT32&gt;Condition!$E$19,Condition!$D$19,"")))))</f>
        <v>0</v>
      </c>
      <c r="AU75" s="85">
        <f>IF(AU32&lt;=Condition!$E$16,0,IF(AU32&lt;=Condition!$F$16,Condition!$D$16,IF(AU32&lt;=Condition!$F$17,Condition!$D$17,IF(AU32&lt;=Condition!$F$18,Condition!$D$18,IF(AU32&gt;Condition!$E$19,Condition!$D$19,"")))))</f>
        <v>0</v>
      </c>
      <c r="AV75" s="85">
        <f>IF(AV32&lt;=Condition!$E$16,0,IF(AV32&lt;=Condition!$F$16,Condition!$D$16,IF(AV32&lt;=Condition!$F$17,Condition!$D$17,IF(AV32&lt;=Condition!$F$18,Condition!$D$18,IF(AV32&gt;Condition!$E$19,Condition!$D$19,"")))))</f>
        <v>0</v>
      </c>
      <c r="AW75" s="85">
        <f>IF(AW32&lt;=Condition!$E$16,0,IF(AW32&lt;=Condition!$F$16,Condition!$D$16,IF(AW32&lt;=Condition!$F$17,Condition!$D$17,IF(AW32&lt;=Condition!$F$18,Condition!$D$18,IF(AW32&gt;Condition!$E$19,Condition!$D$19,"")))))</f>
        <v>0</v>
      </c>
      <c r="AX75" s="85">
        <f>IF(AX32&lt;=Condition!$E$16,0,IF(AX32&lt;=Condition!$F$16,Condition!$D$16,IF(AX32&lt;=Condition!$F$17,Condition!$D$17,IF(AX32&lt;=Condition!$F$18,Condition!$D$18,IF(AX32&gt;Condition!$E$19,Condition!$D$19,"")))))</f>
        <v>0</v>
      </c>
      <c r="AY75" s="85">
        <f>IF(AY32&lt;=Condition!$E$16,0,IF(AY32&lt;=Condition!$F$16,Condition!$D$16,IF(AY32&lt;=Condition!$F$17,Condition!$D$17,IF(AY32&lt;=Condition!$F$18,Condition!$D$18,IF(AY32&gt;Condition!$E$19,Condition!$D$19,"")))))</f>
        <v>0</v>
      </c>
      <c r="AZ75" s="85">
        <f>IF(AZ32&lt;=Condition!$E$16,0,IF(AZ32&lt;=Condition!$F$16,Condition!$D$16,IF(AZ32&lt;=Condition!$F$17,Condition!$D$17,IF(AZ32&lt;=Condition!$F$18,Condition!$D$18,IF(AZ32&gt;Condition!$E$19,Condition!$D$19,"")))))</f>
        <v>0</v>
      </c>
      <c r="BA75" s="85">
        <f>IF(BA32&lt;=Condition!$E$16,0,IF(BA32&lt;=Condition!$F$16,Condition!$D$16,IF(BA32&lt;=Condition!$F$17,Condition!$D$17,IF(BA32&lt;=Condition!$F$18,Condition!$D$18,IF(BA32&gt;Condition!$E$19,Condition!$D$19,"")))))</f>
        <v>0</v>
      </c>
      <c r="BB75" s="85">
        <f>IF(BB32&lt;=Condition!$E$16,0,IF(BB32&lt;=Condition!$F$16,Condition!$D$16,IF(BB32&lt;=Condition!$F$17,Condition!$D$17,IF(BB32&lt;=Condition!$F$18,Condition!$D$18,IF(BB32&gt;Condition!$E$19,Condition!$D$19,"")))))</f>
        <v>0</v>
      </c>
      <c r="BC75" s="85">
        <f>IF(BC32&lt;=Condition!$E$16,0,IF(BC32&lt;=Condition!$F$16,Condition!$D$16,IF(BC32&lt;=Condition!$F$17,Condition!$D$17,IF(BC32&lt;=Condition!$F$18,Condition!$D$18,IF(BC32&gt;Condition!$E$19,Condition!$D$19,"")))))</f>
        <v>0</v>
      </c>
      <c r="BD75" s="85">
        <f>IF(BD32&lt;=Condition!$E$16,0,IF(BD32&lt;=Condition!$F$16,Condition!$D$16,IF(BD32&lt;=Condition!$F$17,Condition!$D$17,IF(BD32&lt;=Condition!$F$18,Condition!$D$18,IF(BD32&gt;Condition!$E$19,Condition!$D$19,"")))))</f>
        <v>0</v>
      </c>
      <c r="BE75" s="85">
        <f>IF(BE32&lt;=Condition!$E$16,0,IF(BE32&lt;=Condition!$F$16,Condition!$D$16,IF(BE32&lt;=Condition!$F$17,Condition!$D$17,IF(BE32&lt;=Condition!$F$18,Condition!$D$18,IF(BE32&gt;Condition!$E$19,Condition!$D$19,"")))))</f>
        <v>0</v>
      </c>
      <c r="BF75" s="85">
        <f>IF(BF32&lt;=Condition!$E$16,0,IF(BF32&lt;=Condition!$F$16,Condition!$D$16,IF(BF32&lt;=Condition!$F$17,Condition!$D$17,IF(BF32&lt;=Condition!$F$18,Condition!$D$18,IF(BF32&gt;Condition!$E$19,Condition!$D$19,"")))))</f>
        <v>0</v>
      </c>
      <c r="BG75" s="85">
        <f>IF(BG32&lt;=Condition!$E$16,0,IF(BG32&lt;=Condition!$F$16,Condition!$D$16,IF(BG32&lt;=Condition!$F$17,Condition!$D$17,IF(BG32&lt;=Condition!$F$18,Condition!$D$18,IF(BG32&gt;Condition!$E$19,Condition!$D$19,"")))))</f>
        <v>0</v>
      </c>
      <c r="BH75" s="85">
        <f>IF(BH32&lt;=Condition!$E$16,0,IF(BH32&lt;=Condition!$F$16,Condition!$D$16,IF(BH32&lt;=Condition!$F$17,Condition!$D$17,IF(BH32&lt;=Condition!$F$18,Condition!$D$18,IF(BH32&gt;Condition!$E$19,Condition!$D$19,"")))))</f>
        <v>0</v>
      </c>
      <c r="BI75" s="85">
        <f>IF(BI32&lt;=Condition!$E$16,0,IF(BI32&lt;=Condition!$F$16,Condition!$D$16,IF(BI32&lt;=Condition!$F$17,Condition!$D$17,IF(BI32&lt;=Condition!$F$18,Condition!$D$18,IF(BI32&gt;Condition!$E$19,Condition!$D$19,"")))))</f>
        <v>0</v>
      </c>
      <c r="BJ75" s="85">
        <f>IF(BJ32&lt;=Condition!$E$16,0,IF(BJ32&lt;=Condition!$F$16,Condition!$D$16,IF(BJ32&lt;=Condition!$F$17,Condition!$D$17,IF(BJ32&lt;=Condition!$F$18,Condition!$D$18,IF(BJ32&gt;Condition!$E$19,Condition!$D$19,"")))))</f>
        <v>0</v>
      </c>
      <c r="BK75" s="85">
        <f>IF(BK32&lt;=Condition!$E$16,0,IF(BK32&lt;=Condition!$F$16,Condition!$D$16,IF(BK32&lt;=Condition!$F$17,Condition!$D$17,IF(BK32&lt;=Condition!$F$18,Condition!$D$18,IF(BK32&gt;Condition!$E$19,Condition!$D$19,"")))))</f>
        <v>0</v>
      </c>
      <c r="BL75" s="85">
        <f>IF(BL32&lt;=Condition!$E$16,0,IF(BL32&lt;=Condition!$F$16,Condition!$D$16,IF(BL32&lt;=Condition!$F$17,Condition!$D$17,IF(BL32&lt;=Condition!$F$18,Condition!$D$18,IF(BL32&gt;Condition!$E$19,Condition!$D$19,"")))))</f>
        <v>0</v>
      </c>
      <c r="BM75" s="85">
        <f>IF(BM32&lt;=Condition!$E$16,0,IF(BM32&lt;=Condition!$F$16,Condition!$D$16,IF(BM32&lt;=Condition!$F$17,Condition!$D$17,IF(BM32&lt;=Condition!$F$18,Condition!$D$18,IF(BM32&gt;Condition!$E$19,Condition!$D$19,"")))))</f>
        <v>0</v>
      </c>
      <c r="BN75" s="85">
        <f>IF(BN32&lt;=Condition!$E$16,0,IF(BN32&lt;=Condition!$F$16,Condition!$D$16,IF(BN32&lt;=Condition!$F$17,Condition!$D$17,IF(BN32&lt;=Condition!$F$18,Condition!$D$18,IF(BN32&gt;Condition!$E$19,Condition!$D$19,"")))))</f>
        <v>0</v>
      </c>
      <c r="BO75" s="85">
        <f>IF(BO32&lt;=Condition!$E$16,0,IF(BO32&lt;=Condition!$F$16,Condition!$D$16,IF(BO32&lt;=Condition!$F$17,Condition!$D$17,IF(BO32&lt;=Condition!$F$18,Condition!$D$18,IF(BO32&gt;Condition!$E$19,Condition!$D$19,"")))))</f>
        <v>0</v>
      </c>
      <c r="BP75" s="85">
        <f>IF(BP32&lt;=Condition!$E$16,0,IF(BP32&lt;=Condition!$F$16,Condition!$D$16,IF(BP32&lt;=Condition!$F$17,Condition!$D$17,IF(BP32&lt;=Condition!$F$18,Condition!$D$18,IF(BP32&gt;Condition!$E$19,Condition!$D$19,"")))))</f>
        <v>0</v>
      </c>
      <c r="BQ75" s="85">
        <f>IF(BQ32&lt;=Condition!$E$16,0,IF(BQ32&lt;=Condition!$F$16,Condition!$D$16,IF(BQ32&lt;=Condition!$F$17,Condition!$D$17,IF(BQ32&lt;=Condition!$F$18,Condition!$D$18,IF(BQ32&gt;Condition!$E$19,Condition!$D$19,"")))))</f>
        <v>0</v>
      </c>
      <c r="BR75" s="85">
        <f>IF(BR32&lt;=Condition!$E$16,0,IF(BR32&lt;=Condition!$F$16,Condition!$D$16,IF(BR32&lt;=Condition!$F$17,Condition!$D$17,IF(BR32&lt;=Condition!$F$18,Condition!$D$18,IF(BR32&gt;Condition!$E$19,Condition!$D$19,"")))))</f>
        <v>0</v>
      </c>
      <c r="BS75" s="85">
        <f>IF(BS32&lt;=Condition!$E$16,0,IF(BS32&lt;=Condition!$F$16,Condition!$D$16,IF(BS32&lt;=Condition!$F$17,Condition!$D$17,IF(BS32&lt;=Condition!$F$18,Condition!$D$18,IF(BS32&gt;Condition!$E$19,Condition!$D$19,"")))))</f>
        <v>0</v>
      </c>
      <c r="BT75" s="85">
        <f>IF(BT32&lt;=Condition!$E$16,0,IF(BT32&lt;=Condition!$F$16,Condition!$D$16,IF(BT32&lt;=Condition!$F$17,Condition!$D$17,IF(BT32&lt;=Condition!$F$18,Condition!$D$18,IF(BT32&gt;Condition!$E$19,Condition!$D$19,"")))))</f>
        <v>0</v>
      </c>
      <c r="BU75" s="85">
        <f>IF(BU32&lt;=Condition!$E$16,0,IF(BU32&lt;=Condition!$F$16,Condition!$D$16,IF(BU32&lt;=Condition!$F$17,Condition!$D$17,IF(BU32&lt;=Condition!$F$18,Condition!$D$18,IF(BU32&gt;Condition!$E$19,Condition!$D$19,"")))))</f>
        <v>0</v>
      </c>
      <c r="BV75" s="85">
        <f>IF(BV32&lt;=Condition!$E$16,0,IF(BV32&lt;=Condition!$F$16,Condition!$D$16,IF(BV32&lt;=Condition!$F$17,Condition!$D$17,IF(BV32&lt;=Condition!$F$18,Condition!$D$18,IF(BV32&gt;Condition!$E$19,Condition!$D$19,"")))))</f>
        <v>0</v>
      </c>
      <c r="BW75" s="85">
        <f>IF(BW32&lt;=Condition!$E$16,0,IF(BW32&lt;=Condition!$F$16,Condition!$D$16,IF(BW32&lt;=Condition!$F$17,Condition!$D$17,IF(BW32&lt;=Condition!$F$18,Condition!$D$18,IF(BW32&gt;Condition!$E$19,Condition!$D$19,"")))))</f>
        <v>0</v>
      </c>
      <c r="BX75" s="85">
        <f>IF(BX32&lt;=Condition!$E$16,0,IF(BX32&lt;=Condition!$F$16,Condition!$D$16,IF(BX32&lt;=Condition!$F$17,Condition!$D$17,IF(BX32&lt;=Condition!$F$18,Condition!$D$18,IF(BX32&gt;Condition!$E$19,Condition!$D$19,"")))))</f>
        <v>0</v>
      </c>
      <c r="BY75" s="85">
        <f>IF(BY32&lt;=Condition!$E$16,0,IF(BY32&lt;=Condition!$F$16,Condition!$D$16,IF(BY32&lt;=Condition!$F$17,Condition!$D$17,IF(BY32&lt;=Condition!$F$18,Condition!$D$18,IF(BY32&gt;Condition!$E$19,Condition!$D$19,"")))))</f>
        <v>0</v>
      </c>
      <c r="BZ75" s="85">
        <f>IF(BZ32&lt;=Condition!$E$16,0,IF(BZ32&lt;=Condition!$F$16,Condition!$D$16,IF(BZ32&lt;=Condition!$F$17,Condition!$D$17,IF(BZ32&lt;=Condition!$F$18,Condition!$D$18,IF(BZ32&gt;Condition!$E$19,Condition!$D$19,"")))))</f>
        <v>0</v>
      </c>
      <c r="CA75" s="85">
        <f>IF(CA32&lt;=Condition!$E$16,0,IF(CA32&lt;=Condition!$F$16,Condition!$D$16,IF(CA32&lt;=Condition!$F$17,Condition!$D$17,IF(CA32&lt;=Condition!$F$18,Condition!$D$18,IF(CA32&gt;Condition!$E$19,Condition!$D$19,"")))))</f>
        <v>0</v>
      </c>
      <c r="CB75" s="85">
        <f>IF(CB32&lt;=Condition!$E$16,0,IF(CB32&lt;=Condition!$F$16,Condition!$D$16,IF(CB32&lt;=Condition!$F$17,Condition!$D$17,IF(CB32&lt;=Condition!$F$18,Condition!$D$18,IF(CB32&gt;Condition!$E$19,Condition!$D$19,"")))))</f>
        <v>0</v>
      </c>
      <c r="CC75" s="85">
        <f>IF(CC32&lt;=Condition!$E$16,0,IF(CC32&lt;=Condition!$F$16,Condition!$D$16,IF(CC32&lt;=Condition!$F$17,Condition!$D$17,IF(CC32&lt;=Condition!$F$18,Condition!$D$18,IF(CC32&gt;Condition!$E$19,Condition!$D$19,"")))))</f>
        <v>0</v>
      </c>
      <c r="CD75" s="85">
        <f>IF(CD32&lt;=Condition!$E$16,0,IF(CD32&lt;=Condition!$F$16,Condition!$D$16,IF(CD32&lt;=Condition!$F$17,Condition!$D$17,IF(CD32&lt;=Condition!$F$18,Condition!$D$18,IF(CD32&gt;Condition!$E$19,Condition!$D$19,"")))))</f>
        <v>0</v>
      </c>
      <c r="CE75" s="85">
        <f>IF(CE32&lt;=Condition!$E$16,0,IF(CE32&lt;=Condition!$F$16,Condition!$D$16,IF(CE32&lt;=Condition!$F$17,Condition!$D$17,IF(CE32&lt;=Condition!$F$18,Condition!$D$18,IF(CE32&gt;Condition!$E$19,Condition!$D$19,"")))))</f>
        <v>0</v>
      </c>
      <c r="CF75" s="85">
        <f>IF(CF32&lt;=Condition!$E$16,0,IF(CF32&lt;=Condition!$F$16,Condition!$D$16,IF(CF32&lt;=Condition!$F$17,Condition!$D$17,IF(CF32&lt;=Condition!$F$18,Condition!$D$18,IF(CF32&gt;Condition!$E$19,Condition!$D$19,"")))))</f>
        <v>0</v>
      </c>
      <c r="CG75" s="85">
        <f>IF(CG32&lt;=Condition!$E$16,0,IF(CG32&lt;=Condition!$F$16,Condition!$D$16,IF(CG32&lt;=Condition!$F$17,Condition!$D$17,IF(CG32&lt;=Condition!$F$18,Condition!$D$18,IF(CG32&gt;Condition!$E$19,Condition!$D$19,"")))))</f>
        <v>0</v>
      </c>
      <c r="CH75" s="85">
        <f>IF(CH32&lt;=Condition!$E$16,0,IF(CH32&lt;=Condition!$F$16,Condition!$D$16,IF(CH32&lt;=Condition!$F$17,Condition!$D$17,IF(CH32&lt;=Condition!$F$18,Condition!$D$18,IF(CH32&gt;Condition!$E$19,Condition!$D$19,"")))))</f>
        <v>0</v>
      </c>
      <c r="CI75" s="85">
        <f>IF(CI32&lt;=Condition!$E$16,0,IF(CI32&lt;=Condition!$F$16,Condition!$D$16,IF(CI32&lt;=Condition!$F$17,Condition!$D$17,IF(CI32&lt;=Condition!$F$18,Condition!$D$18,IF(CI32&gt;Condition!$E$19,Condition!$D$19,"")))))</f>
        <v>0</v>
      </c>
      <c r="CJ75" s="85">
        <f>IF(CJ32&lt;=Condition!$E$16,0,IF(CJ32&lt;=Condition!$F$16,Condition!$D$16,IF(CJ32&lt;=Condition!$F$17,Condition!$D$17,IF(CJ32&lt;=Condition!$F$18,Condition!$D$18,IF(CJ32&gt;Condition!$E$19,Condition!$D$19,"")))))</f>
        <v>0</v>
      </c>
      <c r="CK75" s="85">
        <f>IF(CK32&lt;=Condition!$E$16,0,IF(CK32&lt;=Condition!$F$16,Condition!$D$16,IF(CK32&lt;=Condition!$F$17,Condition!$D$17,IF(CK32&lt;=Condition!$F$18,Condition!$D$18,IF(CK32&gt;Condition!$E$19,Condition!$D$19,"")))))</f>
        <v>0</v>
      </c>
      <c r="CL75" s="85">
        <f>IF(CL32&lt;=Condition!$E$16,0,IF(CL32&lt;=Condition!$F$16,Condition!$D$16,IF(CL32&lt;=Condition!$F$17,Condition!$D$17,IF(CL32&lt;=Condition!$F$18,Condition!$D$18,IF(CL32&gt;Condition!$E$19,Condition!$D$19,"")))))</f>
        <v>0</v>
      </c>
      <c r="CM75" s="85">
        <f>IF(CM32&lt;=Condition!$E$16,0,IF(CM32&lt;=Condition!$F$16,Condition!$D$16,IF(CM32&lt;=Condition!$F$17,Condition!$D$17,IF(CM32&lt;=Condition!$F$18,Condition!$D$18,IF(CM32&gt;Condition!$E$19,Condition!$D$19,"")))))</f>
        <v>0</v>
      </c>
      <c r="CN75" s="85">
        <f>IF(CN32&lt;=Condition!$E$16,0,IF(CN32&lt;=Condition!$F$16,Condition!$D$16,IF(CN32&lt;=Condition!$F$17,Condition!$D$17,IF(CN32&lt;=Condition!$F$18,Condition!$D$18,IF(CN32&gt;Condition!$E$19,Condition!$D$19,"")))))</f>
        <v>0</v>
      </c>
      <c r="CO75" s="85">
        <f>IF(CO32&lt;=Condition!$E$16,0,IF(CO32&lt;=Condition!$F$16,Condition!$D$16,IF(CO32&lt;=Condition!$F$17,Condition!$D$17,IF(CO32&lt;=Condition!$F$18,Condition!$D$18,IF(CO32&gt;Condition!$E$19,Condition!$D$19,"")))))</f>
        <v>0</v>
      </c>
      <c r="CP75" s="85">
        <f>IF(CP32&lt;=Condition!$E$16,0,IF(CP32&lt;=Condition!$F$16,Condition!$D$16,IF(CP32&lt;=Condition!$F$17,Condition!$D$17,IF(CP32&lt;=Condition!$F$18,Condition!$D$18,IF(CP32&gt;Condition!$E$19,Condition!$D$19,"")))))</f>
        <v>0</v>
      </c>
      <c r="CQ75" s="85">
        <f>IF(CQ32&lt;=Condition!$E$16,0,IF(CQ32&lt;=Condition!$F$16,Condition!$D$16,IF(CQ32&lt;=Condition!$F$17,Condition!$D$17,IF(CQ32&lt;=Condition!$F$18,Condition!$D$18,IF(CQ32&gt;Condition!$E$19,Condition!$D$19,"")))))</f>
        <v>0</v>
      </c>
      <c r="CR75" s="85">
        <f>IF(CR32&lt;=Condition!$E$16,0,IF(CR32&lt;=Condition!$F$16,Condition!$D$16,IF(CR32&lt;=Condition!$F$17,Condition!$D$17,IF(CR32&lt;=Condition!$F$18,Condition!$D$18,IF(CR32&gt;Condition!$E$19,Condition!$D$19,"")))))</f>
        <v>0</v>
      </c>
      <c r="CS75" s="85">
        <f>IF(CS32&lt;=Condition!$E$16,0,IF(CS32&lt;=Condition!$F$16,Condition!$D$16,IF(CS32&lt;=Condition!$F$17,Condition!$D$17,IF(CS32&lt;=Condition!$F$18,Condition!$D$18,IF(CS32&gt;Condition!$E$19,Condition!$D$19,"")))))</f>
        <v>0</v>
      </c>
      <c r="CT75" s="85">
        <f>IF(CT32&lt;=Condition!$E$16,0,IF(CT32&lt;=Condition!$F$16,Condition!$D$16,IF(CT32&lt;=Condition!$F$17,Condition!$D$17,IF(CT32&lt;=Condition!$F$18,Condition!$D$18,IF(CT32&gt;Condition!$E$19,Condition!$D$19,"")))))</f>
        <v>0</v>
      </c>
      <c r="CU75" s="85">
        <f>IF(CU32&lt;=Condition!$E$16,0,IF(CU32&lt;=Condition!$F$16,Condition!$D$16,IF(CU32&lt;=Condition!$F$17,Condition!$D$17,IF(CU32&lt;=Condition!$F$18,Condition!$D$18,IF(CU32&gt;Condition!$E$19,Condition!$D$19,"")))))</f>
        <v>0</v>
      </c>
      <c r="CV75" s="85">
        <f>IF(CV32&lt;=Condition!$E$16,0,IF(CV32&lt;=Condition!$F$16,Condition!$D$16,IF(CV32&lt;=Condition!$F$17,Condition!$D$17,IF(CV32&lt;=Condition!$F$18,Condition!$D$18,IF(CV32&gt;Condition!$E$19,Condition!$D$19,"")))))</f>
        <v>0</v>
      </c>
      <c r="CW75" s="85">
        <f>IF(CW32&lt;=Condition!$E$16,0,IF(CW32&lt;=Condition!$F$16,Condition!$D$16,IF(CW32&lt;=Condition!$F$17,Condition!$D$17,IF(CW32&lt;=Condition!$F$18,Condition!$D$18,IF(CW32&gt;Condition!$E$19,Condition!$D$19,"")))))</f>
        <v>0</v>
      </c>
      <c r="CX75" s="85">
        <f>IF(CX32&lt;=Condition!$E$16,0,IF(CX32&lt;=Condition!$F$16,Condition!$D$16,IF(CX32&lt;=Condition!$F$17,Condition!$D$17,IF(CX32&lt;=Condition!$F$18,Condition!$D$18,IF(CX32&gt;Condition!$E$19,Condition!$D$19,"")))))</f>
        <v>0</v>
      </c>
      <c r="CY75" s="85">
        <f>IF(CY32&lt;=Condition!$E$16,0,IF(CY32&lt;=Condition!$F$16,Condition!$D$16,IF(CY32&lt;=Condition!$F$17,Condition!$D$17,IF(CY32&lt;=Condition!$F$18,Condition!$D$18,IF(CY32&gt;Condition!$E$19,Condition!$D$19,"")))))</f>
        <v>0</v>
      </c>
      <c r="CZ75" s="85">
        <f>IF(CZ32&lt;=Condition!$E$16,0,IF(CZ32&lt;=Condition!$F$16,Condition!$D$16,IF(CZ32&lt;=Condition!$F$17,Condition!$D$17,IF(CZ32&lt;=Condition!$F$18,Condition!$D$18,IF(CZ32&gt;Condition!$E$19,Condition!$D$19,"")))))</f>
        <v>0</v>
      </c>
      <c r="DA75" s="85">
        <f>IF(DA32&lt;=Condition!$E$16,0,IF(DA32&lt;=Condition!$F$16,Condition!$D$16,IF(DA32&lt;=Condition!$F$17,Condition!$D$17,IF(DA32&lt;=Condition!$F$18,Condition!$D$18,IF(DA32&gt;Condition!$E$19,Condition!$D$19,"")))))</f>
        <v>0</v>
      </c>
      <c r="DB75" s="85">
        <f>IF(DB32&lt;=Condition!$E$16,0,IF(DB32&lt;=Condition!$F$16,Condition!$D$16,IF(DB32&lt;=Condition!$F$17,Condition!$D$17,IF(DB32&lt;=Condition!$F$18,Condition!$D$18,IF(DB32&gt;Condition!$E$19,Condition!$D$19,"")))))</f>
        <v>0</v>
      </c>
      <c r="DC75" s="85">
        <f>IF(DC32&lt;=Condition!$E$16,0,IF(DC32&lt;=Condition!$F$16,Condition!$D$16,IF(DC32&lt;=Condition!$F$17,Condition!$D$17,IF(DC32&lt;=Condition!$F$18,Condition!$D$18,IF(DC32&gt;Condition!$E$19,Condition!$D$19,"")))))</f>
        <v>0</v>
      </c>
      <c r="DD75" s="85">
        <f>IF(DD32&lt;=Condition!$E$16,0,IF(DD32&lt;=Condition!$F$16,Condition!$D$16,IF(DD32&lt;=Condition!$F$17,Condition!$D$17,IF(DD32&lt;=Condition!$F$18,Condition!$D$18,IF(DD32&gt;Condition!$E$19,Condition!$D$19,"")))))</f>
        <v>0</v>
      </c>
      <c r="DE75" s="85">
        <f>IF(DE32&lt;=Condition!$E$16,0,IF(DE32&lt;=Condition!$F$16,Condition!$D$16,IF(DE32&lt;=Condition!$F$17,Condition!$D$17,IF(DE32&lt;=Condition!$F$18,Condition!$D$18,IF(DE32&gt;Condition!$E$19,Condition!$D$19,"")))))</f>
        <v>0</v>
      </c>
      <c r="DF75" s="85">
        <f>IF(DF32&lt;=Condition!$E$16,0,IF(DF32&lt;=Condition!$F$16,Condition!$D$16,IF(DF32&lt;=Condition!$F$17,Condition!$D$17,IF(DF32&lt;=Condition!$F$18,Condition!$D$18,IF(DF32&gt;Condition!$E$19,Condition!$D$19,"")))))</f>
        <v>0</v>
      </c>
      <c r="DG75" s="85">
        <f>IF(DG32&lt;=Condition!$E$16,0,IF(DG32&lt;=Condition!$F$16,Condition!$D$16,IF(DG32&lt;=Condition!$F$17,Condition!$D$17,IF(DG32&lt;=Condition!$F$18,Condition!$D$18,IF(DG32&gt;Condition!$E$19,Condition!$D$19,"")))))</f>
        <v>0</v>
      </c>
      <c r="DH75" s="85">
        <f>IF(DH32&lt;=Condition!$E$16,0,IF(DH32&lt;=Condition!$F$16,Condition!$D$16,IF(DH32&lt;=Condition!$F$17,Condition!$D$17,IF(DH32&lt;=Condition!$F$18,Condition!$D$18,IF(DH32&gt;Condition!$E$19,Condition!$D$19,"")))))</f>
        <v>0</v>
      </c>
      <c r="DI75" s="85">
        <f>IF(DI32&lt;=Condition!$E$16,0,IF(DI32&lt;=Condition!$F$16,Condition!$D$16,IF(DI32&lt;=Condition!$F$17,Condition!$D$17,IF(DI32&lt;=Condition!$F$18,Condition!$D$18,IF(DI32&gt;Condition!$E$19,Condition!$D$19,"")))))</f>
        <v>0</v>
      </c>
      <c r="DJ75" s="85">
        <f>IF(DJ32&lt;=Condition!$E$16,0,IF(DJ32&lt;=Condition!$F$16,Condition!$D$16,IF(DJ32&lt;=Condition!$F$17,Condition!$D$17,IF(DJ32&lt;=Condition!$F$18,Condition!$D$18,IF(DJ32&gt;Condition!$E$19,Condition!$D$19,"")))))</f>
        <v>0</v>
      </c>
      <c r="DK75" s="85">
        <f>IF(DK32&lt;=Condition!$E$16,0,IF(DK32&lt;=Condition!$F$16,Condition!$D$16,IF(DK32&lt;=Condition!$F$17,Condition!$D$17,IF(DK32&lt;=Condition!$F$18,Condition!$D$18,IF(DK32&gt;Condition!$E$19,Condition!$D$19,"")))))</f>
        <v>0</v>
      </c>
      <c r="DL75" s="85">
        <f>IF(DL32&lt;=Condition!$E$16,0,IF(DL32&lt;=Condition!$F$16,Condition!$D$16,IF(DL32&lt;=Condition!$F$17,Condition!$D$17,IF(DL32&lt;=Condition!$F$18,Condition!$D$18,IF(DL32&gt;Condition!$E$19,Condition!$D$19,"")))))</f>
        <v>0</v>
      </c>
      <c r="DM75" s="85">
        <f>IF(DM32&lt;=Condition!$E$16,0,IF(DM32&lt;=Condition!$F$16,Condition!$D$16,IF(DM32&lt;=Condition!$F$17,Condition!$D$17,IF(DM32&lt;=Condition!$F$18,Condition!$D$18,IF(DM32&gt;Condition!$E$19,Condition!$D$19,"")))))</f>
        <v>0</v>
      </c>
      <c r="DN75" s="85">
        <f>IF(DN32&lt;=Condition!$E$16,0,IF(DN32&lt;=Condition!$F$16,Condition!$D$16,IF(DN32&lt;=Condition!$F$17,Condition!$D$17,IF(DN32&lt;=Condition!$F$18,Condition!$D$18,IF(DN32&gt;Condition!$E$19,Condition!$D$19,"")))))</f>
        <v>0</v>
      </c>
      <c r="DO75" s="85">
        <f>IF(DO32&lt;=Condition!$E$16,0,IF(DO32&lt;=Condition!$F$16,Condition!$D$16,IF(DO32&lt;=Condition!$F$17,Condition!$D$17,IF(DO32&lt;=Condition!$F$18,Condition!$D$18,IF(DO32&gt;Condition!$E$19,Condition!$D$19,"")))))</f>
        <v>0</v>
      </c>
      <c r="DP75" s="85">
        <f>IF(DP32&lt;=Condition!$E$16,0,IF(DP32&lt;=Condition!$F$16,Condition!$D$16,IF(DP32&lt;=Condition!$F$17,Condition!$D$17,IF(DP32&lt;=Condition!$F$18,Condition!$D$18,IF(DP32&gt;Condition!$E$19,Condition!$D$19,"")))))</f>
        <v>0</v>
      </c>
      <c r="DQ75" s="85">
        <f>IF(DQ32&lt;=Condition!$E$16,0,IF(DQ32&lt;=Condition!$F$16,Condition!$D$16,IF(DQ32&lt;=Condition!$F$17,Condition!$D$17,IF(DQ32&lt;=Condition!$F$18,Condition!$D$18,IF(DQ32&gt;Condition!$E$19,Condition!$D$19,"")))))</f>
        <v>0</v>
      </c>
      <c r="DR75" s="85">
        <f>IF(DR32&lt;=Condition!$E$16,0,IF(DR32&lt;=Condition!$F$16,Condition!$D$16,IF(DR32&lt;=Condition!$F$17,Condition!$D$17,IF(DR32&lt;=Condition!$F$18,Condition!$D$18,IF(DR32&gt;Condition!$E$19,Condition!$D$19,"")))))</f>
        <v>0</v>
      </c>
      <c r="DS75" s="85">
        <f>IF(DS32&lt;=Condition!$E$16,0,IF(DS32&lt;=Condition!$F$16,Condition!$D$16,IF(DS32&lt;=Condition!$F$17,Condition!$D$17,IF(DS32&lt;=Condition!$F$18,Condition!$D$18,IF(DS32&gt;Condition!$E$19,Condition!$D$19,"")))))</f>
        <v>0</v>
      </c>
      <c r="DT75" s="85">
        <f>IF(DT32&lt;=Condition!$E$16,0,IF(DT32&lt;=Condition!$F$16,Condition!$D$16,IF(DT32&lt;=Condition!$F$17,Condition!$D$17,IF(DT32&lt;=Condition!$F$18,Condition!$D$18,IF(DT32&gt;Condition!$E$19,Condition!$D$19,"")))))</f>
        <v>0</v>
      </c>
      <c r="DU75" s="85">
        <f>IF(DU32&lt;=Condition!$E$16,0,IF(DU32&lt;=Condition!$F$16,Condition!$D$16,IF(DU32&lt;=Condition!$F$17,Condition!$D$17,IF(DU32&lt;=Condition!$F$18,Condition!$D$18,IF(DU32&gt;Condition!$E$19,Condition!$D$19,"")))))</f>
        <v>0</v>
      </c>
      <c r="DV75" s="85">
        <f>IF(DV32&lt;=Condition!$E$16,0,IF(DV32&lt;=Condition!$F$16,Condition!$D$16,IF(DV32&lt;=Condition!$F$17,Condition!$D$17,IF(DV32&lt;=Condition!$F$18,Condition!$D$18,IF(DV32&gt;Condition!$E$19,Condition!$D$19,"")))))</f>
        <v>0</v>
      </c>
      <c r="DW75" s="85">
        <f>IF(DW32&lt;=Condition!$E$16,0,IF(DW32&lt;=Condition!$F$16,Condition!$D$16,IF(DW32&lt;=Condition!$F$17,Condition!$D$17,IF(DW32&lt;=Condition!$F$18,Condition!$D$18,IF(DW32&gt;Condition!$E$19,Condition!$D$19,"")))))</f>
        <v>0</v>
      </c>
      <c r="DX75" s="85">
        <f>IF(DX32&lt;=Condition!$E$16,0,IF(DX32&lt;=Condition!$F$16,Condition!$D$16,IF(DX32&lt;=Condition!$F$17,Condition!$D$17,IF(DX32&lt;=Condition!$F$18,Condition!$D$18,IF(DX32&gt;Condition!$E$19,Condition!$D$19,"")))))</f>
        <v>0</v>
      </c>
      <c r="DY75" s="85">
        <f>IF(DY32&lt;=Condition!$E$16,0,IF(DY32&lt;=Condition!$F$16,Condition!$D$16,IF(DY32&lt;=Condition!$F$17,Condition!$D$17,IF(DY32&lt;=Condition!$F$18,Condition!$D$18,IF(DY32&gt;Condition!$E$19,Condition!$D$19,"")))))</f>
        <v>0</v>
      </c>
      <c r="DZ75" s="85">
        <f>IF(DZ32&lt;=Condition!$E$16,0,IF(DZ32&lt;=Condition!$F$16,Condition!$D$16,IF(DZ32&lt;=Condition!$F$17,Condition!$D$17,IF(DZ32&lt;=Condition!$F$18,Condition!$D$18,IF(DZ32&gt;Condition!$E$19,Condition!$D$19,"")))))</f>
        <v>0</v>
      </c>
      <c r="EA75" s="85">
        <f>IF(EA32&lt;=Condition!$E$16,0,IF(EA32&lt;=Condition!$F$16,Condition!$D$16,IF(EA32&lt;=Condition!$F$17,Condition!$D$17,IF(EA32&lt;=Condition!$F$18,Condition!$D$18,IF(EA32&gt;Condition!$E$19,Condition!$D$19,"")))))</f>
        <v>0</v>
      </c>
      <c r="EB75" s="85">
        <f>IF(EB32&lt;=Condition!$E$16,0,IF(EB32&lt;=Condition!$F$16,Condition!$D$16,IF(EB32&lt;=Condition!$F$17,Condition!$D$17,IF(EB32&lt;=Condition!$F$18,Condition!$D$18,IF(EB32&gt;Condition!$E$19,Condition!$D$19,"")))))</f>
        <v>0</v>
      </c>
      <c r="EC75" s="85">
        <f>IF(EC32&lt;=Condition!$E$16,0,IF(EC32&lt;=Condition!$F$16,Condition!$D$16,IF(EC32&lt;=Condition!$F$17,Condition!$D$17,IF(EC32&lt;=Condition!$F$18,Condition!$D$18,IF(EC32&gt;Condition!$E$19,Condition!$D$19,"")))))</f>
        <v>0</v>
      </c>
      <c r="ED75" s="85">
        <f>IF(ED32&lt;=Condition!$E$16,0,IF(ED32&lt;=Condition!$F$16,Condition!$D$16,IF(ED32&lt;=Condition!$F$17,Condition!$D$17,IF(ED32&lt;=Condition!$F$18,Condition!$D$18,IF(ED32&gt;Condition!$E$19,Condition!$D$19,"")))))</f>
        <v>0</v>
      </c>
      <c r="EE75" s="85">
        <f>IF(EE32&lt;=Condition!$E$16,0,IF(EE32&lt;=Condition!$F$16,Condition!$D$16,IF(EE32&lt;=Condition!$F$17,Condition!$D$17,IF(EE32&lt;=Condition!$F$18,Condition!$D$18,IF(EE32&gt;Condition!$E$19,Condition!$D$19,"")))))</f>
        <v>0</v>
      </c>
      <c r="EF75" s="85">
        <f>IF(EF32&lt;=Condition!$E$16,0,IF(EF32&lt;=Condition!$F$16,Condition!$D$16,IF(EF32&lt;=Condition!$F$17,Condition!$D$17,IF(EF32&lt;=Condition!$F$18,Condition!$D$18,IF(EF32&gt;Condition!$E$19,Condition!$D$19,"")))))</f>
        <v>0</v>
      </c>
      <c r="EG75" s="85">
        <f>IF(EG32&lt;=Condition!$E$16,0,IF(EG32&lt;=Condition!$F$16,Condition!$D$16,IF(EG32&lt;=Condition!$F$17,Condition!$D$17,IF(EG32&lt;=Condition!$F$18,Condition!$D$18,IF(EG32&gt;Condition!$E$19,Condition!$D$19,"")))))</f>
        <v>0</v>
      </c>
      <c r="EH75" s="85">
        <f>IF(EH32&lt;=Condition!$E$16,0,IF(EH32&lt;=Condition!$F$16,Condition!$D$16,IF(EH32&lt;=Condition!$F$17,Condition!$D$17,IF(EH32&lt;=Condition!$F$18,Condition!$D$18,IF(EH32&gt;Condition!$E$19,Condition!$D$19,"")))))</f>
        <v>0</v>
      </c>
      <c r="EI75" s="85">
        <f>IF(EI32&lt;=Condition!$E$16,0,IF(EI32&lt;=Condition!$F$16,Condition!$D$16,IF(EI32&lt;=Condition!$F$17,Condition!$D$17,IF(EI32&lt;=Condition!$F$18,Condition!$D$18,IF(EI32&gt;Condition!$E$19,Condition!$D$19,"")))))</f>
        <v>0</v>
      </c>
      <c r="EJ75" s="85">
        <f>IF(EJ32&lt;=Condition!$E$16,0,IF(EJ32&lt;=Condition!$F$16,Condition!$D$16,IF(EJ32&lt;=Condition!$F$17,Condition!$D$17,IF(EJ32&lt;=Condition!$F$18,Condition!$D$18,IF(EJ32&gt;Condition!$E$19,Condition!$D$19,"")))))</f>
        <v>0</v>
      </c>
      <c r="EK75" s="85">
        <f>IF(EK32&lt;=Condition!$E$16,0,IF(EK32&lt;=Condition!$F$16,Condition!$D$16,IF(EK32&lt;=Condition!$F$17,Condition!$D$17,IF(EK32&lt;=Condition!$F$18,Condition!$D$18,IF(EK32&gt;Condition!$E$19,Condition!$D$19,"")))))</f>
        <v>0</v>
      </c>
      <c r="EL75" s="85">
        <f>IF(EL32&lt;=Condition!$E$16,0,IF(EL32&lt;=Condition!$F$16,Condition!$D$16,IF(EL32&lt;=Condition!$F$17,Condition!$D$17,IF(EL32&lt;=Condition!$F$18,Condition!$D$18,IF(EL32&gt;Condition!$E$19,Condition!$D$19,"")))))</f>
        <v>0</v>
      </c>
      <c r="EM75" s="85">
        <f>IF(EM32&lt;=Condition!$E$16,0,IF(EM32&lt;=Condition!$F$16,Condition!$D$16,IF(EM32&lt;=Condition!$F$17,Condition!$D$17,IF(EM32&lt;=Condition!$F$18,Condition!$D$18,IF(EM32&gt;Condition!$E$19,Condition!$D$19,"")))))</f>
        <v>0</v>
      </c>
      <c r="EN75" s="85">
        <f>IF(EN32&lt;=Condition!$E$16,0,IF(EN32&lt;=Condition!$F$16,Condition!$D$16,IF(EN32&lt;=Condition!$F$17,Condition!$D$17,IF(EN32&lt;=Condition!$F$18,Condition!$D$18,IF(EN32&gt;Condition!$E$19,Condition!$D$19,"")))))</f>
        <v>0</v>
      </c>
      <c r="EO75" s="85">
        <f>IF(EO32&lt;=Condition!$E$16,0,IF(EO32&lt;=Condition!$F$16,Condition!$D$16,IF(EO32&lt;=Condition!$F$17,Condition!$D$17,IF(EO32&lt;=Condition!$F$18,Condition!$D$18,IF(EO32&gt;Condition!$E$19,Condition!$D$19,"")))))</f>
        <v>0</v>
      </c>
      <c r="EP75" s="85">
        <f>IF(EP32&lt;=Condition!$E$16,0,IF(EP32&lt;=Condition!$F$16,Condition!$D$16,IF(EP32&lt;=Condition!$F$17,Condition!$D$17,IF(EP32&lt;=Condition!$F$18,Condition!$D$18,IF(EP32&gt;Condition!$E$19,Condition!$D$19,"")))))</f>
        <v>0</v>
      </c>
      <c r="EQ75" s="85">
        <f>IF(EQ32&lt;=Condition!$E$16,0,IF(EQ32&lt;=Condition!$F$16,Condition!$D$16,IF(EQ32&lt;=Condition!$F$17,Condition!$D$17,IF(EQ32&lt;=Condition!$F$18,Condition!$D$18,IF(EQ32&gt;Condition!$E$19,Condition!$D$19,"")))))</f>
        <v>0</v>
      </c>
      <c r="ER75" s="85">
        <f>IF(ER32&lt;=Condition!$E$16,0,IF(ER32&lt;=Condition!$F$16,Condition!$D$16,IF(ER32&lt;=Condition!$F$17,Condition!$D$17,IF(ER32&lt;=Condition!$F$18,Condition!$D$18,IF(ER32&gt;Condition!$E$19,Condition!$D$19,"")))))</f>
        <v>0</v>
      </c>
      <c r="ES75" s="85">
        <f>IF(ES32&lt;=Condition!$E$16,0,IF(ES32&lt;=Condition!$F$16,Condition!$D$16,IF(ES32&lt;=Condition!$F$17,Condition!$D$17,IF(ES32&lt;=Condition!$F$18,Condition!$D$18,IF(ES32&gt;Condition!$E$19,Condition!$D$19,"")))))</f>
        <v>0</v>
      </c>
      <c r="ET75" s="85">
        <f>IF(ET32&lt;=Condition!$E$16,0,IF(ET32&lt;=Condition!$F$16,Condition!$D$16,IF(ET32&lt;=Condition!$F$17,Condition!$D$17,IF(ET32&lt;=Condition!$F$18,Condition!$D$18,IF(ET32&gt;Condition!$E$19,Condition!$D$19,"")))))</f>
        <v>0</v>
      </c>
      <c r="EU75" s="85">
        <f>IF(EU32&lt;=Condition!$E$16,0,IF(EU32&lt;=Condition!$F$16,Condition!$D$16,IF(EU32&lt;=Condition!$F$17,Condition!$D$17,IF(EU32&lt;=Condition!$F$18,Condition!$D$18,IF(EU32&gt;Condition!$E$19,Condition!$D$19,"")))))</f>
        <v>0</v>
      </c>
      <c r="EV75" s="85">
        <f>IF(EV32&lt;=Condition!$E$16,0,IF(EV32&lt;=Condition!$F$16,Condition!$D$16,IF(EV32&lt;=Condition!$F$17,Condition!$D$17,IF(EV32&lt;=Condition!$F$18,Condition!$D$18,IF(EV32&gt;Condition!$E$19,Condition!$D$19,"")))))</f>
        <v>0</v>
      </c>
      <c r="EW75" s="85">
        <f>IF(EW32&lt;=Condition!$E$16,0,IF(EW32&lt;=Condition!$F$16,Condition!$D$16,IF(EW32&lt;=Condition!$F$17,Condition!$D$17,IF(EW32&lt;=Condition!$F$18,Condition!$D$18,IF(EW32&gt;Condition!$E$19,Condition!$D$19,"")))))</f>
        <v>0</v>
      </c>
      <c r="EX75" s="85">
        <f>IF(EX32&lt;=Condition!$E$16,0,IF(EX32&lt;=Condition!$F$16,Condition!$D$16,IF(EX32&lt;=Condition!$F$17,Condition!$D$17,IF(EX32&lt;=Condition!$F$18,Condition!$D$18,IF(EX32&gt;Condition!$E$19,Condition!$D$19,"")))))</f>
        <v>0</v>
      </c>
      <c r="EY75" s="85">
        <f>IF(EY32&lt;=Condition!$E$16,0,IF(EY32&lt;=Condition!$F$16,Condition!$D$16,IF(EY32&lt;=Condition!$F$17,Condition!$D$17,IF(EY32&lt;=Condition!$F$18,Condition!$D$18,IF(EY32&gt;Condition!$E$19,Condition!$D$19,"")))))</f>
        <v>0</v>
      </c>
      <c r="EZ75" s="85">
        <f>IF(EZ32&lt;=Condition!$E$16,0,IF(EZ32&lt;=Condition!$F$16,Condition!$D$16,IF(EZ32&lt;=Condition!$F$17,Condition!$D$17,IF(EZ32&lt;=Condition!$F$18,Condition!$D$18,IF(EZ32&gt;Condition!$E$19,Condition!$D$19,"")))))</f>
        <v>0</v>
      </c>
      <c r="FA75" s="85">
        <f>IF(FA32&lt;=Condition!$E$16,0,IF(FA32&lt;=Condition!$F$16,Condition!$D$16,IF(FA32&lt;=Condition!$F$17,Condition!$D$17,IF(FA32&lt;=Condition!$F$18,Condition!$D$18,IF(FA32&gt;Condition!$E$19,Condition!$D$19,"")))))</f>
        <v>0</v>
      </c>
      <c r="FB75" s="85">
        <f>IF(FB32&lt;=Condition!$E$16,0,IF(FB32&lt;=Condition!$F$16,Condition!$D$16,IF(FB32&lt;=Condition!$F$17,Condition!$D$17,IF(FB32&lt;=Condition!$F$18,Condition!$D$18,IF(FB32&gt;Condition!$E$19,Condition!$D$19,"")))))</f>
        <v>0</v>
      </c>
      <c r="FC75" s="85">
        <f>IF(FC32&lt;=Condition!$E$16,0,IF(FC32&lt;=Condition!$F$16,Condition!$D$16,IF(FC32&lt;=Condition!$F$17,Condition!$D$17,IF(FC32&lt;=Condition!$F$18,Condition!$D$18,IF(FC32&gt;Condition!$E$19,Condition!$D$19,"")))))</f>
        <v>0</v>
      </c>
      <c r="FD75" s="85">
        <f>IF(FD32&lt;=Condition!$E$16,0,IF(FD32&lt;=Condition!$F$16,Condition!$D$16,IF(FD32&lt;=Condition!$F$17,Condition!$D$17,IF(FD32&lt;=Condition!$F$18,Condition!$D$18,IF(FD32&gt;Condition!$E$19,Condition!$D$19,"")))))</f>
        <v>0</v>
      </c>
      <c r="FE75" s="85">
        <f>IF(FE32&lt;=Condition!$E$16,0,IF(FE32&lt;=Condition!$F$16,Condition!$D$16,IF(FE32&lt;=Condition!$F$17,Condition!$D$17,IF(FE32&lt;=Condition!$F$18,Condition!$D$18,IF(FE32&gt;Condition!$E$19,Condition!$D$19,"")))))</f>
        <v>0</v>
      </c>
      <c r="FF75" s="85">
        <f>IF(FF32&lt;=Condition!$E$16,0,IF(FF32&lt;=Condition!$F$16,Condition!$D$16,IF(FF32&lt;=Condition!$F$17,Condition!$D$17,IF(FF32&lt;=Condition!$F$18,Condition!$D$18,IF(FF32&gt;Condition!$E$19,Condition!$D$19,"")))))</f>
        <v>0</v>
      </c>
      <c r="FG75" s="85">
        <f>IF(FG32&lt;=Condition!$E$16,0,IF(FG32&lt;=Condition!$F$16,Condition!$D$16,IF(FG32&lt;=Condition!$F$17,Condition!$D$17,IF(FG32&lt;=Condition!$F$18,Condition!$D$18,IF(FG32&gt;Condition!$E$19,Condition!$D$19,"")))))</f>
        <v>0</v>
      </c>
      <c r="FH75" s="85">
        <f>IF(FH32&lt;=Condition!$E$16,0,IF(FH32&lt;=Condition!$F$16,Condition!$D$16,IF(FH32&lt;=Condition!$F$17,Condition!$D$17,IF(FH32&lt;=Condition!$F$18,Condition!$D$18,IF(FH32&gt;Condition!$E$19,Condition!$D$19,"")))))</f>
        <v>0</v>
      </c>
      <c r="FI75" s="85">
        <f>IF(FI32&lt;=Condition!$E$16,0,IF(FI32&lt;=Condition!$F$16,Condition!$D$16,IF(FI32&lt;=Condition!$F$17,Condition!$D$17,IF(FI32&lt;=Condition!$F$18,Condition!$D$18,IF(FI32&gt;Condition!$E$19,Condition!$D$19,"")))))</f>
        <v>0</v>
      </c>
      <c r="FJ75" s="85">
        <f>IF(FJ32&lt;=Condition!$E$16,0,IF(FJ32&lt;=Condition!$F$16,Condition!$D$16,IF(FJ32&lt;=Condition!$F$17,Condition!$D$17,IF(FJ32&lt;=Condition!$F$18,Condition!$D$18,IF(FJ32&gt;Condition!$E$19,Condition!$D$19,"")))))</f>
        <v>0</v>
      </c>
      <c r="FK75" s="85">
        <f>IF(FK32&lt;=Condition!$E$16,0,IF(FK32&lt;=Condition!$F$16,Condition!$D$16,IF(FK32&lt;=Condition!$F$17,Condition!$D$17,IF(FK32&lt;=Condition!$F$18,Condition!$D$18,IF(FK32&gt;Condition!$E$19,Condition!$D$19,"")))))</f>
        <v>0</v>
      </c>
      <c r="FL75" s="85">
        <f>IF(FL32&lt;=Condition!$E$16,0,IF(FL32&lt;=Condition!$F$16,Condition!$D$16,IF(FL32&lt;=Condition!$F$17,Condition!$D$17,IF(FL32&lt;=Condition!$F$18,Condition!$D$18,IF(FL32&gt;Condition!$E$19,Condition!$D$19,"")))))</f>
        <v>0</v>
      </c>
      <c r="FM75" s="85">
        <f>IF(FM32&lt;=Condition!$E$16,0,IF(FM32&lt;=Condition!$F$16,Condition!$D$16,IF(FM32&lt;=Condition!$F$17,Condition!$D$17,IF(FM32&lt;=Condition!$F$18,Condition!$D$18,IF(FM32&gt;Condition!$E$19,Condition!$D$19,"")))))</f>
        <v>0</v>
      </c>
      <c r="FN75" s="85">
        <f>IF(FN32&lt;=Condition!$E$16,0,IF(FN32&lt;=Condition!$F$16,Condition!$D$16,IF(FN32&lt;=Condition!$F$17,Condition!$D$17,IF(FN32&lt;=Condition!$F$18,Condition!$D$18,IF(FN32&gt;Condition!$E$19,Condition!$D$19,"")))))</f>
        <v>0</v>
      </c>
      <c r="FO75" s="85">
        <f>IF(FO32&lt;=Condition!$E$16,0,IF(FO32&lt;=Condition!$F$16,Condition!$D$16,IF(FO32&lt;=Condition!$F$17,Condition!$D$17,IF(FO32&lt;=Condition!$F$18,Condition!$D$18,IF(FO32&gt;Condition!$E$19,Condition!$D$19,"")))))</f>
        <v>0</v>
      </c>
      <c r="FP75" s="85">
        <f>IF(FP32&lt;=Condition!$E$16,0,IF(FP32&lt;=Condition!$F$16,Condition!$D$16,IF(FP32&lt;=Condition!$F$17,Condition!$D$17,IF(FP32&lt;=Condition!$F$18,Condition!$D$18,IF(FP32&gt;Condition!$E$19,Condition!$D$19,"")))))</f>
        <v>0</v>
      </c>
      <c r="FQ75" s="85">
        <f>IF(FQ32&lt;=Condition!$E$16,0,IF(FQ32&lt;=Condition!$F$16,Condition!$D$16,IF(FQ32&lt;=Condition!$F$17,Condition!$D$17,IF(FQ32&lt;=Condition!$F$18,Condition!$D$18,IF(FQ32&gt;Condition!$E$19,Condition!$D$19,"")))))</f>
        <v>0</v>
      </c>
      <c r="FR75" s="85">
        <f>IF(FR32&lt;=Condition!$E$16,0,IF(FR32&lt;=Condition!$F$16,Condition!$D$16,IF(FR32&lt;=Condition!$F$17,Condition!$D$17,IF(FR32&lt;=Condition!$F$18,Condition!$D$18,IF(FR32&gt;Condition!$E$19,Condition!$D$19,"")))))</f>
        <v>0</v>
      </c>
      <c r="FS75" s="85">
        <f>IF(FS32&lt;=Condition!$E$16,0,IF(FS32&lt;=Condition!$F$16,Condition!$D$16,IF(FS32&lt;=Condition!$F$17,Condition!$D$17,IF(FS32&lt;=Condition!$F$18,Condition!$D$18,IF(FS32&gt;Condition!$E$19,Condition!$D$19,"")))))</f>
        <v>0</v>
      </c>
      <c r="FT75" s="85">
        <f>IF(FT32&lt;=Condition!$E$16,0,IF(FT32&lt;=Condition!$F$16,Condition!$D$16,IF(FT32&lt;=Condition!$F$17,Condition!$D$17,IF(FT32&lt;=Condition!$F$18,Condition!$D$18,IF(FT32&gt;Condition!$E$19,Condition!$D$19,"")))))</f>
        <v>0</v>
      </c>
      <c r="FU75" s="85">
        <f>IF(FU32&lt;=Condition!$E$16,0,IF(FU32&lt;=Condition!$F$16,Condition!$D$16,IF(FU32&lt;=Condition!$F$17,Condition!$D$17,IF(FU32&lt;=Condition!$F$18,Condition!$D$18,IF(FU32&gt;Condition!$E$19,Condition!$D$19,"")))))</f>
        <v>0</v>
      </c>
      <c r="FV75" s="85">
        <f>IF(FV32&lt;=Condition!$E$16,0,IF(FV32&lt;=Condition!$F$16,Condition!$D$16,IF(FV32&lt;=Condition!$F$17,Condition!$D$17,IF(FV32&lt;=Condition!$F$18,Condition!$D$18,IF(FV32&gt;Condition!$E$19,Condition!$D$19,"")))))</f>
        <v>0</v>
      </c>
      <c r="FW75" s="85">
        <f>IF(FW32&lt;=Condition!$E$16,0,IF(FW32&lt;=Condition!$F$16,Condition!$D$16,IF(FW32&lt;=Condition!$F$17,Condition!$D$17,IF(FW32&lt;=Condition!$F$18,Condition!$D$18,IF(FW32&gt;Condition!$E$19,Condition!$D$19,"")))))</f>
        <v>0</v>
      </c>
      <c r="FX75" s="85">
        <f>IF(FX32&lt;=Condition!$E$16,0,IF(FX32&lt;=Condition!$F$16,Condition!$D$16,IF(FX32&lt;=Condition!$F$17,Condition!$D$17,IF(FX32&lt;=Condition!$F$18,Condition!$D$18,IF(FX32&gt;Condition!$E$19,Condition!$D$19,"")))))</f>
        <v>0</v>
      </c>
      <c r="FY75" s="85">
        <f>IF(FY32&lt;=Condition!$E$16,0,IF(FY32&lt;=Condition!$F$16,Condition!$D$16,IF(FY32&lt;=Condition!$F$17,Condition!$D$17,IF(FY32&lt;=Condition!$F$18,Condition!$D$18,IF(FY32&gt;Condition!$E$19,Condition!$D$19,"")))))</f>
        <v>0</v>
      </c>
      <c r="FZ75" s="85">
        <f>IF(FZ32&lt;=Condition!$E$16,0,IF(FZ32&lt;=Condition!$F$16,Condition!$D$16,IF(FZ32&lt;=Condition!$F$17,Condition!$D$17,IF(FZ32&lt;=Condition!$F$18,Condition!$D$18,IF(FZ32&gt;Condition!$E$19,Condition!$D$19,"")))))</f>
        <v>0</v>
      </c>
      <c r="GA75" s="85">
        <f>IF(GA32&lt;=Condition!$E$16,0,IF(GA32&lt;=Condition!$F$16,Condition!$D$16,IF(GA32&lt;=Condition!$F$17,Condition!$D$17,IF(GA32&lt;=Condition!$F$18,Condition!$D$18,IF(GA32&gt;Condition!$E$19,Condition!$D$19,"")))))</f>
        <v>0</v>
      </c>
      <c r="GB75" s="85">
        <f>IF(GB32&lt;=Condition!$E$16,0,IF(GB32&lt;=Condition!$F$16,Condition!$D$16,IF(GB32&lt;=Condition!$F$17,Condition!$D$17,IF(GB32&lt;=Condition!$F$18,Condition!$D$18,IF(GB32&gt;Condition!$E$19,Condition!$D$19,"")))))</f>
        <v>0</v>
      </c>
      <c r="GC75" s="85">
        <f>IF(GC32&lt;=Condition!$E$16,0,IF(GC32&lt;=Condition!$F$16,Condition!$D$16,IF(GC32&lt;=Condition!$F$17,Condition!$D$17,IF(GC32&lt;=Condition!$F$18,Condition!$D$18,IF(GC32&gt;Condition!$E$19,Condition!$D$19,"")))))</f>
        <v>0</v>
      </c>
      <c r="GD75" s="85">
        <f>IF(GD32&lt;=Condition!$E$16,0,IF(GD32&lt;=Condition!$F$16,Condition!$D$16,IF(GD32&lt;=Condition!$F$17,Condition!$D$17,IF(GD32&lt;=Condition!$F$18,Condition!$D$18,IF(GD32&gt;Condition!$E$19,Condition!$D$19,"")))))</f>
        <v>0</v>
      </c>
      <c r="GE75" s="85">
        <f>IF(GE32&lt;=Condition!$E$16,0,IF(GE32&lt;=Condition!$F$16,Condition!$D$16,IF(GE32&lt;=Condition!$F$17,Condition!$D$17,IF(GE32&lt;=Condition!$F$18,Condition!$D$18,IF(GE32&gt;Condition!$E$19,Condition!$D$19,"")))))</f>
        <v>0</v>
      </c>
      <c r="GF75" s="85">
        <f>IF(GF32&lt;=Condition!$E$16,0,IF(GF32&lt;=Condition!$F$16,Condition!$D$16,IF(GF32&lt;=Condition!$F$17,Condition!$D$17,IF(GF32&lt;=Condition!$F$18,Condition!$D$18,IF(GF32&gt;Condition!$E$19,Condition!$D$19,"")))))</f>
        <v>0</v>
      </c>
      <c r="GG75" s="85">
        <f>IF(GG32&lt;=Condition!$E$16,0,IF(GG32&lt;=Condition!$F$16,Condition!$D$16,IF(GG32&lt;=Condition!$F$17,Condition!$D$17,IF(GG32&lt;=Condition!$F$18,Condition!$D$18,IF(GG32&gt;Condition!$E$19,Condition!$D$19,"")))))</f>
        <v>0</v>
      </c>
      <c r="GH75" s="85">
        <f>IF(GH32&lt;=Condition!$E$16,0,IF(GH32&lt;=Condition!$F$16,Condition!$D$16,IF(GH32&lt;=Condition!$F$17,Condition!$D$17,IF(GH32&lt;=Condition!$F$18,Condition!$D$18,IF(GH32&gt;Condition!$E$19,Condition!$D$19,"")))))</f>
        <v>0</v>
      </c>
      <c r="GI75" s="85">
        <f>IF(GI32&lt;=Condition!$E$16,0,IF(GI32&lt;=Condition!$F$16,Condition!$D$16,IF(GI32&lt;=Condition!$F$17,Condition!$D$17,IF(GI32&lt;=Condition!$F$18,Condition!$D$18,IF(GI32&gt;Condition!$E$19,Condition!$D$19,"")))))</f>
        <v>0</v>
      </c>
      <c r="GJ75" s="85">
        <f>IF(GJ32&lt;=Condition!$E$16,0,IF(GJ32&lt;=Condition!$F$16,Condition!$D$16,IF(GJ32&lt;=Condition!$F$17,Condition!$D$17,IF(GJ32&lt;=Condition!$F$18,Condition!$D$18,IF(GJ32&gt;Condition!$E$19,Condition!$D$19,"")))))</f>
        <v>0</v>
      </c>
      <c r="GK75" s="85">
        <f>IF(GK32&lt;=Condition!$E$16,0,IF(GK32&lt;=Condition!$F$16,Condition!$D$16,IF(GK32&lt;=Condition!$F$17,Condition!$D$17,IF(GK32&lt;=Condition!$F$18,Condition!$D$18,IF(GK32&gt;Condition!$E$19,Condition!$D$19,"")))))</f>
        <v>0</v>
      </c>
      <c r="GL75" s="85">
        <f>IF(GL32&lt;=Condition!$E$16,0,IF(GL32&lt;=Condition!$F$16,Condition!$D$16,IF(GL32&lt;=Condition!$F$17,Condition!$D$17,IF(GL32&lt;=Condition!$F$18,Condition!$D$18,IF(GL32&gt;Condition!$E$19,Condition!$D$19,"")))))</f>
        <v>0</v>
      </c>
      <c r="GM75" s="85">
        <f>IF(GM32&lt;=Condition!$E$16,0,IF(GM32&lt;=Condition!$F$16,Condition!$D$16,IF(GM32&lt;=Condition!$F$17,Condition!$D$17,IF(GM32&lt;=Condition!$F$18,Condition!$D$18,IF(GM32&gt;Condition!$E$19,Condition!$D$19,"")))))</f>
        <v>0</v>
      </c>
      <c r="GN75" s="85">
        <f>IF(GN32&lt;=Condition!$E$16,0,IF(GN32&lt;=Condition!$F$16,Condition!$D$16,IF(GN32&lt;=Condition!$F$17,Condition!$D$17,IF(GN32&lt;=Condition!$F$18,Condition!$D$18,IF(GN32&gt;Condition!$E$19,Condition!$D$19,"")))))</f>
        <v>0</v>
      </c>
      <c r="GO75" s="85">
        <f>IF(GO32&lt;=Condition!$E$16,0,IF(GO32&lt;=Condition!$F$16,Condition!$D$16,IF(GO32&lt;=Condition!$F$17,Condition!$D$17,IF(GO32&lt;=Condition!$F$18,Condition!$D$18,IF(GO32&gt;Condition!$E$19,Condition!$D$19,"")))))</f>
        <v>0</v>
      </c>
      <c r="GP75" s="85">
        <f>IF(GP32&lt;=Condition!$E$16,0,IF(GP32&lt;=Condition!$F$16,Condition!$D$16,IF(GP32&lt;=Condition!$F$17,Condition!$D$17,IF(GP32&lt;=Condition!$F$18,Condition!$D$18,IF(GP32&gt;Condition!$E$19,Condition!$D$19,"")))))</f>
        <v>0</v>
      </c>
      <c r="GQ75" s="85">
        <f>IF(GQ32&lt;=Condition!$E$16,0,IF(GQ32&lt;=Condition!$F$16,Condition!$D$16,IF(GQ32&lt;=Condition!$F$17,Condition!$D$17,IF(GQ32&lt;=Condition!$F$18,Condition!$D$18,IF(GQ32&gt;Condition!$E$19,Condition!$D$19,"")))))</f>
        <v>0</v>
      </c>
      <c r="GR75" s="85">
        <f>IF(GR32&lt;=Condition!$E$16,0,IF(GR32&lt;=Condition!$F$16,Condition!$D$16,IF(GR32&lt;=Condition!$F$17,Condition!$D$17,IF(GR32&lt;=Condition!$F$18,Condition!$D$18,IF(GR32&gt;Condition!$E$19,Condition!$D$19,"")))))</f>
        <v>0</v>
      </c>
      <c r="GS75" s="85">
        <f>IF(GS32&lt;=Condition!$E$16,0,IF(GS32&lt;=Condition!$F$16,Condition!$D$16,IF(GS32&lt;=Condition!$F$17,Condition!$D$17,IF(GS32&lt;=Condition!$F$18,Condition!$D$18,IF(GS32&gt;Condition!$E$19,Condition!$D$19,"")))))</f>
        <v>0</v>
      </c>
      <c r="GT75" s="85">
        <f>IF(GT32&lt;=Condition!$E$16,0,IF(GT32&lt;=Condition!$F$16,Condition!$D$16,IF(GT32&lt;=Condition!$F$17,Condition!$D$17,IF(GT32&lt;=Condition!$F$18,Condition!$D$18,IF(GT32&gt;Condition!$E$19,Condition!$D$19,"")))))</f>
        <v>0</v>
      </c>
      <c r="GU75" s="85">
        <f>IF(GU32&lt;=Condition!$E$16,0,IF(GU32&lt;=Condition!$F$16,Condition!$D$16,IF(GU32&lt;=Condition!$F$17,Condition!$D$17,IF(GU32&lt;=Condition!$F$18,Condition!$D$18,IF(GU32&gt;Condition!$E$19,Condition!$D$19,"")))))</f>
        <v>0</v>
      </c>
      <c r="GV75" s="85">
        <f>IF(GV32&lt;=Condition!$E$16,0,IF(GV32&lt;=Condition!$F$16,Condition!$D$16,IF(GV32&lt;=Condition!$F$17,Condition!$D$17,IF(GV32&lt;=Condition!$F$18,Condition!$D$18,IF(GV32&gt;Condition!$E$19,Condition!$D$19,"")))))</f>
        <v>0</v>
      </c>
      <c r="GW75" s="85">
        <f>IF(GW32&lt;=Condition!$E$16,0,IF(GW32&lt;=Condition!$F$16,Condition!$D$16,IF(GW32&lt;=Condition!$F$17,Condition!$D$17,IF(GW32&lt;=Condition!$F$18,Condition!$D$18,IF(GW32&gt;Condition!$E$19,Condition!$D$19,"")))))</f>
        <v>0</v>
      </c>
      <c r="GX75" s="85">
        <f>IF(GX32&lt;=Condition!$E$16,0,IF(GX32&lt;=Condition!$F$16,Condition!$D$16,IF(GX32&lt;=Condition!$F$17,Condition!$D$17,IF(GX32&lt;=Condition!$F$18,Condition!$D$18,IF(GX32&gt;Condition!$E$19,Condition!$D$19,"")))))</f>
        <v>0</v>
      </c>
      <c r="GY75" s="85">
        <f>IF(GY32&lt;=Condition!$E$16,0,IF(GY32&lt;=Condition!$F$16,Condition!$D$16,IF(GY32&lt;=Condition!$F$17,Condition!$D$17,IF(GY32&lt;=Condition!$F$18,Condition!$D$18,IF(GY32&gt;Condition!$E$19,Condition!$D$19,"")))))</f>
        <v>0</v>
      </c>
      <c r="GZ75" s="85">
        <f>IF(GZ32&lt;=Condition!$E$16,0,IF(GZ32&lt;=Condition!$F$16,Condition!$D$16,IF(GZ32&lt;=Condition!$F$17,Condition!$D$17,IF(GZ32&lt;=Condition!$F$18,Condition!$D$18,IF(GZ32&gt;Condition!$E$19,Condition!$D$19,"")))))</f>
        <v>0</v>
      </c>
      <c r="HA75" s="85">
        <f>IF(HA32&lt;=Condition!$E$16,0,IF(HA32&lt;=Condition!$F$16,Condition!$D$16,IF(HA32&lt;=Condition!$F$17,Condition!$D$17,IF(HA32&lt;=Condition!$F$18,Condition!$D$18,IF(HA32&gt;Condition!$E$19,Condition!$D$19,"")))))</f>
        <v>0</v>
      </c>
      <c r="HB75" s="85">
        <f>IF(HB32&lt;=Condition!$E$16,0,IF(HB32&lt;=Condition!$F$16,Condition!$D$16,IF(HB32&lt;=Condition!$F$17,Condition!$D$17,IF(HB32&lt;=Condition!$F$18,Condition!$D$18,IF(HB32&gt;Condition!$E$19,Condition!$D$19,"")))))</f>
        <v>0</v>
      </c>
      <c r="HC75" s="85">
        <f>IF(HC32&lt;=Condition!$E$16,0,IF(HC32&lt;=Condition!$F$16,Condition!$D$16,IF(HC32&lt;=Condition!$F$17,Condition!$D$17,IF(HC32&lt;=Condition!$F$18,Condition!$D$18,IF(HC32&gt;Condition!$E$19,Condition!$D$19,"")))))</f>
        <v>0</v>
      </c>
      <c r="HD75" s="85">
        <f>IF(HD32&lt;=Condition!$E$16,0,IF(HD32&lt;=Condition!$F$16,Condition!$D$16,IF(HD32&lt;=Condition!$F$17,Condition!$D$17,IF(HD32&lt;=Condition!$F$18,Condition!$D$18,IF(HD32&gt;Condition!$E$19,Condition!$D$19,"")))))</f>
        <v>0</v>
      </c>
      <c r="HE75" s="85">
        <f>IF(HE32&lt;=Condition!$E$16,0,IF(HE32&lt;=Condition!$F$16,Condition!$D$16,IF(HE32&lt;=Condition!$F$17,Condition!$D$17,IF(HE32&lt;=Condition!$F$18,Condition!$D$18,IF(HE32&gt;Condition!$E$19,Condition!$D$19,"")))))</f>
        <v>0</v>
      </c>
      <c r="HF75" s="85">
        <f>IF(HF32&lt;=Condition!$E$16,0,IF(HF32&lt;=Condition!$F$16,Condition!$D$16,IF(HF32&lt;=Condition!$F$17,Condition!$D$17,IF(HF32&lt;=Condition!$F$18,Condition!$D$18,IF(HF32&gt;Condition!$E$19,Condition!$D$19,"")))))</f>
        <v>0</v>
      </c>
      <c r="HG75" s="85">
        <f>IF(HG32&lt;=Condition!$E$16,0,IF(HG32&lt;=Condition!$F$16,Condition!$D$16,IF(HG32&lt;=Condition!$F$17,Condition!$D$17,IF(HG32&lt;=Condition!$F$18,Condition!$D$18,IF(HG32&gt;Condition!$E$19,Condition!$D$19,"")))))</f>
        <v>0</v>
      </c>
      <c r="HH75" s="85">
        <f>IF(HH32&lt;=Condition!$E$16,0,IF(HH32&lt;=Condition!$F$16,Condition!$D$16,IF(HH32&lt;=Condition!$F$17,Condition!$D$17,IF(HH32&lt;=Condition!$F$18,Condition!$D$18,IF(HH32&gt;Condition!$E$19,Condition!$D$19,"")))))</f>
        <v>0</v>
      </c>
      <c r="HI75" s="85">
        <f>IF(HI32&lt;=Condition!$E$16,0,IF(HI32&lt;=Condition!$F$16,Condition!$D$16,IF(HI32&lt;=Condition!$F$17,Condition!$D$17,IF(HI32&lt;=Condition!$F$18,Condition!$D$18,IF(HI32&gt;Condition!$E$19,Condition!$D$19,"")))))</f>
        <v>0</v>
      </c>
      <c r="HJ75" s="85">
        <f>IF(HJ32&lt;=Condition!$E$16,0,IF(HJ32&lt;=Condition!$F$16,Condition!$D$16,IF(HJ32&lt;=Condition!$F$17,Condition!$D$17,IF(HJ32&lt;=Condition!$F$18,Condition!$D$18,IF(HJ32&gt;Condition!$E$19,Condition!$D$19,"")))))</f>
        <v>0</v>
      </c>
      <c r="HK75" s="85">
        <f>IF(HK32&lt;=Condition!$E$16,0,IF(HK32&lt;=Condition!$F$16,Condition!$D$16,IF(HK32&lt;=Condition!$F$17,Condition!$D$17,IF(HK32&lt;=Condition!$F$18,Condition!$D$18,IF(HK32&gt;Condition!$E$19,Condition!$D$19,"")))))</f>
        <v>0</v>
      </c>
      <c r="HL75" s="85">
        <f>IF(HL32&lt;=Condition!$E$16,0,IF(HL32&lt;=Condition!$F$16,Condition!$D$16,IF(HL32&lt;=Condition!$F$17,Condition!$D$17,IF(HL32&lt;=Condition!$F$18,Condition!$D$18,IF(HL32&gt;Condition!$E$19,Condition!$D$19,"")))))</f>
        <v>0</v>
      </c>
      <c r="HM75" s="85">
        <f>IF(HM32&lt;=Condition!$E$16,0,IF(HM32&lt;=Condition!$F$16,Condition!$D$16,IF(HM32&lt;=Condition!$F$17,Condition!$D$17,IF(HM32&lt;=Condition!$F$18,Condition!$D$18,IF(HM32&gt;Condition!$E$19,Condition!$D$19,"")))))</f>
        <v>0</v>
      </c>
      <c r="HN75" s="85">
        <f>IF(HN32&lt;=Condition!$E$16,0,IF(HN32&lt;=Condition!$F$16,Condition!$D$16,IF(HN32&lt;=Condition!$F$17,Condition!$D$17,IF(HN32&lt;=Condition!$F$18,Condition!$D$18,IF(HN32&gt;Condition!$E$19,Condition!$D$19,"")))))</f>
        <v>0</v>
      </c>
      <c r="HO75" s="85">
        <f>IF(HO32&lt;=Condition!$E$16,0,IF(HO32&lt;=Condition!$F$16,Condition!$D$16,IF(HO32&lt;=Condition!$F$17,Condition!$D$17,IF(HO32&lt;=Condition!$F$18,Condition!$D$18,IF(HO32&gt;Condition!$E$19,Condition!$D$19,"")))))</f>
        <v>0</v>
      </c>
      <c r="HP75" s="85">
        <f>IF(HP32&lt;=Condition!$E$16,0,IF(HP32&lt;=Condition!$F$16,Condition!$D$16,IF(HP32&lt;=Condition!$F$17,Condition!$D$17,IF(HP32&lt;=Condition!$F$18,Condition!$D$18,IF(HP32&gt;Condition!$E$19,Condition!$D$19,"")))))</f>
        <v>0</v>
      </c>
      <c r="HQ75" s="85">
        <f>IF(HQ32&lt;=Condition!$E$16,0,IF(HQ32&lt;=Condition!$F$16,Condition!$D$16,IF(HQ32&lt;=Condition!$F$17,Condition!$D$17,IF(HQ32&lt;=Condition!$F$18,Condition!$D$18,IF(HQ32&gt;Condition!$E$19,Condition!$D$19,"")))))</f>
        <v>0</v>
      </c>
      <c r="HR75" s="85">
        <f>IF(HR32&lt;=Condition!$E$16,0,IF(HR32&lt;=Condition!$F$16,Condition!$D$16,IF(HR32&lt;=Condition!$F$17,Condition!$D$17,IF(HR32&lt;=Condition!$F$18,Condition!$D$18,IF(HR32&gt;Condition!$E$19,Condition!$D$19,"")))))</f>
        <v>0</v>
      </c>
      <c r="HS75" s="85">
        <f>IF(HS32&lt;=Condition!$E$16,0,IF(HS32&lt;=Condition!$F$16,Condition!$D$16,IF(HS32&lt;=Condition!$F$17,Condition!$D$17,IF(HS32&lt;=Condition!$F$18,Condition!$D$18,IF(HS32&gt;Condition!$E$19,Condition!$D$19,"")))))</f>
        <v>0</v>
      </c>
      <c r="HT75" s="85">
        <f>IF(HT32&lt;=Condition!$E$16,0,IF(HT32&lt;=Condition!$F$16,Condition!$D$16,IF(HT32&lt;=Condition!$F$17,Condition!$D$17,IF(HT32&lt;=Condition!$F$18,Condition!$D$18,IF(HT32&gt;Condition!$E$19,Condition!$D$19,"")))))</f>
        <v>0</v>
      </c>
      <c r="HU75" s="85">
        <f>IF(HU32&lt;=Condition!$E$16,0,IF(HU32&lt;=Condition!$F$16,Condition!$D$16,IF(HU32&lt;=Condition!$F$17,Condition!$D$17,IF(HU32&lt;=Condition!$F$18,Condition!$D$18,IF(HU32&gt;Condition!$E$19,Condition!$D$19,"")))))</f>
        <v>0</v>
      </c>
      <c r="HV75" s="85">
        <f>IF(HV32&lt;=Condition!$E$16,0,IF(HV32&lt;=Condition!$F$16,Condition!$D$16,IF(HV32&lt;=Condition!$F$17,Condition!$D$17,IF(HV32&lt;=Condition!$F$18,Condition!$D$18,IF(HV32&gt;Condition!$E$19,Condition!$D$19,"")))))</f>
        <v>0</v>
      </c>
      <c r="HW75" s="85">
        <f>IF(HW32&lt;=Condition!$E$16,0,IF(HW32&lt;=Condition!$F$16,Condition!$D$16,IF(HW32&lt;=Condition!$F$17,Condition!$D$17,IF(HW32&lt;=Condition!$F$18,Condition!$D$18,IF(HW32&gt;Condition!$E$19,Condition!$D$19,"")))))</f>
        <v>0</v>
      </c>
      <c r="HX75" s="85">
        <f>IF(HX32&lt;=Condition!$E$16,0,IF(HX32&lt;=Condition!$F$16,Condition!$D$16,IF(HX32&lt;=Condition!$F$17,Condition!$D$17,IF(HX32&lt;=Condition!$F$18,Condition!$D$18,IF(HX32&gt;Condition!$E$19,Condition!$D$19,"")))))</f>
        <v>0</v>
      </c>
      <c r="HY75" s="85">
        <f>IF(HY32&lt;=Condition!$E$16,0,IF(HY32&lt;=Condition!$F$16,Condition!$D$16,IF(HY32&lt;=Condition!$F$17,Condition!$D$17,IF(HY32&lt;=Condition!$F$18,Condition!$D$18,IF(HY32&gt;Condition!$E$19,Condition!$D$19,"")))))</f>
        <v>0</v>
      </c>
      <c r="HZ75" s="85">
        <f>IF(HZ32&lt;=Condition!$E$16,0,IF(HZ32&lt;=Condition!$F$16,Condition!$D$16,IF(HZ32&lt;=Condition!$F$17,Condition!$D$17,IF(HZ32&lt;=Condition!$F$18,Condition!$D$18,IF(HZ32&gt;Condition!$E$19,Condition!$D$19,"")))))</f>
        <v>0</v>
      </c>
      <c r="IA75" s="85">
        <f>IF(IA32&lt;=Condition!$E$16,0,IF(IA32&lt;=Condition!$F$16,Condition!$D$16,IF(IA32&lt;=Condition!$F$17,Condition!$D$17,IF(IA32&lt;=Condition!$F$18,Condition!$D$18,IF(IA32&gt;Condition!$E$19,Condition!$D$19,"")))))</f>
        <v>0</v>
      </c>
      <c r="IB75" s="85">
        <f>IF(IB32&lt;=Condition!$E$16,0,IF(IB32&lt;=Condition!$F$16,Condition!$D$16,IF(IB32&lt;=Condition!$F$17,Condition!$D$17,IF(IB32&lt;=Condition!$F$18,Condition!$D$18,IF(IB32&gt;Condition!$E$19,Condition!$D$19,"")))))</f>
        <v>0</v>
      </c>
      <c r="IC75" s="85">
        <f>IF(IC32&lt;=Condition!$E$16,0,IF(IC32&lt;=Condition!$F$16,Condition!$D$16,IF(IC32&lt;=Condition!$F$17,Condition!$D$17,IF(IC32&lt;=Condition!$F$18,Condition!$D$18,IF(IC32&gt;Condition!$E$19,Condition!$D$19,"")))))</f>
        <v>0</v>
      </c>
      <c r="ID75" s="85">
        <f>IF(ID32&lt;=Condition!$E$16,0,IF(ID32&lt;=Condition!$F$16,Condition!$D$16,IF(ID32&lt;=Condition!$F$17,Condition!$D$17,IF(ID32&lt;=Condition!$F$18,Condition!$D$18,IF(ID32&gt;Condition!$E$19,Condition!$D$19,"")))))</f>
        <v>0</v>
      </c>
      <c r="IE75" s="85">
        <f>IF(IE32&lt;=Condition!$E$16,0,IF(IE32&lt;=Condition!$F$16,Condition!$D$16,IF(IE32&lt;=Condition!$F$17,Condition!$D$17,IF(IE32&lt;=Condition!$F$18,Condition!$D$18,IF(IE32&gt;Condition!$E$19,Condition!$D$19,"")))))</f>
        <v>0</v>
      </c>
      <c r="IF75" s="85">
        <f>IF(IF32&lt;=Condition!$E$16,0,IF(IF32&lt;=Condition!$F$16,Condition!$D$16,IF(IF32&lt;=Condition!$F$17,Condition!$D$17,IF(IF32&lt;=Condition!$F$18,Condition!$D$18,IF(IF32&gt;Condition!$E$19,Condition!$D$19,"")))))</f>
        <v>0</v>
      </c>
      <c r="IG75" s="85">
        <f>IF(IG32&lt;=Condition!$E$16,0,IF(IG32&lt;=Condition!$F$16,Condition!$D$16,IF(IG32&lt;=Condition!$F$17,Condition!$D$17,IF(IG32&lt;=Condition!$F$18,Condition!$D$18,IF(IG32&gt;Condition!$E$19,Condition!$D$19,"")))))</f>
        <v>0</v>
      </c>
      <c r="IH75" s="85">
        <f>IF(IH32&lt;=Condition!$E$16,0,IF(IH32&lt;=Condition!$F$16,Condition!$D$16,IF(IH32&lt;=Condition!$F$17,Condition!$D$17,IF(IH32&lt;=Condition!$F$18,Condition!$D$18,IF(IH32&gt;Condition!$E$19,Condition!$D$19,"")))))</f>
        <v>0</v>
      </c>
      <c r="II75" s="85">
        <f>IF(II32&lt;=Condition!$E$16,0,IF(II32&lt;=Condition!$F$16,Condition!$D$16,IF(II32&lt;=Condition!$F$17,Condition!$D$17,IF(II32&lt;=Condition!$F$18,Condition!$D$18,IF(II32&gt;Condition!$E$19,Condition!$D$19,"")))))</f>
        <v>0</v>
      </c>
      <c r="IJ75" s="85">
        <f>IF(IJ32&lt;=Condition!$E$16,0,IF(IJ32&lt;=Condition!$F$16,Condition!$D$16,IF(IJ32&lt;=Condition!$F$17,Condition!$D$17,IF(IJ32&lt;=Condition!$F$18,Condition!$D$18,IF(IJ32&gt;Condition!$E$19,Condition!$D$19,"")))))</f>
        <v>0</v>
      </c>
      <c r="IK75" s="85">
        <f>IF(IK32&lt;=Condition!$E$16,0,IF(IK32&lt;=Condition!$F$16,Condition!$D$16,IF(IK32&lt;=Condition!$F$17,Condition!$D$17,IF(IK32&lt;=Condition!$F$18,Condition!$D$18,IF(IK32&gt;Condition!$E$19,Condition!$D$19,"")))))</f>
        <v>0</v>
      </c>
      <c r="IL75" s="85">
        <f>IF(IL32&lt;=Condition!$E$16,0,IF(IL32&lt;=Condition!$F$16,Condition!$D$16,IF(IL32&lt;=Condition!$F$17,Condition!$D$17,IF(IL32&lt;=Condition!$F$18,Condition!$D$18,IF(IL32&gt;Condition!$E$19,Condition!$D$19,"")))))</f>
        <v>0</v>
      </c>
      <c r="IM75" s="85">
        <f>IF(IM32&lt;=Condition!$E$16,0,IF(IM32&lt;=Condition!$F$16,Condition!$D$16,IF(IM32&lt;=Condition!$F$17,Condition!$D$17,IF(IM32&lt;=Condition!$F$18,Condition!$D$18,IF(IM32&gt;Condition!$E$19,Condition!$D$19,"")))))</f>
        <v>0</v>
      </c>
      <c r="IN75" s="85">
        <f>IF(IN32&lt;=Condition!$E$16,0,IF(IN32&lt;=Condition!$F$16,Condition!$D$16,IF(IN32&lt;=Condition!$F$17,Condition!$D$17,IF(IN32&lt;=Condition!$F$18,Condition!$D$18,IF(IN32&gt;Condition!$E$19,Condition!$D$19,"")))))</f>
        <v>0</v>
      </c>
      <c r="IO75" s="85">
        <f>IF(IO32&lt;=Condition!$E$16,0,IF(IO32&lt;=Condition!$F$16,Condition!$D$16,IF(IO32&lt;=Condition!$F$17,Condition!$D$17,IF(IO32&lt;=Condition!$F$18,Condition!$D$18,IF(IO32&gt;Condition!$E$19,Condition!$D$19,"")))))</f>
        <v>0</v>
      </c>
      <c r="IP75" s="85">
        <f>IF(IP32&lt;=Condition!$E$16,0,IF(IP32&lt;=Condition!$F$16,Condition!$D$16,IF(IP32&lt;=Condition!$F$17,Condition!$D$17,IF(IP32&lt;=Condition!$F$18,Condition!$D$18,IF(IP32&gt;Condition!$E$19,Condition!$D$19,"")))))</f>
        <v>0</v>
      </c>
      <c r="IQ75" s="85">
        <f>IF(IQ32&lt;=Condition!$E$16,0,IF(IQ32&lt;=Condition!$F$16,Condition!$D$16,IF(IQ32&lt;=Condition!$F$17,Condition!$D$17,IF(IQ32&lt;=Condition!$F$18,Condition!$D$18,IF(IQ32&gt;Condition!$E$19,Condition!$D$19,"")))))</f>
        <v>0</v>
      </c>
      <c r="IR75" s="85">
        <f>IF(IR32&lt;=Condition!$E$16,0,IF(IR32&lt;=Condition!$F$16,Condition!$D$16,IF(IR32&lt;=Condition!$F$17,Condition!$D$17,IF(IR32&lt;=Condition!$F$18,Condition!$D$18,IF(IR32&gt;Condition!$E$19,Condition!$D$19,"")))))</f>
        <v>0</v>
      </c>
      <c r="IS75" s="85">
        <f>IF(IS32&lt;=Condition!$E$16,0,IF(IS32&lt;=Condition!$F$16,Condition!$D$16,IF(IS32&lt;=Condition!$F$17,Condition!$D$17,IF(IS32&lt;=Condition!$F$18,Condition!$D$18,IF(IS32&gt;Condition!$E$19,Condition!$D$19,"")))))</f>
        <v>0</v>
      </c>
      <c r="IT75" s="85">
        <f>IF(IT32&lt;=Condition!$E$16,0,IF(IT32&lt;=Condition!$F$16,Condition!$D$16,IF(IT32&lt;=Condition!$F$17,Condition!$D$17,IF(IT32&lt;=Condition!$F$18,Condition!$D$18,IF(IT32&gt;Condition!$E$19,Condition!$D$19,"")))))</f>
        <v>0</v>
      </c>
      <c r="IU75" s="85">
        <f>IF(IU32&lt;=Condition!$E$16,0,IF(IU32&lt;=Condition!$F$16,Condition!$D$16,IF(IU32&lt;=Condition!$F$17,Condition!$D$17,IF(IU32&lt;=Condition!$F$18,Condition!$D$18,IF(IU32&gt;Condition!$E$19,Condition!$D$19,"")))))</f>
        <v>0</v>
      </c>
      <c r="IV75" s="85">
        <f>IF(IV32&lt;=Condition!$E$16,0,IF(IV32&lt;=Condition!$F$16,Condition!$D$16,IF(IV32&lt;=Condition!$F$17,Condition!$D$17,IF(IV32&lt;=Condition!$F$18,Condition!$D$18,IF(IV32&gt;Condition!$E$19,Condition!$D$19,"")))))</f>
        <v>0</v>
      </c>
      <c r="IW75" s="85">
        <f>IF(IW32&lt;=Condition!$E$16,0,IF(IW32&lt;=Condition!$F$16,Condition!$D$16,IF(IW32&lt;=Condition!$F$17,Condition!$D$17,IF(IW32&lt;=Condition!$F$18,Condition!$D$18,IF(IW32&gt;Condition!$E$19,Condition!$D$19,"")))))</f>
        <v>0</v>
      </c>
      <c r="IX75" s="85">
        <f>IF(IX32&lt;=Condition!$E$16,0,IF(IX32&lt;=Condition!$F$16,Condition!$D$16,IF(IX32&lt;=Condition!$F$17,Condition!$D$17,IF(IX32&lt;=Condition!$F$18,Condition!$D$18,IF(IX32&gt;Condition!$E$19,Condition!$D$19,"")))))</f>
        <v>0</v>
      </c>
      <c r="IY75" s="85">
        <f>IF(IY32&lt;=Condition!$E$16,0,IF(IY32&lt;=Condition!$F$16,Condition!$D$16,IF(IY32&lt;=Condition!$F$17,Condition!$D$17,IF(IY32&lt;=Condition!$F$18,Condition!$D$18,IF(IY32&gt;Condition!$E$19,Condition!$D$19,"")))))</f>
        <v>0</v>
      </c>
      <c r="IZ75" s="85">
        <f>IF(IZ32&lt;=Condition!$E$16,0,IF(IZ32&lt;=Condition!$F$16,Condition!$D$16,IF(IZ32&lt;=Condition!$F$17,Condition!$D$17,IF(IZ32&lt;=Condition!$F$18,Condition!$D$18,IF(IZ32&gt;Condition!$E$19,Condition!$D$19,"")))))</f>
        <v>0</v>
      </c>
      <c r="JA75" s="85">
        <f>IF(JA32&lt;=Condition!$E$16,0,IF(JA32&lt;=Condition!$F$16,Condition!$D$16,IF(JA32&lt;=Condition!$F$17,Condition!$D$17,IF(JA32&lt;=Condition!$F$18,Condition!$D$18,IF(JA32&gt;Condition!$E$19,Condition!$D$19,"")))))</f>
        <v>0</v>
      </c>
      <c r="JB75" s="85">
        <f>IF(JB32&lt;=Condition!$E$16,0,IF(JB32&lt;=Condition!$F$16,Condition!$D$16,IF(JB32&lt;=Condition!$F$17,Condition!$D$17,IF(JB32&lt;=Condition!$F$18,Condition!$D$18,IF(JB32&gt;Condition!$E$19,Condition!$D$19,"")))))</f>
        <v>0</v>
      </c>
      <c r="JC75" s="85">
        <f>IF(JC32&lt;=Condition!$E$16,0,IF(JC32&lt;=Condition!$F$16,Condition!$D$16,IF(JC32&lt;=Condition!$F$17,Condition!$D$17,IF(JC32&lt;=Condition!$F$18,Condition!$D$18,IF(JC32&gt;Condition!$E$19,Condition!$D$19,"")))))</f>
        <v>0</v>
      </c>
      <c r="JD75" s="85">
        <f>IF(JD32&lt;=Condition!$E$16,0,IF(JD32&lt;=Condition!$F$16,Condition!$D$16,IF(JD32&lt;=Condition!$F$17,Condition!$D$17,IF(JD32&lt;=Condition!$F$18,Condition!$D$18,IF(JD32&gt;Condition!$E$19,Condition!$D$19,"")))))</f>
        <v>0</v>
      </c>
      <c r="JE75" s="85">
        <f>IF(JE32&lt;=Condition!$E$16,0,IF(JE32&lt;=Condition!$F$16,Condition!$D$16,IF(JE32&lt;=Condition!$F$17,Condition!$D$17,IF(JE32&lt;=Condition!$F$18,Condition!$D$18,IF(JE32&gt;Condition!$E$19,Condition!$D$19,"")))))</f>
        <v>0</v>
      </c>
      <c r="JF75" s="85">
        <f>IF(JF32&lt;=Condition!$E$16,0,IF(JF32&lt;=Condition!$F$16,Condition!$D$16,IF(JF32&lt;=Condition!$F$17,Condition!$D$17,IF(JF32&lt;=Condition!$F$18,Condition!$D$18,IF(JF32&gt;Condition!$E$19,Condition!$D$19,"")))))</f>
        <v>0</v>
      </c>
      <c r="JG75" s="85">
        <f>IF(JG32&lt;=Condition!$E$16,0,IF(JG32&lt;=Condition!$F$16,Condition!$D$16,IF(JG32&lt;=Condition!$F$17,Condition!$D$17,IF(JG32&lt;=Condition!$F$18,Condition!$D$18,IF(JG32&gt;Condition!$E$19,Condition!$D$19,"")))))</f>
        <v>0</v>
      </c>
      <c r="JH75" s="85">
        <f>IF(JH32&lt;=Condition!$E$16,0,IF(JH32&lt;=Condition!$F$16,Condition!$D$16,IF(JH32&lt;=Condition!$F$17,Condition!$D$17,IF(JH32&lt;=Condition!$F$18,Condition!$D$18,IF(JH32&gt;Condition!$E$19,Condition!$D$19,"")))))</f>
        <v>0</v>
      </c>
      <c r="JI75" s="85">
        <f>IF(JI32&lt;=Condition!$E$16,0,IF(JI32&lt;=Condition!$F$16,Condition!$D$16,IF(JI32&lt;=Condition!$F$17,Condition!$D$17,IF(JI32&lt;=Condition!$F$18,Condition!$D$18,IF(JI32&gt;Condition!$E$19,Condition!$D$19,"")))))</f>
        <v>0</v>
      </c>
      <c r="JJ75" s="85">
        <f>IF(JJ32&lt;=Condition!$E$16,0,IF(JJ32&lt;=Condition!$F$16,Condition!$D$16,IF(JJ32&lt;=Condition!$F$17,Condition!$D$17,IF(JJ32&lt;=Condition!$F$18,Condition!$D$18,IF(JJ32&gt;Condition!$E$19,Condition!$D$19,"")))))</f>
        <v>0</v>
      </c>
      <c r="JK75" s="85">
        <f>IF(JK32&lt;=Condition!$E$16,0,IF(JK32&lt;=Condition!$F$16,Condition!$D$16,IF(JK32&lt;=Condition!$F$17,Condition!$D$17,IF(JK32&lt;=Condition!$F$18,Condition!$D$18,IF(JK32&gt;Condition!$E$19,Condition!$D$19,"")))))</f>
        <v>0</v>
      </c>
      <c r="JL75" s="85">
        <f>IF(JL32&lt;=Condition!$E$16,0,IF(JL32&lt;=Condition!$F$16,Condition!$D$16,IF(JL32&lt;=Condition!$F$17,Condition!$D$17,IF(JL32&lt;=Condition!$F$18,Condition!$D$18,IF(JL32&gt;Condition!$E$19,Condition!$D$19,"")))))</f>
        <v>0</v>
      </c>
      <c r="JM75" s="85">
        <f>IF(JM32&lt;=Condition!$E$16,0,IF(JM32&lt;=Condition!$F$16,Condition!$D$16,IF(JM32&lt;=Condition!$F$17,Condition!$D$17,IF(JM32&lt;=Condition!$F$18,Condition!$D$18,IF(JM32&gt;Condition!$E$19,Condition!$D$19,"")))))</f>
        <v>0</v>
      </c>
      <c r="JN75" s="85">
        <f>IF(JN32&lt;=Condition!$E$16,0,IF(JN32&lt;=Condition!$F$16,Condition!$D$16,IF(JN32&lt;=Condition!$F$17,Condition!$D$17,IF(JN32&lt;=Condition!$F$18,Condition!$D$18,IF(JN32&gt;Condition!$E$19,Condition!$D$19,"")))))</f>
        <v>0</v>
      </c>
      <c r="JO75" s="85">
        <f>IF(JO32&lt;=Condition!$E$16,0,IF(JO32&lt;=Condition!$F$16,Condition!$D$16,IF(JO32&lt;=Condition!$F$17,Condition!$D$17,IF(JO32&lt;=Condition!$F$18,Condition!$D$18,IF(JO32&gt;Condition!$E$19,Condition!$D$19,"")))))</f>
        <v>0</v>
      </c>
      <c r="JP75" s="85">
        <f>IF(JP32&lt;=Condition!$E$16,0,IF(JP32&lt;=Condition!$F$16,Condition!$D$16,IF(JP32&lt;=Condition!$F$17,Condition!$D$17,IF(JP32&lt;=Condition!$F$18,Condition!$D$18,IF(JP32&gt;Condition!$E$19,Condition!$D$19,"")))))</f>
        <v>0</v>
      </c>
      <c r="JQ75" s="85">
        <f>IF(JQ32&lt;=Condition!$E$16,0,IF(JQ32&lt;=Condition!$F$16,Condition!$D$16,IF(JQ32&lt;=Condition!$F$17,Condition!$D$17,IF(JQ32&lt;=Condition!$F$18,Condition!$D$18,IF(JQ32&gt;Condition!$E$19,Condition!$D$19,"")))))</f>
        <v>0</v>
      </c>
      <c r="JR75" s="85">
        <f>IF(JR32&lt;=Condition!$E$16,0,IF(JR32&lt;=Condition!$F$16,Condition!$D$16,IF(JR32&lt;=Condition!$F$17,Condition!$D$17,IF(JR32&lt;=Condition!$F$18,Condition!$D$18,IF(JR32&gt;Condition!$E$19,Condition!$D$19,"")))))</f>
        <v>0</v>
      </c>
      <c r="JS75" s="85">
        <f>IF(JS32&lt;=Condition!$E$16,0,IF(JS32&lt;=Condition!$F$16,Condition!$D$16,IF(JS32&lt;=Condition!$F$17,Condition!$D$17,IF(JS32&lt;=Condition!$F$18,Condition!$D$18,IF(JS32&gt;Condition!$E$19,Condition!$D$19,"")))))</f>
        <v>0</v>
      </c>
      <c r="JT75" s="85">
        <f>IF(JT32&lt;=Condition!$E$16,0,IF(JT32&lt;=Condition!$F$16,Condition!$D$16,IF(JT32&lt;=Condition!$F$17,Condition!$D$17,IF(JT32&lt;=Condition!$F$18,Condition!$D$18,IF(JT32&gt;Condition!$E$19,Condition!$D$19,"")))))</f>
        <v>0</v>
      </c>
      <c r="JU75" s="85">
        <f>IF(JU32&lt;=Condition!$E$16,0,IF(JU32&lt;=Condition!$F$16,Condition!$D$16,IF(JU32&lt;=Condition!$F$17,Condition!$D$17,IF(JU32&lt;=Condition!$F$18,Condition!$D$18,IF(JU32&gt;Condition!$E$19,Condition!$D$19,"")))))</f>
        <v>0</v>
      </c>
      <c r="JV75" s="85">
        <f>IF(JV32&lt;=Condition!$E$16,0,IF(JV32&lt;=Condition!$F$16,Condition!$D$16,IF(JV32&lt;=Condition!$F$17,Condition!$D$17,IF(JV32&lt;=Condition!$F$18,Condition!$D$18,IF(JV32&gt;Condition!$E$19,Condition!$D$19,"")))))</f>
        <v>0</v>
      </c>
      <c r="JW75" s="85">
        <f>IF(JW32&lt;=Condition!$E$16,0,IF(JW32&lt;=Condition!$F$16,Condition!$D$16,IF(JW32&lt;=Condition!$F$17,Condition!$D$17,IF(JW32&lt;=Condition!$F$18,Condition!$D$18,IF(JW32&gt;Condition!$E$19,Condition!$D$19,"")))))</f>
        <v>0</v>
      </c>
      <c r="JX75" s="85">
        <f>IF(JX32&lt;=Condition!$E$16,0,IF(JX32&lt;=Condition!$F$16,Condition!$D$16,IF(JX32&lt;=Condition!$F$17,Condition!$D$17,IF(JX32&lt;=Condition!$F$18,Condition!$D$18,IF(JX32&gt;Condition!$E$19,Condition!$D$19,"")))))</f>
        <v>0</v>
      </c>
      <c r="JY75" s="85">
        <f>IF(JY32&lt;=Condition!$E$16,0,IF(JY32&lt;=Condition!$F$16,Condition!$D$16,IF(JY32&lt;=Condition!$F$17,Condition!$D$17,IF(JY32&lt;=Condition!$F$18,Condition!$D$18,IF(JY32&gt;Condition!$E$19,Condition!$D$19,"")))))</f>
        <v>0</v>
      </c>
      <c r="JZ75" s="85">
        <f>IF(JZ32&lt;=Condition!$E$16,0,IF(JZ32&lt;=Condition!$F$16,Condition!$D$16,IF(JZ32&lt;=Condition!$F$17,Condition!$D$17,IF(JZ32&lt;=Condition!$F$18,Condition!$D$18,IF(JZ32&gt;Condition!$E$19,Condition!$D$19,"")))))</f>
        <v>0</v>
      </c>
      <c r="KA75" s="85">
        <f>IF(KA32&lt;=Condition!$E$16,0,IF(KA32&lt;=Condition!$F$16,Condition!$D$16,IF(KA32&lt;=Condition!$F$17,Condition!$D$17,IF(KA32&lt;=Condition!$F$18,Condition!$D$18,IF(KA32&gt;Condition!$E$19,Condition!$D$19,"")))))</f>
        <v>0</v>
      </c>
      <c r="KB75" s="85">
        <f>IF(KB32&lt;=Condition!$E$16,0,IF(KB32&lt;=Condition!$F$16,Condition!$D$16,IF(KB32&lt;=Condition!$F$17,Condition!$D$17,IF(KB32&lt;=Condition!$F$18,Condition!$D$18,IF(KB32&gt;Condition!$E$19,Condition!$D$19,"")))))</f>
        <v>0</v>
      </c>
      <c r="KC75" s="85">
        <f>IF(KC32&lt;=Condition!$E$16,0,IF(KC32&lt;=Condition!$F$16,Condition!$D$16,IF(KC32&lt;=Condition!$F$17,Condition!$D$17,IF(KC32&lt;=Condition!$F$18,Condition!$D$18,IF(KC32&gt;Condition!$E$19,Condition!$D$19,"")))))</f>
        <v>0</v>
      </c>
      <c r="KD75" s="85">
        <f>IF(KD32&lt;=Condition!$E$16,0,IF(KD32&lt;=Condition!$F$16,Condition!$D$16,IF(KD32&lt;=Condition!$F$17,Condition!$D$17,IF(KD32&lt;=Condition!$F$18,Condition!$D$18,IF(KD32&gt;Condition!$E$19,Condition!$D$19,"")))))</f>
        <v>0</v>
      </c>
      <c r="KE75" s="85">
        <f>IF(KE32&lt;=Condition!$E$16,0,IF(KE32&lt;=Condition!$F$16,Condition!$D$16,IF(KE32&lt;=Condition!$F$17,Condition!$D$17,IF(KE32&lt;=Condition!$F$18,Condition!$D$18,IF(KE32&gt;Condition!$E$19,Condition!$D$19,"")))))</f>
        <v>0</v>
      </c>
      <c r="KF75" s="85">
        <f>IF(KF32&lt;=Condition!$E$16,0,IF(KF32&lt;=Condition!$F$16,Condition!$D$16,IF(KF32&lt;=Condition!$F$17,Condition!$D$17,IF(KF32&lt;=Condition!$F$18,Condition!$D$18,IF(KF32&gt;Condition!$E$19,Condition!$D$19,"")))))</f>
        <v>0</v>
      </c>
      <c r="KG75" s="85">
        <f>IF(KG32&lt;=Condition!$E$16,0,IF(KG32&lt;=Condition!$F$16,Condition!$D$16,IF(KG32&lt;=Condition!$F$17,Condition!$D$17,IF(KG32&lt;=Condition!$F$18,Condition!$D$18,IF(KG32&gt;Condition!$E$19,Condition!$D$19,"")))))</f>
        <v>0</v>
      </c>
      <c r="KH75" s="85">
        <f>IF(KH32&lt;=Condition!$E$16,0,IF(KH32&lt;=Condition!$F$16,Condition!$D$16,IF(KH32&lt;=Condition!$F$17,Condition!$D$17,IF(KH32&lt;=Condition!$F$18,Condition!$D$18,IF(KH32&gt;Condition!$E$19,Condition!$D$19,"")))))</f>
        <v>0</v>
      </c>
      <c r="KI75" s="85">
        <f>IF(KI32&lt;=Condition!$E$16,0,IF(KI32&lt;=Condition!$F$16,Condition!$D$16,IF(KI32&lt;=Condition!$F$17,Condition!$D$17,IF(KI32&lt;=Condition!$F$18,Condition!$D$18,IF(KI32&gt;Condition!$E$19,Condition!$D$19,"")))))</f>
        <v>0</v>
      </c>
    </row>
    <row r="76" spans="2:295" x14ac:dyDescent="0.25">
      <c r="B76" s="15">
        <f t="shared" ref="B76:E76" si="31">B33</f>
        <v>21</v>
      </c>
      <c r="C76" s="25" t="str">
        <f t="shared" si="31"/>
        <v/>
      </c>
      <c r="D76" s="25" t="str">
        <f t="shared" si="31"/>
        <v>New-5</v>
      </c>
      <c r="E76" s="26" t="str">
        <f t="shared" si="31"/>
        <v/>
      </c>
      <c r="F76" s="112">
        <f t="shared" si="4"/>
        <v>0</v>
      </c>
      <c r="G76" s="112">
        <f t="shared" si="5"/>
        <v>0</v>
      </c>
      <c r="H76" s="85">
        <f>IF(H33&lt;=Condition!$E$16,0,IF(H33&lt;=Condition!$F$16,Condition!$D$16,IF(H33&lt;=Condition!$F$17,Condition!$D$17,IF(H33&lt;=Condition!$F$18,Condition!$D$18,IF(H33&gt;Condition!$E$19,Condition!$D$19,"")))))</f>
        <v>0</v>
      </c>
      <c r="I76" s="85">
        <f>IF(I33&lt;=Condition!$E$16,0,IF(I33&lt;=Condition!$F$16,Condition!$D$16,IF(I33&lt;=Condition!$F$17,Condition!$D$17,IF(I33&lt;=Condition!$F$18,Condition!$D$18,IF(I33&gt;Condition!$E$19,Condition!$D$19,"")))))</f>
        <v>0</v>
      </c>
      <c r="J76" s="85">
        <f>IF(J33&lt;=Condition!$E$16,0,IF(J33&lt;=Condition!$F$16,Condition!$D$16,IF(J33&lt;=Condition!$F$17,Condition!$D$17,IF(J33&lt;=Condition!$F$18,Condition!$D$18,IF(J33&gt;Condition!$E$19,Condition!$D$19,"")))))</f>
        <v>0</v>
      </c>
      <c r="K76" s="85">
        <f>IF(K33&lt;=Condition!$E$16,0,IF(K33&lt;=Condition!$F$16,Condition!$D$16,IF(K33&lt;=Condition!$F$17,Condition!$D$17,IF(K33&lt;=Condition!$F$18,Condition!$D$18,IF(K33&gt;Condition!$E$19,Condition!$D$19,"")))))</f>
        <v>0</v>
      </c>
      <c r="L76" s="85">
        <f>IF(L33&lt;=Condition!$E$16,0,IF(L33&lt;=Condition!$F$16,Condition!$D$16,IF(L33&lt;=Condition!$F$17,Condition!$D$17,IF(L33&lt;=Condition!$F$18,Condition!$D$18,IF(L33&gt;Condition!$E$19,Condition!$D$19,"")))))</f>
        <v>0</v>
      </c>
      <c r="M76" s="85">
        <f>IF(M33&lt;=Condition!$E$16,0,IF(M33&lt;=Condition!$F$16,Condition!$D$16,IF(M33&lt;=Condition!$F$17,Condition!$D$17,IF(M33&lt;=Condition!$F$18,Condition!$D$18,IF(M33&gt;Condition!$E$19,Condition!$D$19,"")))))</f>
        <v>0</v>
      </c>
      <c r="N76" s="85">
        <f>IF(N33&lt;=Condition!$E$16,0,IF(N33&lt;=Condition!$F$16,Condition!$D$16,IF(N33&lt;=Condition!$F$17,Condition!$D$17,IF(N33&lt;=Condition!$F$18,Condition!$D$18,IF(N33&gt;Condition!$E$19,Condition!$D$19,"")))))</f>
        <v>0</v>
      </c>
      <c r="O76" s="85">
        <f>IF(O33&lt;=Condition!$E$16,0,IF(O33&lt;=Condition!$F$16,Condition!$D$16,IF(O33&lt;=Condition!$F$17,Condition!$D$17,IF(O33&lt;=Condition!$F$18,Condition!$D$18,IF(O33&gt;Condition!$E$19,Condition!$D$19,"")))))</f>
        <v>0</v>
      </c>
      <c r="P76" s="85">
        <f>IF(P33&lt;=Condition!$E$16,0,IF(P33&lt;=Condition!$F$16,Condition!$D$16,IF(P33&lt;=Condition!$F$17,Condition!$D$17,IF(P33&lt;=Condition!$F$18,Condition!$D$18,IF(P33&gt;Condition!$E$19,Condition!$D$19,"")))))</f>
        <v>0</v>
      </c>
      <c r="Q76" s="85">
        <f>IF(Q33&lt;=Condition!$E$16,0,IF(Q33&lt;=Condition!$F$16,Condition!$D$16,IF(Q33&lt;=Condition!$F$17,Condition!$D$17,IF(Q33&lt;=Condition!$F$18,Condition!$D$18,IF(Q33&gt;Condition!$E$19,Condition!$D$19,"")))))</f>
        <v>0</v>
      </c>
      <c r="R76" s="85">
        <f>IF(R33&lt;=Condition!$E$16,0,IF(R33&lt;=Condition!$F$16,Condition!$D$16,IF(R33&lt;=Condition!$F$17,Condition!$D$17,IF(R33&lt;=Condition!$F$18,Condition!$D$18,IF(R33&gt;Condition!$E$19,Condition!$D$19,"")))))</f>
        <v>0</v>
      </c>
      <c r="S76" s="85">
        <f>IF(S33&lt;=Condition!$E$16,0,IF(S33&lt;=Condition!$F$16,Condition!$D$16,IF(S33&lt;=Condition!$F$17,Condition!$D$17,IF(S33&lt;=Condition!$F$18,Condition!$D$18,IF(S33&gt;Condition!$E$19,Condition!$D$19,"")))))</f>
        <v>0</v>
      </c>
      <c r="T76" s="85">
        <f>IF(T33&lt;=Condition!$E$16,0,IF(T33&lt;=Condition!$F$16,Condition!$D$16,IF(T33&lt;=Condition!$F$17,Condition!$D$17,IF(T33&lt;=Condition!$F$18,Condition!$D$18,IF(T33&gt;Condition!$E$19,Condition!$D$19,"")))))</f>
        <v>0</v>
      </c>
      <c r="U76" s="85">
        <f>IF(U33&lt;=Condition!$E$16,0,IF(U33&lt;=Condition!$F$16,Condition!$D$16,IF(U33&lt;=Condition!$F$17,Condition!$D$17,IF(U33&lt;=Condition!$F$18,Condition!$D$18,IF(U33&gt;Condition!$E$19,Condition!$D$19,"")))))</f>
        <v>0</v>
      </c>
      <c r="V76" s="85">
        <f>IF(V33&lt;=Condition!$E$16,0,IF(V33&lt;=Condition!$F$16,Condition!$D$16,IF(V33&lt;=Condition!$F$17,Condition!$D$17,IF(V33&lt;=Condition!$F$18,Condition!$D$18,IF(V33&gt;Condition!$E$19,Condition!$D$19,"")))))</f>
        <v>0</v>
      </c>
      <c r="W76" s="85">
        <f>IF(W33&lt;=Condition!$E$16,0,IF(W33&lt;=Condition!$F$16,Condition!$D$16,IF(W33&lt;=Condition!$F$17,Condition!$D$17,IF(W33&lt;=Condition!$F$18,Condition!$D$18,IF(W33&gt;Condition!$E$19,Condition!$D$19,"")))))</f>
        <v>0</v>
      </c>
      <c r="X76" s="85">
        <f>IF(X33&lt;=Condition!$E$16,0,IF(X33&lt;=Condition!$F$16,Condition!$D$16,IF(X33&lt;=Condition!$F$17,Condition!$D$17,IF(X33&lt;=Condition!$F$18,Condition!$D$18,IF(X33&gt;Condition!$E$19,Condition!$D$19,"")))))</f>
        <v>0</v>
      </c>
      <c r="Y76" s="85">
        <f>IF(Y33&lt;=Condition!$E$16,0,IF(Y33&lt;=Condition!$F$16,Condition!$D$16,IF(Y33&lt;=Condition!$F$17,Condition!$D$17,IF(Y33&lt;=Condition!$F$18,Condition!$D$18,IF(Y33&gt;Condition!$E$19,Condition!$D$19,"")))))</f>
        <v>0</v>
      </c>
      <c r="Z76" s="85">
        <f>IF(Z33&lt;=Condition!$E$16,0,IF(Z33&lt;=Condition!$F$16,Condition!$D$16,IF(Z33&lt;=Condition!$F$17,Condition!$D$17,IF(Z33&lt;=Condition!$F$18,Condition!$D$18,IF(Z33&gt;Condition!$E$19,Condition!$D$19,"")))))</f>
        <v>0</v>
      </c>
      <c r="AA76" s="85">
        <f>IF(AA33&lt;=Condition!$E$16,0,IF(AA33&lt;=Condition!$F$16,Condition!$D$16,IF(AA33&lt;=Condition!$F$17,Condition!$D$17,IF(AA33&lt;=Condition!$F$18,Condition!$D$18,IF(AA33&gt;Condition!$E$19,Condition!$D$19,"")))))</f>
        <v>0</v>
      </c>
      <c r="AB76" s="85">
        <f>IF(AB33&lt;=Condition!$E$16,0,IF(AB33&lt;=Condition!$F$16,Condition!$D$16,IF(AB33&lt;=Condition!$F$17,Condition!$D$17,IF(AB33&lt;=Condition!$F$18,Condition!$D$18,IF(AB33&gt;Condition!$E$19,Condition!$D$19,"")))))</f>
        <v>0</v>
      </c>
      <c r="AC76" s="85">
        <f>IF(AC33&lt;=Condition!$E$16,0,IF(AC33&lt;=Condition!$F$16,Condition!$D$16,IF(AC33&lt;=Condition!$F$17,Condition!$D$17,IF(AC33&lt;=Condition!$F$18,Condition!$D$18,IF(AC33&gt;Condition!$E$19,Condition!$D$19,"")))))</f>
        <v>0</v>
      </c>
      <c r="AD76" s="85">
        <f>IF(AD33&lt;=Condition!$E$16,0,IF(AD33&lt;=Condition!$F$16,Condition!$D$16,IF(AD33&lt;=Condition!$F$17,Condition!$D$17,IF(AD33&lt;=Condition!$F$18,Condition!$D$18,IF(AD33&gt;Condition!$E$19,Condition!$D$19,"")))))</f>
        <v>0</v>
      </c>
      <c r="AE76" s="85">
        <f>IF(AE33&lt;=Condition!$E$16,0,IF(AE33&lt;=Condition!$F$16,Condition!$D$16,IF(AE33&lt;=Condition!$F$17,Condition!$D$17,IF(AE33&lt;=Condition!$F$18,Condition!$D$18,IF(AE33&gt;Condition!$E$19,Condition!$D$19,"")))))</f>
        <v>0</v>
      </c>
      <c r="AF76" s="85">
        <f>IF(AF33&lt;=Condition!$E$16,0,IF(AF33&lt;=Condition!$F$16,Condition!$D$16,IF(AF33&lt;=Condition!$F$17,Condition!$D$17,IF(AF33&lt;=Condition!$F$18,Condition!$D$18,IF(AF33&gt;Condition!$E$19,Condition!$D$19,"")))))</f>
        <v>0</v>
      </c>
      <c r="AG76" s="85">
        <f>IF(AG33&lt;=Condition!$E$16,0,IF(AG33&lt;=Condition!$F$16,Condition!$D$16,IF(AG33&lt;=Condition!$F$17,Condition!$D$17,IF(AG33&lt;=Condition!$F$18,Condition!$D$18,IF(AG33&gt;Condition!$E$19,Condition!$D$19,"")))))</f>
        <v>0</v>
      </c>
      <c r="AH76" s="85">
        <f>IF(AH33&lt;=Condition!$E$16,0,IF(AH33&lt;=Condition!$F$16,Condition!$D$16,IF(AH33&lt;=Condition!$F$17,Condition!$D$17,IF(AH33&lt;=Condition!$F$18,Condition!$D$18,IF(AH33&gt;Condition!$E$19,Condition!$D$19,"")))))</f>
        <v>0</v>
      </c>
      <c r="AI76" s="85">
        <f>IF(AI33&lt;=Condition!$E$16,0,IF(AI33&lt;=Condition!$F$16,Condition!$D$16,IF(AI33&lt;=Condition!$F$17,Condition!$D$17,IF(AI33&lt;=Condition!$F$18,Condition!$D$18,IF(AI33&gt;Condition!$E$19,Condition!$D$19,"")))))</f>
        <v>0</v>
      </c>
      <c r="AJ76" s="85">
        <f>IF(AJ33&lt;=Condition!$E$16,0,IF(AJ33&lt;=Condition!$F$16,Condition!$D$16,IF(AJ33&lt;=Condition!$F$17,Condition!$D$17,IF(AJ33&lt;=Condition!$F$18,Condition!$D$18,IF(AJ33&gt;Condition!$E$19,Condition!$D$19,"")))))</f>
        <v>0</v>
      </c>
      <c r="AK76" s="85">
        <f>IF(AK33&lt;=Condition!$E$16,0,IF(AK33&lt;=Condition!$F$16,Condition!$D$16,IF(AK33&lt;=Condition!$F$17,Condition!$D$17,IF(AK33&lt;=Condition!$F$18,Condition!$D$18,IF(AK33&gt;Condition!$E$19,Condition!$D$19,"")))))</f>
        <v>0</v>
      </c>
      <c r="AL76" s="85">
        <f>IF(AL33&lt;=Condition!$E$16,0,IF(AL33&lt;=Condition!$F$16,Condition!$D$16,IF(AL33&lt;=Condition!$F$17,Condition!$D$17,IF(AL33&lt;=Condition!$F$18,Condition!$D$18,IF(AL33&gt;Condition!$E$19,Condition!$D$19,"")))))</f>
        <v>0</v>
      </c>
      <c r="AM76" s="85">
        <f>IF(AM33&lt;=Condition!$E$16,0,IF(AM33&lt;=Condition!$F$16,Condition!$D$16,IF(AM33&lt;=Condition!$F$17,Condition!$D$17,IF(AM33&lt;=Condition!$F$18,Condition!$D$18,IF(AM33&gt;Condition!$E$19,Condition!$D$19,"")))))</f>
        <v>0</v>
      </c>
      <c r="AN76" s="85">
        <f>IF(AN33&lt;=Condition!$E$16,0,IF(AN33&lt;=Condition!$F$16,Condition!$D$16,IF(AN33&lt;=Condition!$F$17,Condition!$D$17,IF(AN33&lt;=Condition!$F$18,Condition!$D$18,IF(AN33&gt;Condition!$E$19,Condition!$D$19,"")))))</f>
        <v>0</v>
      </c>
      <c r="AO76" s="85">
        <f>IF(AO33&lt;=Condition!$E$16,0,IF(AO33&lt;=Condition!$F$16,Condition!$D$16,IF(AO33&lt;=Condition!$F$17,Condition!$D$17,IF(AO33&lt;=Condition!$F$18,Condition!$D$18,IF(AO33&gt;Condition!$E$19,Condition!$D$19,"")))))</f>
        <v>0</v>
      </c>
      <c r="AP76" s="85">
        <f>IF(AP33&lt;=Condition!$E$16,0,IF(AP33&lt;=Condition!$F$16,Condition!$D$16,IF(AP33&lt;=Condition!$F$17,Condition!$D$17,IF(AP33&lt;=Condition!$F$18,Condition!$D$18,IF(AP33&gt;Condition!$E$19,Condition!$D$19,"")))))</f>
        <v>0</v>
      </c>
      <c r="AQ76" s="85">
        <f>IF(AQ33&lt;=Condition!$E$16,0,IF(AQ33&lt;=Condition!$F$16,Condition!$D$16,IF(AQ33&lt;=Condition!$F$17,Condition!$D$17,IF(AQ33&lt;=Condition!$F$18,Condition!$D$18,IF(AQ33&gt;Condition!$E$19,Condition!$D$19,"")))))</f>
        <v>0</v>
      </c>
      <c r="AR76" s="85">
        <f>IF(AR33&lt;=Condition!$E$16,0,IF(AR33&lt;=Condition!$F$16,Condition!$D$16,IF(AR33&lt;=Condition!$F$17,Condition!$D$17,IF(AR33&lt;=Condition!$F$18,Condition!$D$18,IF(AR33&gt;Condition!$E$19,Condition!$D$19,"")))))</f>
        <v>0</v>
      </c>
      <c r="AS76" s="85">
        <f>IF(AS33&lt;=Condition!$E$16,0,IF(AS33&lt;=Condition!$F$16,Condition!$D$16,IF(AS33&lt;=Condition!$F$17,Condition!$D$17,IF(AS33&lt;=Condition!$F$18,Condition!$D$18,IF(AS33&gt;Condition!$E$19,Condition!$D$19,"")))))</f>
        <v>0</v>
      </c>
      <c r="AT76" s="85">
        <f>IF(AT33&lt;=Condition!$E$16,0,IF(AT33&lt;=Condition!$F$16,Condition!$D$16,IF(AT33&lt;=Condition!$F$17,Condition!$D$17,IF(AT33&lt;=Condition!$F$18,Condition!$D$18,IF(AT33&gt;Condition!$E$19,Condition!$D$19,"")))))</f>
        <v>0</v>
      </c>
      <c r="AU76" s="85">
        <f>IF(AU33&lt;=Condition!$E$16,0,IF(AU33&lt;=Condition!$F$16,Condition!$D$16,IF(AU33&lt;=Condition!$F$17,Condition!$D$17,IF(AU33&lt;=Condition!$F$18,Condition!$D$18,IF(AU33&gt;Condition!$E$19,Condition!$D$19,"")))))</f>
        <v>0</v>
      </c>
      <c r="AV76" s="85">
        <f>IF(AV33&lt;=Condition!$E$16,0,IF(AV33&lt;=Condition!$F$16,Condition!$D$16,IF(AV33&lt;=Condition!$F$17,Condition!$D$17,IF(AV33&lt;=Condition!$F$18,Condition!$D$18,IF(AV33&gt;Condition!$E$19,Condition!$D$19,"")))))</f>
        <v>0</v>
      </c>
      <c r="AW76" s="85">
        <f>IF(AW33&lt;=Condition!$E$16,0,IF(AW33&lt;=Condition!$F$16,Condition!$D$16,IF(AW33&lt;=Condition!$F$17,Condition!$D$17,IF(AW33&lt;=Condition!$F$18,Condition!$D$18,IF(AW33&gt;Condition!$E$19,Condition!$D$19,"")))))</f>
        <v>0</v>
      </c>
      <c r="AX76" s="85">
        <f>IF(AX33&lt;=Condition!$E$16,0,IF(AX33&lt;=Condition!$F$16,Condition!$D$16,IF(AX33&lt;=Condition!$F$17,Condition!$D$17,IF(AX33&lt;=Condition!$F$18,Condition!$D$18,IF(AX33&gt;Condition!$E$19,Condition!$D$19,"")))))</f>
        <v>0</v>
      </c>
      <c r="AY76" s="85">
        <f>IF(AY33&lt;=Condition!$E$16,0,IF(AY33&lt;=Condition!$F$16,Condition!$D$16,IF(AY33&lt;=Condition!$F$17,Condition!$D$17,IF(AY33&lt;=Condition!$F$18,Condition!$D$18,IF(AY33&gt;Condition!$E$19,Condition!$D$19,"")))))</f>
        <v>0</v>
      </c>
      <c r="AZ76" s="85">
        <f>IF(AZ33&lt;=Condition!$E$16,0,IF(AZ33&lt;=Condition!$F$16,Condition!$D$16,IF(AZ33&lt;=Condition!$F$17,Condition!$D$17,IF(AZ33&lt;=Condition!$F$18,Condition!$D$18,IF(AZ33&gt;Condition!$E$19,Condition!$D$19,"")))))</f>
        <v>0</v>
      </c>
      <c r="BA76" s="85">
        <f>IF(BA33&lt;=Condition!$E$16,0,IF(BA33&lt;=Condition!$F$16,Condition!$D$16,IF(BA33&lt;=Condition!$F$17,Condition!$D$17,IF(BA33&lt;=Condition!$F$18,Condition!$D$18,IF(BA33&gt;Condition!$E$19,Condition!$D$19,"")))))</f>
        <v>0</v>
      </c>
      <c r="BB76" s="85">
        <f>IF(BB33&lt;=Condition!$E$16,0,IF(BB33&lt;=Condition!$F$16,Condition!$D$16,IF(BB33&lt;=Condition!$F$17,Condition!$D$17,IF(BB33&lt;=Condition!$F$18,Condition!$D$18,IF(BB33&gt;Condition!$E$19,Condition!$D$19,"")))))</f>
        <v>0</v>
      </c>
      <c r="BC76" s="85">
        <f>IF(BC33&lt;=Condition!$E$16,0,IF(BC33&lt;=Condition!$F$16,Condition!$D$16,IF(BC33&lt;=Condition!$F$17,Condition!$D$17,IF(BC33&lt;=Condition!$F$18,Condition!$D$18,IF(BC33&gt;Condition!$E$19,Condition!$D$19,"")))))</f>
        <v>0</v>
      </c>
      <c r="BD76" s="85">
        <f>IF(BD33&lt;=Condition!$E$16,0,IF(BD33&lt;=Condition!$F$16,Condition!$D$16,IF(BD33&lt;=Condition!$F$17,Condition!$D$17,IF(BD33&lt;=Condition!$F$18,Condition!$D$18,IF(BD33&gt;Condition!$E$19,Condition!$D$19,"")))))</f>
        <v>0</v>
      </c>
      <c r="BE76" s="85">
        <f>IF(BE33&lt;=Condition!$E$16,0,IF(BE33&lt;=Condition!$F$16,Condition!$D$16,IF(BE33&lt;=Condition!$F$17,Condition!$D$17,IF(BE33&lt;=Condition!$F$18,Condition!$D$18,IF(BE33&gt;Condition!$E$19,Condition!$D$19,"")))))</f>
        <v>0</v>
      </c>
      <c r="BF76" s="85">
        <f>IF(BF33&lt;=Condition!$E$16,0,IF(BF33&lt;=Condition!$F$16,Condition!$D$16,IF(BF33&lt;=Condition!$F$17,Condition!$D$17,IF(BF33&lt;=Condition!$F$18,Condition!$D$18,IF(BF33&gt;Condition!$E$19,Condition!$D$19,"")))))</f>
        <v>0</v>
      </c>
      <c r="BG76" s="85">
        <f>IF(BG33&lt;=Condition!$E$16,0,IF(BG33&lt;=Condition!$F$16,Condition!$D$16,IF(BG33&lt;=Condition!$F$17,Condition!$D$17,IF(BG33&lt;=Condition!$F$18,Condition!$D$18,IF(BG33&gt;Condition!$E$19,Condition!$D$19,"")))))</f>
        <v>0</v>
      </c>
      <c r="BH76" s="85">
        <f>IF(BH33&lt;=Condition!$E$16,0,IF(BH33&lt;=Condition!$F$16,Condition!$D$16,IF(BH33&lt;=Condition!$F$17,Condition!$D$17,IF(BH33&lt;=Condition!$F$18,Condition!$D$18,IF(BH33&gt;Condition!$E$19,Condition!$D$19,"")))))</f>
        <v>0</v>
      </c>
      <c r="BI76" s="85">
        <f>IF(BI33&lt;=Condition!$E$16,0,IF(BI33&lt;=Condition!$F$16,Condition!$D$16,IF(BI33&lt;=Condition!$F$17,Condition!$D$17,IF(BI33&lt;=Condition!$F$18,Condition!$D$18,IF(BI33&gt;Condition!$E$19,Condition!$D$19,"")))))</f>
        <v>0</v>
      </c>
      <c r="BJ76" s="85">
        <f>IF(BJ33&lt;=Condition!$E$16,0,IF(BJ33&lt;=Condition!$F$16,Condition!$D$16,IF(BJ33&lt;=Condition!$F$17,Condition!$D$17,IF(BJ33&lt;=Condition!$F$18,Condition!$D$18,IF(BJ33&gt;Condition!$E$19,Condition!$D$19,"")))))</f>
        <v>0</v>
      </c>
      <c r="BK76" s="85">
        <f>IF(BK33&lt;=Condition!$E$16,0,IF(BK33&lt;=Condition!$F$16,Condition!$D$16,IF(BK33&lt;=Condition!$F$17,Condition!$D$17,IF(BK33&lt;=Condition!$F$18,Condition!$D$18,IF(BK33&gt;Condition!$E$19,Condition!$D$19,"")))))</f>
        <v>0</v>
      </c>
      <c r="BL76" s="85">
        <f>IF(BL33&lt;=Condition!$E$16,0,IF(BL33&lt;=Condition!$F$16,Condition!$D$16,IF(BL33&lt;=Condition!$F$17,Condition!$D$17,IF(BL33&lt;=Condition!$F$18,Condition!$D$18,IF(BL33&gt;Condition!$E$19,Condition!$D$19,"")))))</f>
        <v>0</v>
      </c>
      <c r="BM76" s="85">
        <f>IF(BM33&lt;=Condition!$E$16,0,IF(BM33&lt;=Condition!$F$16,Condition!$D$16,IF(BM33&lt;=Condition!$F$17,Condition!$D$17,IF(BM33&lt;=Condition!$F$18,Condition!$D$18,IF(BM33&gt;Condition!$E$19,Condition!$D$19,"")))))</f>
        <v>0</v>
      </c>
      <c r="BN76" s="85">
        <f>IF(BN33&lt;=Condition!$E$16,0,IF(BN33&lt;=Condition!$F$16,Condition!$D$16,IF(BN33&lt;=Condition!$F$17,Condition!$D$17,IF(BN33&lt;=Condition!$F$18,Condition!$D$18,IF(BN33&gt;Condition!$E$19,Condition!$D$19,"")))))</f>
        <v>0</v>
      </c>
      <c r="BO76" s="85">
        <f>IF(BO33&lt;=Condition!$E$16,0,IF(BO33&lt;=Condition!$F$16,Condition!$D$16,IF(BO33&lt;=Condition!$F$17,Condition!$D$17,IF(BO33&lt;=Condition!$F$18,Condition!$D$18,IF(BO33&gt;Condition!$E$19,Condition!$D$19,"")))))</f>
        <v>0</v>
      </c>
      <c r="BP76" s="85">
        <f>IF(BP33&lt;=Condition!$E$16,0,IF(BP33&lt;=Condition!$F$16,Condition!$D$16,IF(BP33&lt;=Condition!$F$17,Condition!$D$17,IF(BP33&lt;=Condition!$F$18,Condition!$D$18,IF(BP33&gt;Condition!$E$19,Condition!$D$19,"")))))</f>
        <v>0</v>
      </c>
      <c r="BQ76" s="85">
        <f>IF(BQ33&lt;=Condition!$E$16,0,IF(BQ33&lt;=Condition!$F$16,Condition!$D$16,IF(BQ33&lt;=Condition!$F$17,Condition!$D$17,IF(BQ33&lt;=Condition!$F$18,Condition!$D$18,IF(BQ33&gt;Condition!$E$19,Condition!$D$19,"")))))</f>
        <v>0</v>
      </c>
      <c r="BR76" s="85">
        <f>IF(BR33&lt;=Condition!$E$16,0,IF(BR33&lt;=Condition!$F$16,Condition!$D$16,IF(BR33&lt;=Condition!$F$17,Condition!$D$17,IF(BR33&lt;=Condition!$F$18,Condition!$D$18,IF(BR33&gt;Condition!$E$19,Condition!$D$19,"")))))</f>
        <v>0</v>
      </c>
      <c r="BS76" s="85">
        <f>IF(BS33&lt;=Condition!$E$16,0,IF(BS33&lt;=Condition!$F$16,Condition!$D$16,IF(BS33&lt;=Condition!$F$17,Condition!$D$17,IF(BS33&lt;=Condition!$F$18,Condition!$D$18,IF(BS33&gt;Condition!$E$19,Condition!$D$19,"")))))</f>
        <v>0</v>
      </c>
      <c r="BT76" s="85">
        <f>IF(BT33&lt;=Condition!$E$16,0,IF(BT33&lt;=Condition!$F$16,Condition!$D$16,IF(BT33&lt;=Condition!$F$17,Condition!$D$17,IF(BT33&lt;=Condition!$F$18,Condition!$D$18,IF(BT33&gt;Condition!$E$19,Condition!$D$19,"")))))</f>
        <v>0</v>
      </c>
      <c r="BU76" s="85">
        <f>IF(BU33&lt;=Condition!$E$16,0,IF(BU33&lt;=Condition!$F$16,Condition!$D$16,IF(BU33&lt;=Condition!$F$17,Condition!$D$17,IF(BU33&lt;=Condition!$F$18,Condition!$D$18,IF(BU33&gt;Condition!$E$19,Condition!$D$19,"")))))</f>
        <v>0</v>
      </c>
      <c r="BV76" s="85">
        <f>IF(BV33&lt;=Condition!$E$16,0,IF(BV33&lt;=Condition!$F$16,Condition!$D$16,IF(BV33&lt;=Condition!$F$17,Condition!$D$17,IF(BV33&lt;=Condition!$F$18,Condition!$D$18,IF(BV33&gt;Condition!$E$19,Condition!$D$19,"")))))</f>
        <v>0</v>
      </c>
      <c r="BW76" s="85">
        <f>IF(BW33&lt;=Condition!$E$16,0,IF(BW33&lt;=Condition!$F$16,Condition!$D$16,IF(BW33&lt;=Condition!$F$17,Condition!$D$17,IF(BW33&lt;=Condition!$F$18,Condition!$D$18,IF(BW33&gt;Condition!$E$19,Condition!$D$19,"")))))</f>
        <v>0</v>
      </c>
      <c r="BX76" s="85">
        <f>IF(BX33&lt;=Condition!$E$16,0,IF(BX33&lt;=Condition!$F$16,Condition!$D$16,IF(BX33&lt;=Condition!$F$17,Condition!$D$17,IF(BX33&lt;=Condition!$F$18,Condition!$D$18,IF(BX33&gt;Condition!$E$19,Condition!$D$19,"")))))</f>
        <v>0</v>
      </c>
      <c r="BY76" s="85">
        <f>IF(BY33&lt;=Condition!$E$16,0,IF(BY33&lt;=Condition!$F$16,Condition!$D$16,IF(BY33&lt;=Condition!$F$17,Condition!$D$17,IF(BY33&lt;=Condition!$F$18,Condition!$D$18,IF(BY33&gt;Condition!$E$19,Condition!$D$19,"")))))</f>
        <v>0</v>
      </c>
      <c r="BZ76" s="85">
        <f>IF(BZ33&lt;=Condition!$E$16,0,IF(BZ33&lt;=Condition!$F$16,Condition!$D$16,IF(BZ33&lt;=Condition!$F$17,Condition!$D$17,IF(BZ33&lt;=Condition!$F$18,Condition!$D$18,IF(BZ33&gt;Condition!$E$19,Condition!$D$19,"")))))</f>
        <v>0</v>
      </c>
      <c r="CA76" s="85">
        <f>IF(CA33&lt;=Condition!$E$16,0,IF(CA33&lt;=Condition!$F$16,Condition!$D$16,IF(CA33&lt;=Condition!$F$17,Condition!$D$17,IF(CA33&lt;=Condition!$F$18,Condition!$D$18,IF(CA33&gt;Condition!$E$19,Condition!$D$19,"")))))</f>
        <v>0</v>
      </c>
      <c r="CB76" s="85">
        <f>IF(CB33&lt;=Condition!$E$16,0,IF(CB33&lt;=Condition!$F$16,Condition!$D$16,IF(CB33&lt;=Condition!$F$17,Condition!$D$17,IF(CB33&lt;=Condition!$F$18,Condition!$D$18,IF(CB33&gt;Condition!$E$19,Condition!$D$19,"")))))</f>
        <v>0</v>
      </c>
      <c r="CC76" s="85">
        <f>IF(CC33&lt;=Condition!$E$16,0,IF(CC33&lt;=Condition!$F$16,Condition!$D$16,IF(CC33&lt;=Condition!$F$17,Condition!$D$17,IF(CC33&lt;=Condition!$F$18,Condition!$D$18,IF(CC33&gt;Condition!$E$19,Condition!$D$19,"")))))</f>
        <v>0</v>
      </c>
      <c r="CD76" s="85">
        <f>IF(CD33&lt;=Condition!$E$16,0,IF(CD33&lt;=Condition!$F$16,Condition!$D$16,IF(CD33&lt;=Condition!$F$17,Condition!$D$17,IF(CD33&lt;=Condition!$F$18,Condition!$D$18,IF(CD33&gt;Condition!$E$19,Condition!$D$19,"")))))</f>
        <v>0</v>
      </c>
      <c r="CE76" s="85">
        <f>IF(CE33&lt;=Condition!$E$16,0,IF(CE33&lt;=Condition!$F$16,Condition!$D$16,IF(CE33&lt;=Condition!$F$17,Condition!$D$17,IF(CE33&lt;=Condition!$F$18,Condition!$D$18,IF(CE33&gt;Condition!$E$19,Condition!$D$19,"")))))</f>
        <v>0</v>
      </c>
      <c r="CF76" s="85">
        <f>IF(CF33&lt;=Condition!$E$16,0,IF(CF33&lt;=Condition!$F$16,Condition!$D$16,IF(CF33&lt;=Condition!$F$17,Condition!$D$17,IF(CF33&lt;=Condition!$F$18,Condition!$D$18,IF(CF33&gt;Condition!$E$19,Condition!$D$19,"")))))</f>
        <v>0</v>
      </c>
      <c r="CG76" s="85">
        <f>IF(CG33&lt;=Condition!$E$16,0,IF(CG33&lt;=Condition!$F$16,Condition!$D$16,IF(CG33&lt;=Condition!$F$17,Condition!$D$17,IF(CG33&lt;=Condition!$F$18,Condition!$D$18,IF(CG33&gt;Condition!$E$19,Condition!$D$19,"")))))</f>
        <v>0</v>
      </c>
      <c r="CH76" s="85">
        <f>IF(CH33&lt;=Condition!$E$16,0,IF(CH33&lt;=Condition!$F$16,Condition!$D$16,IF(CH33&lt;=Condition!$F$17,Condition!$D$17,IF(CH33&lt;=Condition!$F$18,Condition!$D$18,IF(CH33&gt;Condition!$E$19,Condition!$D$19,"")))))</f>
        <v>0</v>
      </c>
      <c r="CI76" s="85">
        <f>IF(CI33&lt;=Condition!$E$16,0,IF(CI33&lt;=Condition!$F$16,Condition!$D$16,IF(CI33&lt;=Condition!$F$17,Condition!$D$17,IF(CI33&lt;=Condition!$F$18,Condition!$D$18,IF(CI33&gt;Condition!$E$19,Condition!$D$19,"")))))</f>
        <v>0</v>
      </c>
      <c r="CJ76" s="85">
        <f>IF(CJ33&lt;=Condition!$E$16,0,IF(CJ33&lt;=Condition!$F$16,Condition!$D$16,IF(CJ33&lt;=Condition!$F$17,Condition!$D$17,IF(CJ33&lt;=Condition!$F$18,Condition!$D$18,IF(CJ33&gt;Condition!$E$19,Condition!$D$19,"")))))</f>
        <v>0</v>
      </c>
      <c r="CK76" s="85">
        <f>IF(CK33&lt;=Condition!$E$16,0,IF(CK33&lt;=Condition!$F$16,Condition!$D$16,IF(CK33&lt;=Condition!$F$17,Condition!$D$17,IF(CK33&lt;=Condition!$F$18,Condition!$D$18,IF(CK33&gt;Condition!$E$19,Condition!$D$19,"")))))</f>
        <v>0</v>
      </c>
      <c r="CL76" s="85">
        <f>IF(CL33&lt;=Condition!$E$16,0,IF(CL33&lt;=Condition!$F$16,Condition!$D$16,IF(CL33&lt;=Condition!$F$17,Condition!$D$17,IF(CL33&lt;=Condition!$F$18,Condition!$D$18,IF(CL33&gt;Condition!$E$19,Condition!$D$19,"")))))</f>
        <v>0</v>
      </c>
      <c r="CM76" s="85">
        <f>IF(CM33&lt;=Condition!$E$16,0,IF(CM33&lt;=Condition!$F$16,Condition!$D$16,IF(CM33&lt;=Condition!$F$17,Condition!$D$17,IF(CM33&lt;=Condition!$F$18,Condition!$D$18,IF(CM33&gt;Condition!$E$19,Condition!$D$19,"")))))</f>
        <v>0</v>
      </c>
      <c r="CN76" s="85">
        <f>IF(CN33&lt;=Condition!$E$16,0,IF(CN33&lt;=Condition!$F$16,Condition!$D$16,IF(CN33&lt;=Condition!$F$17,Condition!$D$17,IF(CN33&lt;=Condition!$F$18,Condition!$D$18,IF(CN33&gt;Condition!$E$19,Condition!$D$19,"")))))</f>
        <v>0</v>
      </c>
      <c r="CO76" s="85">
        <f>IF(CO33&lt;=Condition!$E$16,0,IF(CO33&lt;=Condition!$F$16,Condition!$D$16,IF(CO33&lt;=Condition!$F$17,Condition!$D$17,IF(CO33&lt;=Condition!$F$18,Condition!$D$18,IF(CO33&gt;Condition!$E$19,Condition!$D$19,"")))))</f>
        <v>0</v>
      </c>
      <c r="CP76" s="85">
        <f>IF(CP33&lt;=Condition!$E$16,0,IF(CP33&lt;=Condition!$F$16,Condition!$D$16,IF(CP33&lt;=Condition!$F$17,Condition!$D$17,IF(CP33&lt;=Condition!$F$18,Condition!$D$18,IF(CP33&gt;Condition!$E$19,Condition!$D$19,"")))))</f>
        <v>0</v>
      </c>
      <c r="CQ76" s="85">
        <f>IF(CQ33&lt;=Condition!$E$16,0,IF(CQ33&lt;=Condition!$F$16,Condition!$D$16,IF(CQ33&lt;=Condition!$F$17,Condition!$D$17,IF(CQ33&lt;=Condition!$F$18,Condition!$D$18,IF(CQ33&gt;Condition!$E$19,Condition!$D$19,"")))))</f>
        <v>0</v>
      </c>
      <c r="CR76" s="85">
        <f>IF(CR33&lt;=Condition!$E$16,0,IF(CR33&lt;=Condition!$F$16,Condition!$D$16,IF(CR33&lt;=Condition!$F$17,Condition!$D$17,IF(CR33&lt;=Condition!$F$18,Condition!$D$18,IF(CR33&gt;Condition!$E$19,Condition!$D$19,"")))))</f>
        <v>0</v>
      </c>
      <c r="CS76" s="85">
        <f>IF(CS33&lt;=Condition!$E$16,0,IF(CS33&lt;=Condition!$F$16,Condition!$D$16,IF(CS33&lt;=Condition!$F$17,Condition!$D$17,IF(CS33&lt;=Condition!$F$18,Condition!$D$18,IF(CS33&gt;Condition!$E$19,Condition!$D$19,"")))))</f>
        <v>0</v>
      </c>
      <c r="CT76" s="85">
        <f>IF(CT33&lt;=Condition!$E$16,0,IF(CT33&lt;=Condition!$F$16,Condition!$D$16,IF(CT33&lt;=Condition!$F$17,Condition!$D$17,IF(CT33&lt;=Condition!$F$18,Condition!$D$18,IF(CT33&gt;Condition!$E$19,Condition!$D$19,"")))))</f>
        <v>0</v>
      </c>
      <c r="CU76" s="85">
        <f>IF(CU33&lt;=Condition!$E$16,0,IF(CU33&lt;=Condition!$F$16,Condition!$D$16,IF(CU33&lt;=Condition!$F$17,Condition!$D$17,IF(CU33&lt;=Condition!$F$18,Condition!$D$18,IF(CU33&gt;Condition!$E$19,Condition!$D$19,"")))))</f>
        <v>0</v>
      </c>
      <c r="CV76" s="85">
        <f>IF(CV33&lt;=Condition!$E$16,0,IF(CV33&lt;=Condition!$F$16,Condition!$D$16,IF(CV33&lt;=Condition!$F$17,Condition!$D$17,IF(CV33&lt;=Condition!$F$18,Condition!$D$18,IF(CV33&gt;Condition!$E$19,Condition!$D$19,"")))))</f>
        <v>0</v>
      </c>
      <c r="CW76" s="85">
        <f>IF(CW33&lt;=Condition!$E$16,0,IF(CW33&lt;=Condition!$F$16,Condition!$D$16,IF(CW33&lt;=Condition!$F$17,Condition!$D$17,IF(CW33&lt;=Condition!$F$18,Condition!$D$18,IF(CW33&gt;Condition!$E$19,Condition!$D$19,"")))))</f>
        <v>0</v>
      </c>
      <c r="CX76" s="85">
        <f>IF(CX33&lt;=Condition!$E$16,0,IF(CX33&lt;=Condition!$F$16,Condition!$D$16,IF(CX33&lt;=Condition!$F$17,Condition!$D$17,IF(CX33&lt;=Condition!$F$18,Condition!$D$18,IF(CX33&gt;Condition!$E$19,Condition!$D$19,"")))))</f>
        <v>0</v>
      </c>
      <c r="CY76" s="85">
        <f>IF(CY33&lt;=Condition!$E$16,0,IF(CY33&lt;=Condition!$F$16,Condition!$D$16,IF(CY33&lt;=Condition!$F$17,Condition!$D$17,IF(CY33&lt;=Condition!$F$18,Condition!$D$18,IF(CY33&gt;Condition!$E$19,Condition!$D$19,"")))))</f>
        <v>0</v>
      </c>
      <c r="CZ76" s="85">
        <f>IF(CZ33&lt;=Condition!$E$16,0,IF(CZ33&lt;=Condition!$F$16,Condition!$D$16,IF(CZ33&lt;=Condition!$F$17,Condition!$D$17,IF(CZ33&lt;=Condition!$F$18,Condition!$D$18,IF(CZ33&gt;Condition!$E$19,Condition!$D$19,"")))))</f>
        <v>0</v>
      </c>
      <c r="DA76" s="85">
        <f>IF(DA33&lt;=Condition!$E$16,0,IF(DA33&lt;=Condition!$F$16,Condition!$D$16,IF(DA33&lt;=Condition!$F$17,Condition!$D$17,IF(DA33&lt;=Condition!$F$18,Condition!$D$18,IF(DA33&gt;Condition!$E$19,Condition!$D$19,"")))))</f>
        <v>0</v>
      </c>
      <c r="DB76" s="85">
        <f>IF(DB33&lt;=Condition!$E$16,0,IF(DB33&lt;=Condition!$F$16,Condition!$D$16,IF(DB33&lt;=Condition!$F$17,Condition!$D$17,IF(DB33&lt;=Condition!$F$18,Condition!$D$18,IF(DB33&gt;Condition!$E$19,Condition!$D$19,"")))))</f>
        <v>0</v>
      </c>
      <c r="DC76" s="85">
        <f>IF(DC33&lt;=Condition!$E$16,0,IF(DC33&lt;=Condition!$F$16,Condition!$D$16,IF(DC33&lt;=Condition!$F$17,Condition!$D$17,IF(DC33&lt;=Condition!$F$18,Condition!$D$18,IF(DC33&gt;Condition!$E$19,Condition!$D$19,"")))))</f>
        <v>0</v>
      </c>
      <c r="DD76" s="85">
        <f>IF(DD33&lt;=Condition!$E$16,0,IF(DD33&lt;=Condition!$F$16,Condition!$D$16,IF(DD33&lt;=Condition!$F$17,Condition!$D$17,IF(DD33&lt;=Condition!$F$18,Condition!$D$18,IF(DD33&gt;Condition!$E$19,Condition!$D$19,"")))))</f>
        <v>0</v>
      </c>
      <c r="DE76" s="85">
        <f>IF(DE33&lt;=Condition!$E$16,0,IF(DE33&lt;=Condition!$F$16,Condition!$D$16,IF(DE33&lt;=Condition!$F$17,Condition!$D$17,IF(DE33&lt;=Condition!$F$18,Condition!$D$18,IF(DE33&gt;Condition!$E$19,Condition!$D$19,"")))))</f>
        <v>0</v>
      </c>
      <c r="DF76" s="85">
        <f>IF(DF33&lt;=Condition!$E$16,0,IF(DF33&lt;=Condition!$F$16,Condition!$D$16,IF(DF33&lt;=Condition!$F$17,Condition!$D$17,IF(DF33&lt;=Condition!$F$18,Condition!$D$18,IF(DF33&gt;Condition!$E$19,Condition!$D$19,"")))))</f>
        <v>0</v>
      </c>
      <c r="DG76" s="85">
        <f>IF(DG33&lt;=Condition!$E$16,0,IF(DG33&lt;=Condition!$F$16,Condition!$D$16,IF(DG33&lt;=Condition!$F$17,Condition!$D$17,IF(DG33&lt;=Condition!$F$18,Condition!$D$18,IF(DG33&gt;Condition!$E$19,Condition!$D$19,"")))))</f>
        <v>0</v>
      </c>
      <c r="DH76" s="85">
        <f>IF(DH33&lt;=Condition!$E$16,0,IF(DH33&lt;=Condition!$F$16,Condition!$D$16,IF(DH33&lt;=Condition!$F$17,Condition!$D$17,IF(DH33&lt;=Condition!$F$18,Condition!$D$18,IF(DH33&gt;Condition!$E$19,Condition!$D$19,"")))))</f>
        <v>0</v>
      </c>
      <c r="DI76" s="85">
        <f>IF(DI33&lt;=Condition!$E$16,0,IF(DI33&lt;=Condition!$F$16,Condition!$D$16,IF(DI33&lt;=Condition!$F$17,Condition!$D$17,IF(DI33&lt;=Condition!$F$18,Condition!$D$18,IF(DI33&gt;Condition!$E$19,Condition!$D$19,"")))))</f>
        <v>0</v>
      </c>
      <c r="DJ76" s="85">
        <f>IF(DJ33&lt;=Condition!$E$16,0,IF(DJ33&lt;=Condition!$F$16,Condition!$D$16,IF(DJ33&lt;=Condition!$F$17,Condition!$D$17,IF(DJ33&lt;=Condition!$F$18,Condition!$D$18,IF(DJ33&gt;Condition!$E$19,Condition!$D$19,"")))))</f>
        <v>0</v>
      </c>
      <c r="DK76" s="85">
        <f>IF(DK33&lt;=Condition!$E$16,0,IF(DK33&lt;=Condition!$F$16,Condition!$D$16,IF(DK33&lt;=Condition!$F$17,Condition!$D$17,IF(DK33&lt;=Condition!$F$18,Condition!$D$18,IF(DK33&gt;Condition!$E$19,Condition!$D$19,"")))))</f>
        <v>0</v>
      </c>
      <c r="DL76" s="85">
        <f>IF(DL33&lt;=Condition!$E$16,0,IF(DL33&lt;=Condition!$F$16,Condition!$D$16,IF(DL33&lt;=Condition!$F$17,Condition!$D$17,IF(DL33&lt;=Condition!$F$18,Condition!$D$18,IF(DL33&gt;Condition!$E$19,Condition!$D$19,"")))))</f>
        <v>0</v>
      </c>
      <c r="DM76" s="85">
        <f>IF(DM33&lt;=Condition!$E$16,0,IF(DM33&lt;=Condition!$F$16,Condition!$D$16,IF(DM33&lt;=Condition!$F$17,Condition!$D$17,IF(DM33&lt;=Condition!$F$18,Condition!$D$18,IF(DM33&gt;Condition!$E$19,Condition!$D$19,"")))))</f>
        <v>0</v>
      </c>
      <c r="DN76" s="85">
        <f>IF(DN33&lt;=Condition!$E$16,0,IF(DN33&lt;=Condition!$F$16,Condition!$D$16,IF(DN33&lt;=Condition!$F$17,Condition!$D$17,IF(DN33&lt;=Condition!$F$18,Condition!$D$18,IF(DN33&gt;Condition!$E$19,Condition!$D$19,"")))))</f>
        <v>0</v>
      </c>
      <c r="DO76" s="85">
        <f>IF(DO33&lt;=Condition!$E$16,0,IF(DO33&lt;=Condition!$F$16,Condition!$D$16,IF(DO33&lt;=Condition!$F$17,Condition!$D$17,IF(DO33&lt;=Condition!$F$18,Condition!$D$18,IF(DO33&gt;Condition!$E$19,Condition!$D$19,"")))))</f>
        <v>0</v>
      </c>
      <c r="DP76" s="85">
        <f>IF(DP33&lt;=Condition!$E$16,0,IF(DP33&lt;=Condition!$F$16,Condition!$D$16,IF(DP33&lt;=Condition!$F$17,Condition!$D$17,IF(DP33&lt;=Condition!$F$18,Condition!$D$18,IF(DP33&gt;Condition!$E$19,Condition!$D$19,"")))))</f>
        <v>0</v>
      </c>
      <c r="DQ76" s="85">
        <f>IF(DQ33&lt;=Condition!$E$16,0,IF(DQ33&lt;=Condition!$F$16,Condition!$D$16,IF(DQ33&lt;=Condition!$F$17,Condition!$D$17,IF(DQ33&lt;=Condition!$F$18,Condition!$D$18,IF(DQ33&gt;Condition!$E$19,Condition!$D$19,"")))))</f>
        <v>0</v>
      </c>
      <c r="DR76" s="85">
        <f>IF(DR33&lt;=Condition!$E$16,0,IF(DR33&lt;=Condition!$F$16,Condition!$D$16,IF(DR33&lt;=Condition!$F$17,Condition!$D$17,IF(DR33&lt;=Condition!$F$18,Condition!$D$18,IF(DR33&gt;Condition!$E$19,Condition!$D$19,"")))))</f>
        <v>0</v>
      </c>
      <c r="DS76" s="85">
        <f>IF(DS33&lt;=Condition!$E$16,0,IF(DS33&lt;=Condition!$F$16,Condition!$D$16,IF(DS33&lt;=Condition!$F$17,Condition!$D$17,IF(DS33&lt;=Condition!$F$18,Condition!$D$18,IF(DS33&gt;Condition!$E$19,Condition!$D$19,"")))))</f>
        <v>0</v>
      </c>
      <c r="DT76" s="85">
        <f>IF(DT33&lt;=Condition!$E$16,0,IF(DT33&lt;=Condition!$F$16,Condition!$D$16,IF(DT33&lt;=Condition!$F$17,Condition!$D$17,IF(DT33&lt;=Condition!$F$18,Condition!$D$18,IF(DT33&gt;Condition!$E$19,Condition!$D$19,"")))))</f>
        <v>0</v>
      </c>
      <c r="DU76" s="85">
        <f>IF(DU33&lt;=Condition!$E$16,0,IF(DU33&lt;=Condition!$F$16,Condition!$D$16,IF(DU33&lt;=Condition!$F$17,Condition!$D$17,IF(DU33&lt;=Condition!$F$18,Condition!$D$18,IF(DU33&gt;Condition!$E$19,Condition!$D$19,"")))))</f>
        <v>0</v>
      </c>
      <c r="DV76" s="85">
        <f>IF(DV33&lt;=Condition!$E$16,0,IF(DV33&lt;=Condition!$F$16,Condition!$D$16,IF(DV33&lt;=Condition!$F$17,Condition!$D$17,IF(DV33&lt;=Condition!$F$18,Condition!$D$18,IF(DV33&gt;Condition!$E$19,Condition!$D$19,"")))))</f>
        <v>0</v>
      </c>
      <c r="DW76" s="85">
        <f>IF(DW33&lt;=Condition!$E$16,0,IF(DW33&lt;=Condition!$F$16,Condition!$D$16,IF(DW33&lt;=Condition!$F$17,Condition!$D$17,IF(DW33&lt;=Condition!$F$18,Condition!$D$18,IF(DW33&gt;Condition!$E$19,Condition!$D$19,"")))))</f>
        <v>0</v>
      </c>
      <c r="DX76" s="85">
        <f>IF(DX33&lt;=Condition!$E$16,0,IF(DX33&lt;=Condition!$F$16,Condition!$D$16,IF(DX33&lt;=Condition!$F$17,Condition!$D$17,IF(DX33&lt;=Condition!$F$18,Condition!$D$18,IF(DX33&gt;Condition!$E$19,Condition!$D$19,"")))))</f>
        <v>0</v>
      </c>
      <c r="DY76" s="85">
        <f>IF(DY33&lt;=Condition!$E$16,0,IF(DY33&lt;=Condition!$F$16,Condition!$D$16,IF(DY33&lt;=Condition!$F$17,Condition!$D$17,IF(DY33&lt;=Condition!$F$18,Condition!$D$18,IF(DY33&gt;Condition!$E$19,Condition!$D$19,"")))))</f>
        <v>0</v>
      </c>
      <c r="DZ76" s="85">
        <f>IF(DZ33&lt;=Condition!$E$16,0,IF(DZ33&lt;=Condition!$F$16,Condition!$D$16,IF(DZ33&lt;=Condition!$F$17,Condition!$D$17,IF(DZ33&lt;=Condition!$F$18,Condition!$D$18,IF(DZ33&gt;Condition!$E$19,Condition!$D$19,"")))))</f>
        <v>0</v>
      </c>
      <c r="EA76" s="85">
        <f>IF(EA33&lt;=Condition!$E$16,0,IF(EA33&lt;=Condition!$F$16,Condition!$D$16,IF(EA33&lt;=Condition!$F$17,Condition!$D$17,IF(EA33&lt;=Condition!$F$18,Condition!$D$18,IF(EA33&gt;Condition!$E$19,Condition!$D$19,"")))))</f>
        <v>0</v>
      </c>
      <c r="EB76" s="85">
        <f>IF(EB33&lt;=Condition!$E$16,0,IF(EB33&lt;=Condition!$F$16,Condition!$D$16,IF(EB33&lt;=Condition!$F$17,Condition!$D$17,IF(EB33&lt;=Condition!$F$18,Condition!$D$18,IF(EB33&gt;Condition!$E$19,Condition!$D$19,"")))))</f>
        <v>0</v>
      </c>
      <c r="EC76" s="85">
        <f>IF(EC33&lt;=Condition!$E$16,0,IF(EC33&lt;=Condition!$F$16,Condition!$D$16,IF(EC33&lt;=Condition!$F$17,Condition!$D$17,IF(EC33&lt;=Condition!$F$18,Condition!$D$18,IF(EC33&gt;Condition!$E$19,Condition!$D$19,"")))))</f>
        <v>0</v>
      </c>
      <c r="ED76" s="85">
        <f>IF(ED33&lt;=Condition!$E$16,0,IF(ED33&lt;=Condition!$F$16,Condition!$D$16,IF(ED33&lt;=Condition!$F$17,Condition!$D$17,IF(ED33&lt;=Condition!$F$18,Condition!$D$18,IF(ED33&gt;Condition!$E$19,Condition!$D$19,"")))))</f>
        <v>0</v>
      </c>
      <c r="EE76" s="85">
        <f>IF(EE33&lt;=Condition!$E$16,0,IF(EE33&lt;=Condition!$F$16,Condition!$D$16,IF(EE33&lt;=Condition!$F$17,Condition!$D$17,IF(EE33&lt;=Condition!$F$18,Condition!$D$18,IF(EE33&gt;Condition!$E$19,Condition!$D$19,"")))))</f>
        <v>0</v>
      </c>
      <c r="EF76" s="85">
        <f>IF(EF33&lt;=Condition!$E$16,0,IF(EF33&lt;=Condition!$F$16,Condition!$D$16,IF(EF33&lt;=Condition!$F$17,Condition!$D$17,IF(EF33&lt;=Condition!$F$18,Condition!$D$18,IF(EF33&gt;Condition!$E$19,Condition!$D$19,"")))))</f>
        <v>0</v>
      </c>
      <c r="EG76" s="85">
        <f>IF(EG33&lt;=Condition!$E$16,0,IF(EG33&lt;=Condition!$F$16,Condition!$D$16,IF(EG33&lt;=Condition!$F$17,Condition!$D$17,IF(EG33&lt;=Condition!$F$18,Condition!$D$18,IF(EG33&gt;Condition!$E$19,Condition!$D$19,"")))))</f>
        <v>0</v>
      </c>
      <c r="EH76" s="85">
        <f>IF(EH33&lt;=Condition!$E$16,0,IF(EH33&lt;=Condition!$F$16,Condition!$D$16,IF(EH33&lt;=Condition!$F$17,Condition!$D$17,IF(EH33&lt;=Condition!$F$18,Condition!$D$18,IF(EH33&gt;Condition!$E$19,Condition!$D$19,"")))))</f>
        <v>0</v>
      </c>
      <c r="EI76" s="85">
        <f>IF(EI33&lt;=Condition!$E$16,0,IF(EI33&lt;=Condition!$F$16,Condition!$D$16,IF(EI33&lt;=Condition!$F$17,Condition!$D$17,IF(EI33&lt;=Condition!$F$18,Condition!$D$18,IF(EI33&gt;Condition!$E$19,Condition!$D$19,"")))))</f>
        <v>0</v>
      </c>
      <c r="EJ76" s="85">
        <f>IF(EJ33&lt;=Condition!$E$16,0,IF(EJ33&lt;=Condition!$F$16,Condition!$D$16,IF(EJ33&lt;=Condition!$F$17,Condition!$D$17,IF(EJ33&lt;=Condition!$F$18,Condition!$D$18,IF(EJ33&gt;Condition!$E$19,Condition!$D$19,"")))))</f>
        <v>0</v>
      </c>
      <c r="EK76" s="85">
        <f>IF(EK33&lt;=Condition!$E$16,0,IF(EK33&lt;=Condition!$F$16,Condition!$D$16,IF(EK33&lt;=Condition!$F$17,Condition!$D$17,IF(EK33&lt;=Condition!$F$18,Condition!$D$18,IF(EK33&gt;Condition!$E$19,Condition!$D$19,"")))))</f>
        <v>0</v>
      </c>
      <c r="EL76" s="85">
        <f>IF(EL33&lt;=Condition!$E$16,0,IF(EL33&lt;=Condition!$F$16,Condition!$D$16,IF(EL33&lt;=Condition!$F$17,Condition!$D$17,IF(EL33&lt;=Condition!$F$18,Condition!$D$18,IF(EL33&gt;Condition!$E$19,Condition!$D$19,"")))))</f>
        <v>0</v>
      </c>
      <c r="EM76" s="85">
        <f>IF(EM33&lt;=Condition!$E$16,0,IF(EM33&lt;=Condition!$F$16,Condition!$D$16,IF(EM33&lt;=Condition!$F$17,Condition!$D$17,IF(EM33&lt;=Condition!$F$18,Condition!$D$18,IF(EM33&gt;Condition!$E$19,Condition!$D$19,"")))))</f>
        <v>0</v>
      </c>
      <c r="EN76" s="85">
        <f>IF(EN33&lt;=Condition!$E$16,0,IF(EN33&lt;=Condition!$F$16,Condition!$D$16,IF(EN33&lt;=Condition!$F$17,Condition!$D$17,IF(EN33&lt;=Condition!$F$18,Condition!$D$18,IF(EN33&gt;Condition!$E$19,Condition!$D$19,"")))))</f>
        <v>0</v>
      </c>
      <c r="EO76" s="85">
        <f>IF(EO33&lt;=Condition!$E$16,0,IF(EO33&lt;=Condition!$F$16,Condition!$D$16,IF(EO33&lt;=Condition!$F$17,Condition!$D$17,IF(EO33&lt;=Condition!$F$18,Condition!$D$18,IF(EO33&gt;Condition!$E$19,Condition!$D$19,"")))))</f>
        <v>0</v>
      </c>
      <c r="EP76" s="85">
        <f>IF(EP33&lt;=Condition!$E$16,0,IF(EP33&lt;=Condition!$F$16,Condition!$D$16,IF(EP33&lt;=Condition!$F$17,Condition!$D$17,IF(EP33&lt;=Condition!$F$18,Condition!$D$18,IF(EP33&gt;Condition!$E$19,Condition!$D$19,"")))))</f>
        <v>0</v>
      </c>
      <c r="EQ76" s="85">
        <f>IF(EQ33&lt;=Condition!$E$16,0,IF(EQ33&lt;=Condition!$F$16,Condition!$D$16,IF(EQ33&lt;=Condition!$F$17,Condition!$D$17,IF(EQ33&lt;=Condition!$F$18,Condition!$D$18,IF(EQ33&gt;Condition!$E$19,Condition!$D$19,"")))))</f>
        <v>0</v>
      </c>
      <c r="ER76" s="85">
        <f>IF(ER33&lt;=Condition!$E$16,0,IF(ER33&lt;=Condition!$F$16,Condition!$D$16,IF(ER33&lt;=Condition!$F$17,Condition!$D$17,IF(ER33&lt;=Condition!$F$18,Condition!$D$18,IF(ER33&gt;Condition!$E$19,Condition!$D$19,"")))))</f>
        <v>0</v>
      </c>
      <c r="ES76" s="85">
        <f>IF(ES33&lt;=Condition!$E$16,0,IF(ES33&lt;=Condition!$F$16,Condition!$D$16,IF(ES33&lt;=Condition!$F$17,Condition!$D$17,IF(ES33&lt;=Condition!$F$18,Condition!$D$18,IF(ES33&gt;Condition!$E$19,Condition!$D$19,"")))))</f>
        <v>0</v>
      </c>
      <c r="ET76" s="85">
        <f>IF(ET33&lt;=Condition!$E$16,0,IF(ET33&lt;=Condition!$F$16,Condition!$D$16,IF(ET33&lt;=Condition!$F$17,Condition!$D$17,IF(ET33&lt;=Condition!$F$18,Condition!$D$18,IF(ET33&gt;Condition!$E$19,Condition!$D$19,"")))))</f>
        <v>0</v>
      </c>
      <c r="EU76" s="85">
        <f>IF(EU33&lt;=Condition!$E$16,0,IF(EU33&lt;=Condition!$F$16,Condition!$D$16,IF(EU33&lt;=Condition!$F$17,Condition!$D$17,IF(EU33&lt;=Condition!$F$18,Condition!$D$18,IF(EU33&gt;Condition!$E$19,Condition!$D$19,"")))))</f>
        <v>0</v>
      </c>
      <c r="EV76" s="85">
        <f>IF(EV33&lt;=Condition!$E$16,0,IF(EV33&lt;=Condition!$F$16,Condition!$D$16,IF(EV33&lt;=Condition!$F$17,Condition!$D$17,IF(EV33&lt;=Condition!$F$18,Condition!$D$18,IF(EV33&gt;Condition!$E$19,Condition!$D$19,"")))))</f>
        <v>0</v>
      </c>
      <c r="EW76" s="85">
        <f>IF(EW33&lt;=Condition!$E$16,0,IF(EW33&lt;=Condition!$F$16,Condition!$D$16,IF(EW33&lt;=Condition!$F$17,Condition!$D$17,IF(EW33&lt;=Condition!$F$18,Condition!$D$18,IF(EW33&gt;Condition!$E$19,Condition!$D$19,"")))))</f>
        <v>0</v>
      </c>
      <c r="EX76" s="85">
        <f>IF(EX33&lt;=Condition!$E$16,0,IF(EX33&lt;=Condition!$F$16,Condition!$D$16,IF(EX33&lt;=Condition!$F$17,Condition!$D$17,IF(EX33&lt;=Condition!$F$18,Condition!$D$18,IF(EX33&gt;Condition!$E$19,Condition!$D$19,"")))))</f>
        <v>0</v>
      </c>
      <c r="EY76" s="85">
        <f>IF(EY33&lt;=Condition!$E$16,0,IF(EY33&lt;=Condition!$F$16,Condition!$D$16,IF(EY33&lt;=Condition!$F$17,Condition!$D$17,IF(EY33&lt;=Condition!$F$18,Condition!$D$18,IF(EY33&gt;Condition!$E$19,Condition!$D$19,"")))))</f>
        <v>0</v>
      </c>
      <c r="EZ76" s="85">
        <f>IF(EZ33&lt;=Condition!$E$16,0,IF(EZ33&lt;=Condition!$F$16,Condition!$D$16,IF(EZ33&lt;=Condition!$F$17,Condition!$D$17,IF(EZ33&lt;=Condition!$F$18,Condition!$D$18,IF(EZ33&gt;Condition!$E$19,Condition!$D$19,"")))))</f>
        <v>0</v>
      </c>
      <c r="FA76" s="85">
        <f>IF(FA33&lt;=Condition!$E$16,0,IF(FA33&lt;=Condition!$F$16,Condition!$D$16,IF(FA33&lt;=Condition!$F$17,Condition!$D$17,IF(FA33&lt;=Condition!$F$18,Condition!$D$18,IF(FA33&gt;Condition!$E$19,Condition!$D$19,"")))))</f>
        <v>0</v>
      </c>
      <c r="FB76" s="85">
        <f>IF(FB33&lt;=Condition!$E$16,0,IF(FB33&lt;=Condition!$F$16,Condition!$D$16,IF(FB33&lt;=Condition!$F$17,Condition!$D$17,IF(FB33&lt;=Condition!$F$18,Condition!$D$18,IF(FB33&gt;Condition!$E$19,Condition!$D$19,"")))))</f>
        <v>0</v>
      </c>
      <c r="FC76" s="85">
        <f>IF(FC33&lt;=Condition!$E$16,0,IF(FC33&lt;=Condition!$F$16,Condition!$D$16,IF(FC33&lt;=Condition!$F$17,Condition!$D$17,IF(FC33&lt;=Condition!$F$18,Condition!$D$18,IF(FC33&gt;Condition!$E$19,Condition!$D$19,"")))))</f>
        <v>0</v>
      </c>
      <c r="FD76" s="85">
        <f>IF(FD33&lt;=Condition!$E$16,0,IF(FD33&lt;=Condition!$F$16,Condition!$D$16,IF(FD33&lt;=Condition!$F$17,Condition!$D$17,IF(FD33&lt;=Condition!$F$18,Condition!$D$18,IF(FD33&gt;Condition!$E$19,Condition!$D$19,"")))))</f>
        <v>0</v>
      </c>
      <c r="FE76" s="85">
        <f>IF(FE33&lt;=Condition!$E$16,0,IF(FE33&lt;=Condition!$F$16,Condition!$D$16,IF(FE33&lt;=Condition!$F$17,Condition!$D$17,IF(FE33&lt;=Condition!$F$18,Condition!$D$18,IF(FE33&gt;Condition!$E$19,Condition!$D$19,"")))))</f>
        <v>0</v>
      </c>
      <c r="FF76" s="85">
        <f>IF(FF33&lt;=Condition!$E$16,0,IF(FF33&lt;=Condition!$F$16,Condition!$D$16,IF(FF33&lt;=Condition!$F$17,Condition!$D$17,IF(FF33&lt;=Condition!$F$18,Condition!$D$18,IF(FF33&gt;Condition!$E$19,Condition!$D$19,"")))))</f>
        <v>0</v>
      </c>
      <c r="FG76" s="85">
        <f>IF(FG33&lt;=Condition!$E$16,0,IF(FG33&lt;=Condition!$F$16,Condition!$D$16,IF(FG33&lt;=Condition!$F$17,Condition!$D$17,IF(FG33&lt;=Condition!$F$18,Condition!$D$18,IF(FG33&gt;Condition!$E$19,Condition!$D$19,"")))))</f>
        <v>0</v>
      </c>
      <c r="FH76" s="85">
        <f>IF(FH33&lt;=Condition!$E$16,0,IF(FH33&lt;=Condition!$F$16,Condition!$D$16,IF(FH33&lt;=Condition!$F$17,Condition!$D$17,IF(FH33&lt;=Condition!$F$18,Condition!$D$18,IF(FH33&gt;Condition!$E$19,Condition!$D$19,"")))))</f>
        <v>0</v>
      </c>
      <c r="FI76" s="85">
        <f>IF(FI33&lt;=Condition!$E$16,0,IF(FI33&lt;=Condition!$F$16,Condition!$D$16,IF(FI33&lt;=Condition!$F$17,Condition!$D$17,IF(FI33&lt;=Condition!$F$18,Condition!$D$18,IF(FI33&gt;Condition!$E$19,Condition!$D$19,"")))))</f>
        <v>0</v>
      </c>
      <c r="FJ76" s="85">
        <f>IF(FJ33&lt;=Condition!$E$16,0,IF(FJ33&lt;=Condition!$F$16,Condition!$D$16,IF(FJ33&lt;=Condition!$F$17,Condition!$D$17,IF(FJ33&lt;=Condition!$F$18,Condition!$D$18,IF(FJ33&gt;Condition!$E$19,Condition!$D$19,"")))))</f>
        <v>0</v>
      </c>
      <c r="FK76" s="85">
        <f>IF(FK33&lt;=Condition!$E$16,0,IF(FK33&lt;=Condition!$F$16,Condition!$D$16,IF(FK33&lt;=Condition!$F$17,Condition!$D$17,IF(FK33&lt;=Condition!$F$18,Condition!$D$18,IF(FK33&gt;Condition!$E$19,Condition!$D$19,"")))))</f>
        <v>0</v>
      </c>
      <c r="FL76" s="85">
        <f>IF(FL33&lt;=Condition!$E$16,0,IF(FL33&lt;=Condition!$F$16,Condition!$D$16,IF(FL33&lt;=Condition!$F$17,Condition!$D$17,IF(FL33&lt;=Condition!$F$18,Condition!$D$18,IF(FL33&gt;Condition!$E$19,Condition!$D$19,"")))))</f>
        <v>0</v>
      </c>
      <c r="FM76" s="85">
        <f>IF(FM33&lt;=Condition!$E$16,0,IF(FM33&lt;=Condition!$F$16,Condition!$D$16,IF(FM33&lt;=Condition!$F$17,Condition!$D$17,IF(FM33&lt;=Condition!$F$18,Condition!$D$18,IF(FM33&gt;Condition!$E$19,Condition!$D$19,"")))))</f>
        <v>0</v>
      </c>
      <c r="FN76" s="85">
        <f>IF(FN33&lt;=Condition!$E$16,0,IF(FN33&lt;=Condition!$F$16,Condition!$D$16,IF(FN33&lt;=Condition!$F$17,Condition!$D$17,IF(FN33&lt;=Condition!$F$18,Condition!$D$18,IF(FN33&gt;Condition!$E$19,Condition!$D$19,"")))))</f>
        <v>0</v>
      </c>
      <c r="FO76" s="85">
        <f>IF(FO33&lt;=Condition!$E$16,0,IF(FO33&lt;=Condition!$F$16,Condition!$D$16,IF(FO33&lt;=Condition!$F$17,Condition!$D$17,IF(FO33&lt;=Condition!$F$18,Condition!$D$18,IF(FO33&gt;Condition!$E$19,Condition!$D$19,"")))))</f>
        <v>0</v>
      </c>
      <c r="FP76" s="85">
        <f>IF(FP33&lt;=Condition!$E$16,0,IF(FP33&lt;=Condition!$F$16,Condition!$D$16,IF(FP33&lt;=Condition!$F$17,Condition!$D$17,IF(FP33&lt;=Condition!$F$18,Condition!$D$18,IF(FP33&gt;Condition!$E$19,Condition!$D$19,"")))))</f>
        <v>0</v>
      </c>
      <c r="FQ76" s="85">
        <f>IF(FQ33&lt;=Condition!$E$16,0,IF(FQ33&lt;=Condition!$F$16,Condition!$D$16,IF(FQ33&lt;=Condition!$F$17,Condition!$D$17,IF(FQ33&lt;=Condition!$F$18,Condition!$D$18,IF(FQ33&gt;Condition!$E$19,Condition!$D$19,"")))))</f>
        <v>0</v>
      </c>
      <c r="FR76" s="85">
        <f>IF(FR33&lt;=Condition!$E$16,0,IF(FR33&lt;=Condition!$F$16,Condition!$D$16,IF(FR33&lt;=Condition!$F$17,Condition!$D$17,IF(FR33&lt;=Condition!$F$18,Condition!$D$18,IF(FR33&gt;Condition!$E$19,Condition!$D$19,"")))))</f>
        <v>0</v>
      </c>
      <c r="FS76" s="85">
        <f>IF(FS33&lt;=Condition!$E$16,0,IF(FS33&lt;=Condition!$F$16,Condition!$D$16,IF(FS33&lt;=Condition!$F$17,Condition!$D$17,IF(FS33&lt;=Condition!$F$18,Condition!$D$18,IF(FS33&gt;Condition!$E$19,Condition!$D$19,"")))))</f>
        <v>0</v>
      </c>
      <c r="FT76" s="85">
        <f>IF(FT33&lt;=Condition!$E$16,0,IF(FT33&lt;=Condition!$F$16,Condition!$D$16,IF(FT33&lt;=Condition!$F$17,Condition!$D$17,IF(FT33&lt;=Condition!$F$18,Condition!$D$18,IF(FT33&gt;Condition!$E$19,Condition!$D$19,"")))))</f>
        <v>0</v>
      </c>
      <c r="FU76" s="85">
        <f>IF(FU33&lt;=Condition!$E$16,0,IF(FU33&lt;=Condition!$F$16,Condition!$D$16,IF(FU33&lt;=Condition!$F$17,Condition!$D$17,IF(FU33&lt;=Condition!$F$18,Condition!$D$18,IF(FU33&gt;Condition!$E$19,Condition!$D$19,"")))))</f>
        <v>0</v>
      </c>
      <c r="FV76" s="85">
        <f>IF(FV33&lt;=Condition!$E$16,0,IF(FV33&lt;=Condition!$F$16,Condition!$D$16,IF(FV33&lt;=Condition!$F$17,Condition!$D$17,IF(FV33&lt;=Condition!$F$18,Condition!$D$18,IF(FV33&gt;Condition!$E$19,Condition!$D$19,"")))))</f>
        <v>0</v>
      </c>
      <c r="FW76" s="85">
        <f>IF(FW33&lt;=Condition!$E$16,0,IF(FW33&lt;=Condition!$F$16,Condition!$D$16,IF(FW33&lt;=Condition!$F$17,Condition!$D$17,IF(FW33&lt;=Condition!$F$18,Condition!$D$18,IF(FW33&gt;Condition!$E$19,Condition!$D$19,"")))))</f>
        <v>0</v>
      </c>
      <c r="FX76" s="85">
        <f>IF(FX33&lt;=Condition!$E$16,0,IF(FX33&lt;=Condition!$F$16,Condition!$D$16,IF(FX33&lt;=Condition!$F$17,Condition!$D$17,IF(FX33&lt;=Condition!$F$18,Condition!$D$18,IF(FX33&gt;Condition!$E$19,Condition!$D$19,"")))))</f>
        <v>0</v>
      </c>
      <c r="FY76" s="85">
        <f>IF(FY33&lt;=Condition!$E$16,0,IF(FY33&lt;=Condition!$F$16,Condition!$D$16,IF(FY33&lt;=Condition!$F$17,Condition!$D$17,IF(FY33&lt;=Condition!$F$18,Condition!$D$18,IF(FY33&gt;Condition!$E$19,Condition!$D$19,"")))))</f>
        <v>0</v>
      </c>
      <c r="FZ76" s="85">
        <f>IF(FZ33&lt;=Condition!$E$16,0,IF(FZ33&lt;=Condition!$F$16,Condition!$D$16,IF(FZ33&lt;=Condition!$F$17,Condition!$D$17,IF(FZ33&lt;=Condition!$F$18,Condition!$D$18,IF(FZ33&gt;Condition!$E$19,Condition!$D$19,"")))))</f>
        <v>0</v>
      </c>
      <c r="GA76" s="85">
        <f>IF(GA33&lt;=Condition!$E$16,0,IF(GA33&lt;=Condition!$F$16,Condition!$D$16,IF(GA33&lt;=Condition!$F$17,Condition!$D$17,IF(GA33&lt;=Condition!$F$18,Condition!$D$18,IF(GA33&gt;Condition!$E$19,Condition!$D$19,"")))))</f>
        <v>0</v>
      </c>
      <c r="GB76" s="85">
        <f>IF(GB33&lt;=Condition!$E$16,0,IF(GB33&lt;=Condition!$F$16,Condition!$D$16,IF(GB33&lt;=Condition!$F$17,Condition!$D$17,IF(GB33&lt;=Condition!$F$18,Condition!$D$18,IF(GB33&gt;Condition!$E$19,Condition!$D$19,"")))))</f>
        <v>0</v>
      </c>
      <c r="GC76" s="85">
        <f>IF(GC33&lt;=Condition!$E$16,0,IF(GC33&lt;=Condition!$F$16,Condition!$D$16,IF(GC33&lt;=Condition!$F$17,Condition!$D$17,IF(GC33&lt;=Condition!$F$18,Condition!$D$18,IF(GC33&gt;Condition!$E$19,Condition!$D$19,"")))))</f>
        <v>0</v>
      </c>
      <c r="GD76" s="85">
        <f>IF(GD33&lt;=Condition!$E$16,0,IF(GD33&lt;=Condition!$F$16,Condition!$D$16,IF(GD33&lt;=Condition!$F$17,Condition!$D$17,IF(GD33&lt;=Condition!$F$18,Condition!$D$18,IF(GD33&gt;Condition!$E$19,Condition!$D$19,"")))))</f>
        <v>0</v>
      </c>
      <c r="GE76" s="85">
        <f>IF(GE33&lt;=Condition!$E$16,0,IF(GE33&lt;=Condition!$F$16,Condition!$D$16,IF(GE33&lt;=Condition!$F$17,Condition!$D$17,IF(GE33&lt;=Condition!$F$18,Condition!$D$18,IF(GE33&gt;Condition!$E$19,Condition!$D$19,"")))))</f>
        <v>0</v>
      </c>
      <c r="GF76" s="85">
        <f>IF(GF33&lt;=Condition!$E$16,0,IF(GF33&lt;=Condition!$F$16,Condition!$D$16,IF(GF33&lt;=Condition!$F$17,Condition!$D$17,IF(GF33&lt;=Condition!$F$18,Condition!$D$18,IF(GF33&gt;Condition!$E$19,Condition!$D$19,"")))))</f>
        <v>0</v>
      </c>
      <c r="GG76" s="85">
        <f>IF(GG33&lt;=Condition!$E$16,0,IF(GG33&lt;=Condition!$F$16,Condition!$D$16,IF(GG33&lt;=Condition!$F$17,Condition!$D$17,IF(GG33&lt;=Condition!$F$18,Condition!$D$18,IF(GG33&gt;Condition!$E$19,Condition!$D$19,"")))))</f>
        <v>0</v>
      </c>
      <c r="GH76" s="85">
        <f>IF(GH33&lt;=Condition!$E$16,0,IF(GH33&lt;=Condition!$F$16,Condition!$D$16,IF(GH33&lt;=Condition!$F$17,Condition!$D$17,IF(GH33&lt;=Condition!$F$18,Condition!$D$18,IF(GH33&gt;Condition!$E$19,Condition!$D$19,"")))))</f>
        <v>0</v>
      </c>
      <c r="GI76" s="85">
        <f>IF(GI33&lt;=Condition!$E$16,0,IF(GI33&lt;=Condition!$F$16,Condition!$D$16,IF(GI33&lt;=Condition!$F$17,Condition!$D$17,IF(GI33&lt;=Condition!$F$18,Condition!$D$18,IF(GI33&gt;Condition!$E$19,Condition!$D$19,"")))))</f>
        <v>0</v>
      </c>
      <c r="GJ76" s="85">
        <f>IF(GJ33&lt;=Condition!$E$16,0,IF(GJ33&lt;=Condition!$F$16,Condition!$D$16,IF(GJ33&lt;=Condition!$F$17,Condition!$D$17,IF(GJ33&lt;=Condition!$F$18,Condition!$D$18,IF(GJ33&gt;Condition!$E$19,Condition!$D$19,"")))))</f>
        <v>0</v>
      </c>
      <c r="GK76" s="85">
        <f>IF(GK33&lt;=Condition!$E$16,0,IF(GK33&lt;=Condition!$F$16,Condition!$D$16,IF(GK33&lt;=Condition!$F$17,Condition!$D$17,IF(GK33&lt;=Condition!$F$18,Condition!$D$18,IF(GK33&gt;Condition!$E$19,Condition!$D$19,"")))))</f>
        <v>0</v>
      </c>
      <c r="GL76" s="85">
        <f>IF(GL33&lt;=Condition!$E$16,0,IF(GL33&lt;=Condition!$F$16,Condition!$D$16,IF(GL33&lt;=Condition!$F$17,Condition!$D$17,IF(GL33&lt;=Condition!$F$18,Condition!$D$18,IF(GL33&gt;Condition!$E$19,Condition!$D$19,"")))))</f>
        <v>0</v>
      </c>
      <c r="GM76" s="85">
        <f>IF(GM33&lt;=Condition!$E$16,0,IF(GM33&lt;=Condition!$F$16,Condition!$D$16,IF(GM33&lt;=Condition!$F$17,Condition!$D$17,IF(GM33&lt;=Condition!$F$18,Condition!$D$18,IF(GM33&gt;Condition!$E$19,Condition!$D$19,"")))))</f>
        <v>0</v>
      </c>
      <c r="GN76" s="85">
        <f>IF(GN33&lt;=Condition!$E$16,0,IF(GN33&lt;=Condition!$F$16,Condition!$D$16,IF(GN33&lt;=Condition!$F$17,Condition!$D$17,IF(GN33&lt;=Condition!$F$18,Condition!$D$18,IF(GN33&gt;Condition!$E$19,Condition!$D$19,"")))))</f>
        <v>0</v>
      </c>
      <c r="GO76" s="85">
        <f>IF(GO33&lt;=Condition!$E$16,0,IF(GO33&lt;=Condition!$F$16,Condition!$D$16,IF(GO33&lt;=Condition!$F$17,Condition!$D$17,IF(GO33&lt;=Condition!$F$18,Condition!$D$18,IF(GO33&gt;Condition!$E$19,Condition!$D$19,"")))))</f>
        <v>0</v>
      </c>
      <c r="GP76" s="85">
        <f>IF(GP33&lt;=Condition!$E$16,0,IF(GP33&lt;=Condition!$F$16,Condition!$D$16,IF(GP33&lt;=Condition!$F$17,Condition!$D$17,IF(GP33&lt;=Condition!$F$18,Condition!$D$18,IF(GP33&gt;Condition!$E$19,Condition!$D$19,"")))))</f>
        <v>0</v>
      </c>
      <c r="GQ76" s="85">
        <f>IF(GQ33&lt;=Condition!$E$16,0,IF(GQ33&lt;=Condition!$F$16,Condition!$D$16,IF(GQ33&lt;=Condition!$F$17,Condition!$D$17,IF(GQ33&lt;=Condition!$F$18,Condition!$D$18,IF(GQ33&gt;Condition!$E$19,Condition!$D$19,"")))))</f>
        <v>0</v>
      </c>
      <c r="GR76" s="85">
        <f>IF(GR33&lt;=Condition!$E$16,0,IF(GR33&lt;=Condition!$F$16,Condition!$D$16,IF(GR33&lt;=Condition!$F$17,Condition!$D$17,IF(GR33&lt;=Condition!$F$18,Condition!$D$18,IF(GR33&gt;Condition!$E$19,Condition!$D$19,"")))))</f>
        <v>0</v>
      </c>
      <c r="GS76" s="85">
        <f>IF(GS33&lt;=Condition!$E$16,0,IF(GS33&lt;=Condition!$F$16,Condition!$D$16,IF(GS33&lt;=Condition!$F$17,Condition!$D$17,IF(GS33&lt;=Condition!$F$18,Condition!$D$18,IF(GS33&gt;Condition!$E$19,Condition!$D$19,"")))))</f>
        <v>0</v>
      </c>
      <c r="GT76" s="85">
        <f>IF(GT33&lt;=Condition!$E$16,0,IF(GT33&lt;=Condition!$F$16,Condition!$D$16,IF(GT33&lt;=Condition!$F$17,Condition!$D$17,IF(GT33&lt;=Condition!$F$18,Condition!$D$18,IF(GT33&gt;Condition!$E$19,Condition!$D$19,"")))))</f>
        <v>0</v>
      </c>
      <c r="GU76" s="85">
        <f>IF(GU33&lt;=Condition!$E$16,0,IF(GU33&lt;=Condition!$F$16,Condition!$D$16,IF(GU33&lt;=Condition!$F$17,Condition!$D$17,IF(GU33&lt;=Condition!$F$18,Condition!$D$18,IF(GU33&gt;Condition!$E$19,Condition!$D$19,"")))))</f>
        <v>0</v>
      </c>
      <c r="GV76" s="85">
        <f>IF(GV33&lt;=Condition!$E$16,0,IF(GV33&lt;=Condition!$F$16,Condition!$D$16,IF(GV33&lt;=Condition!$F$17,Condition!$D$17,IF(GV33&lt;=Condition!$F$18,Condition!$D$18,IF(GV33&gt;Condition!$E$19,Condition!$D$19,"")))))</f>
        <v>0</v>
      </c>
      <c r="GW76" s="85">
        <f>IF(GW33&lt;=Condition!$E$16,0,IF(GW33&lt;=Condition!$F$16,Condition!$D$16,IF(GW33&lt;=Condition!$F$17,Condition!$D$17,IF(GW33&lt;=Condition!$F$18,Condition!$D$18,IF(GW33&gt;Condition!$E$19,Condition!$D$19,"")))))</f>
        <v>0</v>
      </c>
      <c r="GX76" s="85">
        <f>IF(GX33&lt;=Condition!$E$16,0,IF(GX33&lt;=Condition!$F$16,Condition!$D$16,IF(GX33&lt;=Condition!$F$17,Condition!$D$17,IF(GX33&lt;=Condition!$F$18,Condition!$D$18,IF(GX33&gt;Condition!$E$19,Condition!$D$19,"")))))</f>
        <v>0</v>
      </c>
      <c r="GY76" s="85">
        <f>IF(GY33&lt;=Condition!$E$16,0,IF(GY33&lt;=Condition!$F$16,Condition!$D$16,IF(GY33&lt;=Condition!$F$17,Condition!$D$17,IF(GY33&lt;=Condition!$F$18,Condition!$D$18,IF(GY33&gt;Condition!$E$19,Condition!$D$19,"")))))</f>
        <v>0</v>
      </c>
      <c r="GZ76" s="85">
        <f>IF(GZ33&lt;=Condition!$E$16,0,IF(GZ33&lt;=Condition!$F$16,Condition!$D$16,IF(GZ33&lt;=Condition!$F$17,Condition!$D$17,IF(GZ33&lt;=Condition!$F$18,Condition!$D$18,IF(GZ33&gt;Condition!$E$19,Condition!$D$19,"")))))</f>
        <v>0</v>
      </c>
      <c r="HA76" s="85">
        <f>IF(HA33&lt;=Condition!$E$16,0,IF(HA33&lt;=Condition!$F$16,Condition!$D$16,IF(HA33&lt;=Condition!$F$17,Condition!$D$17,IF(HA33&lt;=Condition!$F$18,Condition!$D$18,IF(HA33&gt;Condition!$E$19,Condition!$D$19,"")))))</f>
        <v>0</v>
      </c>
      <c r="HB76" s="85">
        <f>IF(HB33&lt;=Condition!$E$16,0,IF(HB33&lt;=Condition!$F$16,Condition!$D$16,IF(HB33&lt;=Condition!$F$17,Condition!$D$17,IF(HB33&lt;=Condition!$F$18,Condition!$D$18,IF(HB33&gt;Condition!$E$19,Condition!$D$19,"")))))</f>
        <v>0</v>
      </c>
      <c r="HC76" s="85">
        <f>IF(HC33&lt;=Condition!$E$16,0,IF(HC33&lt;=Condition!$F$16,Condition!$D$16,IF(HC33&lt;=Condition!$F$17,Condition!$D$17,IF(HC33&lt;=Condition!$F$18,Condition!$D$18,IF(HC33&gt;Condition!$E$19,Condition!$D$19,"")))))</f>
        <v>0</v>
      </c>
      <c r="HD76" s="85">
        <f>IF(HD33&lt;=Condition!$E$16,0,IF(HD33&lt;=Condition!$F$16,Condition!$D$16,IF(HD33&lt;=Condition!$F$17,Condition!$D$17,IF(HD33&lt;=Condition!$F$18,Condition!$D$18,IF(HD33&gt;Condition!$E$19,Condition!$D$19,"")))))</f>
        <v>0</v>
      </c>
      <c r="HE76" s="85">
        <f>IF(HE33&lt;=Condition!$E$16,0,IF(HE33&lt;=Condition!$F$16,Condition!$D$16,IF(HE33&lt;=Condition!$F$17,Condition!$D$17,IF(HE33&lt;=Condition!$F$18,Condition!$D$18,IF(HE33&gt;Condition!$E$19,Condition!$D$19,"")))))</f>
        <v>0</v>
      </c>
      <c r="HF76" s="85">
        <f>IF(HF33&lt;=Condition!$E$16,0,IF(HF33&lt;=Condition!$F$16,Condition!$D$16,IF(HF33&lt;=Condition!$F$17,Condition!$D$17,IF(HF33&lt;=Condition!$F$18,Condition!$D$18,IF(HF33&gt;Condition!$E$19,Condition!$D$19,"")))))</f>
        <v>0</v>
      </c>
      <c r="HG76" s="85">
        <f>IF(HG33&lt;=Condition!$E$16,0,IF(HG33&lt;=Condition!$F$16,Condition!$D$16,IF(HG33&lt;=Condition!$F$17,Condition!$D$17,IF(HG33&lt;=Condition!$F$18,Condition!$D$18,IF(HG33&gt;Condition!$E$19,Condition!$D$19,"")))))</f>
        <v>0</v>
      </c>
      <c r="HH76" s="85">
        <f>IF(HH33&lt;=Condition!$E$16,0,IF(HH33&lt;=Condition!$F$16,Condition!$D$16,IF(HH33&lt;=Condition!$F$17,Condition!$D$17,IF(HH33&lt;=Condition!$F$18,Condition!$D$18,IF(HH33&gt;Condition!$E$19,Condition!$D$19,"")))))</f>
        <v>0</v>
      </c>
      <c r="HI76" s="85">
        <f>IF(HI33&lt;=Condition!$E$16,0,IF(HI33&lt;=Condition!$F$16,Condition!$D$16,IF(HI33&lt;=Condition!$F$17,Condition!$D$17,IF(HI33&lt;=Condition!$F$18,Condition!$D$18,IF(HI33&gt;Condition!$E$19,Condition!$D$19,"")))))</f>
        <v>0</v>
      </c>
      <c r="HJ76" s="85">
        <f>IF(HJ33&lt;=Condition!$E$16,0,IF(HJ33&lt;=Condition!$F$16,Condition!$D$16,IF(HJ33&lt;=Condition!$F$17,Condition!$D$17,IF(HJ33&lt;=Condition!$F$18,Condition!$D$18,IF(HJ33&gt;Condition!$E$19,Condition!$D$19,"")))))</f>
        <v>0</v>
      </c>
      <c r="HK76" s="85">
        <f>IF(HK33&lt;=Condition!$E$16,0,IF(HK33&lt;=Condition!$F$16,Condition!$D$16,IF(HK33&lt;=Condition!$F$17,Condition!$D$17,IF(HK33&lt;=Condition!$F$18,Condition!$D$18,IF(HK33&gt;Condition!$E$19,Condition!$D$19,"")))))</f>
        <v>0</v>
      </c>
      <c r="HL76" s="85">
        <f>IF(HL33&lt;=Condition!$E$16,0,IF(HL33&lt;=Condition!$F$16,Condition!$D$16,IF(HL33&lt;=Condition!$F$17,Condition!$D$17,IF(HL33&lt;=Condition!$F$18,Condition!$D$18,IF(HL33&gt;Condition!$E$19,Condition!$D$19,"")))))</f>
        <v>0</v>
      </c>
      <c r="HM76" s="85">
        <f>IF(HM33&lt;=Condition!$E$16,0,IF(HM33&lt;=Condition!$F$16,Condition!$D$16,IF(HM33&lt;=Condition!$F$17,Condition!$D$17,IF(HM33&lt;=Condition!$F$18,Condition!$D$18,IF(HM33&gt;Condition!$E$19,Condition!$D$19,"")))))</f>
        <v>0</v>
      </c>
      <c r="HN76" s="85">
        <f>IF(HN33&lt;=Condition!$E$16,0,IF(HN33&lt;=Condition!$F$16,Condition!$D$16,IF(HN33&lt;=Condition!$F$17,Condition!$D$17,IF(HN33&lt;=Condition!$F$18,Condition!$D$18,IF(HN33&gt;Condition!$E$19,Condition!$D$19,"")))))</f>
        <v>0</v>
      </c>
      <c r="HO76" s="85">
        <f>IF(HO33&lt;=Condition!$E$16,0,IF(HO33&lt;=Condition!$F$16,Condition!$D$16,IF(HO33&lt;=Condition!$F$17,Condition!$D$17,IF(HO33&lt;=Condition!$F$18,Condition!$D$18,IF(HO33&gt;Condition!$E$19,Condition!$D$19,"")))))</f>
        <v>0</v>
      </c>
      <c r="HP76" s="85">
        <f>IF(HP33&lt;=Condition!$E$16,0,IF(HP33&lt;=Condition!$F$16,Condition!$D$16,IF(HP33&lt;=Condition!$F$17,Condition!$D$17,IF(HP33&lt;=Condition!$F$18,Condition!$D$18,IF(HP33&gt;Condition!$E$19,Condition!$D$19,"")))))</f>
        <v>0</v>
      </c>
      <c r="HQ76" s="85">
        <f>IF(HQ33&lt;=Condition!$E$16,0,IF(HQ33&lt;=Condition!$F$16,Condition!$D$16,IF(HQ33&lt;=Condition!$F$17,Condition!$D$17,IF(HQ33&lt;=Condition!$F$18,Condition!$D$18,IF(HQ33&gt;Condition!$E$19,Condition!$D$19,"")))))</f>
        <v>0</v>
      </c>
      <c r="HR76" s="85">
        <f>IF(HR33&lt;=Condition!$E$16,0,IF(HR33&lt;=Condition!$F$16,Condition!$D$16,IF(HR33&lt;=Condition!$F$17,Condition!$D$17,IF(HR33&lt;=Condition!$F$18,Condition!$D$18,IF(HR33&gt;Condition!$E$19,Condition!$D$19,"")))))</f>
        <v>0</v>
      </c>
      <c r="HS76" s="85">
        <f>IF(HS33&lt;=Condition!$E$16,0,IF(HS33&lt;=Condition!$F$16,Condition!$D$16,IF(HS33&lt;=Condition!$F$17,Condition!$D$17,IF(HS33&lt;=Condition!$F$18,Condition!$D$18,IF(HS33&gt;Condition!$E$19,Condition!$D$19,"")))))</f>
        <v>0</v>
      </c>
      <c r="HT76" s="85">
        <f>IF(HT33&lt;=Condition!$E$16,0,IF(HT33&lt;=Condition!$F$16,Condition!$D$16,IF(HT33&lt;=Condition!$F$17,Condition!$D$17,IF(HT33&lt;=Condition!$F$18,Condition!$D$18,IF(HT33&gt;Condition!$E$19,Condition!$D$19,"")))))</f>
        <v>0</v>
      </c>
      <c r="HU76" s="85">
        <f>IF(HU33&lt;=Condition!$E$16,0,IF(HU33&lt;=Condition!$F$16,Condition!$D$16,IF(HU33&lt;=Condition!$F$17,Condition!$D$17,IF(HU33&lt;=Condition!$F$18,Condition!$D$18,IF(HU33&gt;Condition!$E$19,Condition!$D$19,"")))))</f>
        <v>0</v>
      </c>
      <c r="HV76" s="85">
        <f>IF(HV33&lt;=Condition!$E$16,0,IF(HV33&lt;=Condition!$F$16,Condition!$D$16,IF(HV33&lt;=Condition!$F$17,Condition!$D$17,IF(HV33&lt;=Condition!$F$18,Condition!$D$18,IF(HV33&gt;Condition!$E$19,Condition!$D$19,"")))))</f>
        <v>0</v>
      </c>
      <c r="HW76" s="85">
        <f>IF(HW33&lt;=Condition!$E$16,0,IF(HW33&lt;=Condition!$F$16,Condition!$D$16,IF(HW33&lt;=Condition!$F$17,Condition!$D$17,IF(HW33&lt;=Condition!$F$18,Condition!$D$18,IF(HW33&gt;Condition!$E$19,Condition!$D$19,"")))))</f>
        <v>0</v>
      </c>
      <c r="HX76" s="85">
        <f>IF(HX33&lt;=Condition!$E$16,0,IF(HX33&lt;=Condition!$F$16,Condition!$D$16,IF(HX33&lt;=Condition!$F$17,Condition!$D$17,IF(HX33&lt;=Condition!$F$18,Condition!$D$18,IF(HX33&gt;Condition!$E$19,Condition!$D$19,"")))))</f>
        <v>0</v>
      </c>
      <c r="HY76" s="85">
        <f>IF(HY33&lt;=Condition!$E$16,0,IF(HY33&lt;=Condition!$F$16,Condition!$D$16,IF(HY33&lt;=Condition!$F$17,Condition!$D$17,IF(HY33&lt;=Condition!$F$18,Condition!$D$18,IF(HY33&gt;Condition!$E$19,Condition!$D$19,"")))))</f>
        <v>0</v>
      </c>
      <c r="HZ76" s="85">
        <f>IF(HZ33&lt;=Condition!$E$16,0,IF(HZ33&lt;=Condition!$F$16,Condition!$D$16,IF(HZ33&lt;=Condition!$F$17,Condition!$D$17,IF(HZ33&lt;=Condition!$F$18,Condition!$D$18,IF(HZ33&gt;Condition!$E$19,Condition!$D$19,"")))))</f>
        <v>0</v>
      </c>
      <c r="IA76" s="85">
        <f>IF(IA33&lt;=Condition!$E$16,0,IF(IA33&lt;=Condition!$F$16,Condition!$D$16,IF(IA33&lt;=Condition!$F$17,Condition!$D$17,IF(IA33&lt;=Condition!$F$18,Condition!$D$18,IF(IA33&gt;Condition!$E$19,Condition!$D$19,"")))))</f>
        <v>0</v>
      </c>
      <c r="IB76" s="85">
        <f>IF(IB33&lt;=Condition!$E$16,0,IF(IB33&lt;=Condition!$F$16,Condition!$D$16,IF(IB33&lt;=Condition!$F$17,Condition!$D$17,IF(IB33&lt;=Condition!$F$18,Condition!$D$18,IF(IB33&gt;Condition!$E$19,Condition!$D$19,"")))))</f>
        <v>0</v>
      </c>
      <c r="IC76" s="85">
        <f>IF(IC33&lt;=Condition!$E$16,0,IF(IC33&lt;=Condition!$F$16,Condition!$D$16,IF(IC33&lt;=Condition!$F$17,Condition!$D$17,IF(IC33&lt;=Condition!$F$18,Condition!$D$18,IF(IC33&gt;Condition!$E$19,Condition!$D$19,"")))))</f>
        <v>0</v>
      </c>
      <c r="ID76" s="85">
        <f>IF(ID33&lt;=Condition!$E$16,0,IF(ID33&lt;=Condition!$F$16,Condition!$D$16,IF(ID33&lt;=Condition!$F$17,Condition!$D$17,IF(ID33&lt;=Condition!$F$18,Condition!$D$18,IF(ID33&gt;Condition!$E$19,Condition!$D$19,"")))))</f>
        <v>0</v>
      </c>
      <c r="IE76" s="85">
        <f>IF(IE33&lt;=Condition!$E$16,0,IF(IE33&lt;=Condition!$F$16,Condition!$D$16,IF(IE33&lt;=Condition!$F$17,Condition!$D$17,IF(IE33&lt;=Condition!$F$18,Condition!$D$18,IF(IE33&gt;Condition!$E$19,Condition!$D$19,"")))))</f>
        <v>0</v>
      </c>
      <c r="IF76" s="85">
        <f>IF(IF33&lt;=Condition!$E$16,0,IF(IF33&lt;=Condition!$F$16,Condition!$D$16,IF(IF33&lt;=Condition!$F$17,Condition!$D$17,IF(IF33&lt;=Condition!$F$18,Condition!$D$18,IF(IF33&gt;Condition!$E$19,Condition!$D$19,"")))))</f>
        <v>0</v>
      </c>
      <c r="IG76" s="85">
        <f>IF(IG33&lt;=Condition!$E$16,0,IF(IG33&lt;=Condition!$F$16,Condition!$D$16,IF(IG33&lt;=Condition!$F$17,Condition!$D$17,IF(IG33&lt;=Condition!$F$18,Condition!$D$18,IF(IG33&gt;Condition!$E$19,Condition!$D$19,"")))))</f>
        <v>0</v>
      </c>
      <c r="IH76" s="85">
        <f>IF(IH33&lt;=Condition!$E$16,0,IF(IH33&lt;=Condition!$F$16,Condition!$D$16,IF(IH33&lt;=Condition!$F$17,Condition!$D$17,IF(IH33&lt;=Condition!$F$18,Condition!$D$18,IF(IH33&gt;Condition!$E$19,Condition!$D$19,"")))))</f>
        <v>0</v>
      </c>
      <c r="II76" s="85">
        <f>IF(II33&lt;=Condition!$E$16,0,IF(II33&lt;=Condition!$F$16,Condition!$D$16,IF(II33&lt;=Condition!$F$17,Condition!$D$17,IF(II33&lt;=Condition!$F$18,Condition!$D$18,IF(II33&gt;Condition!$E$19,Condition!$D$19,"")))))</f>
        <v>0</v>
      </c>
      <c r="IJ76" s="85">
        <f>IF(IJ33&lt;=Condition!$E$16,0,IF(IJ33&lt;=Condition!$F$16,Condition!$D$16,IF(IJ33&lt;=Condition!$F$17,Condition!$D$17,IF(IJ33&lt;=Condition!$F$18,Condition!$D$18,IF(IJ33&gt;Condition!$E$19,Condition!$D$19,"")))))</f>
        <v>0</v>
      </c>
      <c r="IK76" s="85">
        <f>IF(IK33&lt;=Condition!$E$16,0,IF(IK33&lt;=Condition!$F$16,Condition!$D$16,IF(IK33&lt;=Condition!$F$17,Condition!$D$17,IF(IK33&lt;=Condition!$F$18,Condition!$D$18,IF(IK33&gt;Condition!$E$19,Condition!$D$19,"")))))</f>
        <v>0</v>
      </c>
      <c r="IL76" s="85">
        <f>IF(IL33&lt;=Condition!$E$16,0,IF(IL33&lt;=Condition!$F$16,Condition!$D$16,IF(IL33&lt;=Condition!$F$17,Condition!$D$17,IF(IL33&lt;=Condition!$F$18,Condition!$D$18,IF(IL33&gt;Condition!$E$19,Condition!$D$19,"")))))</f>
        <v>0</v>
      </c>
      <c r="IM76" s="85">
        <f>IF(IM33&lt;=Condition!$E$16,0,IF(IM33&lt;=Condition!$F$16,Condition!$D$16,IF(IM33&lt;=Condition!$F$17,Condition!$D$17,IF(IM33&lt;=Condition!$F$18,Condition!$D$18,IF(IM33&gt;Condition!$E$19,Condition!$D$19,"")))))</f>
        <v>0</v>
      </c>
      <c r="IN76" s="85">
        <f>IF(IN33&lt;=Condition!$E$16,0,IF(IN33&lt;=Condition!$F$16,Condition!$D$16,IF(IN33&lt;=Condition!$F$17,Condition!$D$17,IF(IN33&lt;=Condition!$F$18,Condition!$D$18,IF(IN33&gt;Condition!$E$19,Condition!$D$19,"")))))</f>
        <v>0</v>
      </c>
      <c r="IO76" s="85">
        <f>IF(IO33&lt;=Condition!$E$16,0,IF(IO33&lt;=Condition!$F$16,Condition!$D$16,IF(IO33&lt;=Condition!$F$17,Condition!$D$17,IF(IO33&lt;=Condition!$F$18,Condition!$D$18,IF(IO33&gt;Condition!$E$19,Condition!$D$19,"")))))</f>
        <v>0</v>
      </c>
      <c r="IP76" s="85">
        <f>IF(IP33&lt;=Condition!$E$16,0,IF(IP33&lt;=Condition!$F$16,Condition!$D$16,IF(IP33&lt;=Condition!$F$17,Condition!$D$17,IF(IP33&lt;=Condition!$F$18,Condition!$D$18,IF(IP33&gt;Condition!$E$19,Condition!$D$19,"")))))</f>
        <v>0</v>
      </c>
      <c r="IQ76" s="85">
        <f>IF(IQ33&lt;=Condition!$E$16,0,IF(IQ33&lt;=Condition!$F$16,Condition!$D$16,IF(IQ33&lt;=Condition!$F$17,Condition!$D$17,IF(IQ33&lt;=Condition!$F$18,Condition!$D$18,IF(IQ33&gt;Condition!$E$19,Condition!$D$19,"")))))</f>
        <v>0</v>
      </c>
      <c r="IR76" s="85">
        <f>IF(IR33&lt;=Condition!$E$16,0,IF(IR33&lt;=Condition!$F$16,Condition!$D$16,IF(IR33&lt;=Condition!$F$17,Condition!$D$17,IF(IR33&lt;=Condition!$F$18,Condition!$D$18,IF(IR33&gt;Condition!$E$19,Condition!$D$19,"")))))</f>
        <v>0</v>
      </c>
      <c r="IS76" s="85">
        <f>IF(IS33&lt;=Condition!$E$16,0,IF(IS33&lt;=Condition!$F$16,Condition!$D$16,IF(IS33&lt;=Condition!$F$17,Condition!$D$17,IF(IS33&lt;=Condition!$F$18,Condition!$D$18,IF(IS33&gt;Condition!$E$19,Condition!$D$19,"")))))</f>
        <v>0</v>
      </c>
      <c r="IT76" s="85">
        <f>IF(IT33&lt;=Condition!$E$16,0,IF(IT33&lt;=Condition!$F$16,Condition!$D$16,IF(IT33&lt;=Condition!$F$17,Condition!$D$17,IF(IT33&lt;=Condition!$F$18,Condition!$D$18,IF(IT33&gt;Condition!$E$19,Condition!$D$19,"")))))</f>
        <v>0</v>
      </c>
      <c r="IU76" s="85">
        <f>IF(IU33&lt;=Condition!$E$16,0,IF(IU33&lt;=Condition!$F$16,Condition!$D$16,IF(IU33&lt;=Condition!$F$17,Condition!$D$17,IF(IU33&lt;=Condition!$F$18,Condition!$D$18,IF(IU33&gt;Condition!$E$19,Condition!$D$19,"")))))</f>
        <v>0</v>
      </c>
      <c r="IV76" s="85">
        <f>IF(IV33&lt;=Condition!$E$16,0,IF(IV33&lt;=Condition!$F$16,Condition!$D$16,IF(IV33&lt;=Condition!$F$17,Condition!$D$17,IF(IV33&lt;=Condition!$F$18,Condition!$D$18,IF(IV33&gt;Condition!$E$19,Condition!$D$19,"")))))</f>
        <v>0</v>
      </c>
      <c r="IW76" s="85">
        <f>IF(IW33&lt;=Condition!$E$16,0,IF(IW33&lt;=Condition!$F$16,Condition!$D$16,IF(IW33&lt;=Condition!$F$17,Condition!$D$17,IF(IW33&lt;=Condition!$F$18,Condition!$D$18,IF(IW33&gt;Condition!$E$19,Condition!$D$19,"")))))</f>
        <v>0</v>
      </c>
      <c r="IX76" s="85">
        <f>IF(IX33&lt;=Condition!$E$16,0,IF(IX33&lt;=Condition!$F$16,Condition!$D$16,IF(IX33&lt;=Condition!$F$17,Condition!$D$17,IF(IX33&lt;=Condition!$F$18,Condition!$D$18,IF(IX33&gt;Condition!$E$19,Condition!$D$19,"")))))</f>
        <v>0</v>
      </c>
      <c r="IY76" s="85">
        <f>IF(IY33&lt;=Condition!$E$16,0,IF(IY33&lt;=Condition!$F$16,Condition!$D$16,IF(IY33&lt;=Condition!$F$17,Condition!$D$17,IF(IY33&lt;=Condition!$F$18,Condition!$D$18,IF(IY33&gt;Condition!$E$19,Condition!$D$19,"")))))</f>
        <v>0</v>
      </c>
      <c r="IZ76" s="85">
        <f>IF(IZ33&lt;=Condition!$E$16,0,IF(IZ33&lt;=Condition!$F$16,Condition!$D$16,IF(IZ33&lt;=Condition!$F$17,Condition!$D$17,IF(IZ33&lt;=Condition!$F$18,Condition!$D$18,IF(IZ33&gt;Condition!$E$19,Condition!$D$19,"")))))</f>
        <v>0</v>
      </c>
      <c r="JA76" s="85">
        <f>IF(JA33&lt;=Condition!$E$16,0,IF(JA33&lt;=Condition!$F$16,Condition!$D$16,IF(JA33&lt;=Condition!$F$17,Condition!$D$17,IF(JA33&lt;=Condition!$F$18,Condition!$D$18,IF(JA33&gt;Condition!$E$19,Condition!$D$19,"")))))</f>
        <v>0</v>
      </c>
      <c r="JB76" s="85">
        <f>IF(JB33&lt;=Condition!$E$16,0,IF(JB33&lt;=Condition!$F$16,Condition!$D$16,IF(JB33&lt;=Condition!$F$17,Condition!$D$17,IF(JB33&lt;=Condition!$F$18,Condition!$D$18,IF(JB33&gt;Condition!$E$19,Condition!$D$19,"")))))</f>
        <v>0</v>
      </c>
      <c r="JC76" s="85">
        <f>IF(JC33&lt;=Condition!$E$16,0,IF(JC33&lt;=Condition!$F$16,Condition!$D$16,IF(JC33&lt;=Condition!$F$17,Condition!$D$17,IF(JC33&lt;=Condition!$F$18,Condition!$D$18,IF(JC33&gt;Condition!$E$19,Condition!$D$19,"")))))</f>
        <v>0</v>
      </c>
      <c r="JD76" s="85">
        <f>IF(JD33&lt;=Condition!$E$16,0,IF(JD33&lt;=Condition!$F$16,Condition!$D$16,IF(JD33&lt;=Condition!$F$17,Condition!$D$17,IF(JD33&lt;=Condition!$F$18,Condition!$D$18,IF(JD33&gt;Condition!$E$19,Condition!$D$19,"")))))</f>
        <v>0</v>
      </c>
      <c r="JE76" s="85">
        <f>IF(JE33&lt;=Condition!$E$16,0,IF(JE33&lt;=Condition!$F$16,Condition!$D$16,IF(JE33&lt;=Condition!$F$17,Condition!$D$17,IF(JE33&lt;=Condition!$F$18,Condition!$D$18,IF(JE33&gt;Condition!$E$19,Condition!$D$19,"")))))</f>
        <v>0</v>
      </c>
      <c r="JF76" s="85">
        <f>IF(JF33&lt;=Condition!$E$16,0,IF(JF33&lt;=Condition!$F$16,Condition!$D$16,IF(JF33&lt;=Condition!$F$17,Condition!$D$17,IF(JF33&lt;=Condition!$F$18,Condition!$D$18,IF(JF33&gt;Condition!$E$19,Condition!$D$19,"")))))</f>
        <v>0</v>
      </c>
      <c r="JG76" s="85">
        <f>IF(JG33&lt;=Condition!$E$16,0,IF(JG33&lt;=Condition!$F$16,Condition!$D$16,IF(JG33&lt;=Condition!$F$17,Condition!$D$17,IF(JG33&lt;=Condition!$F$18,Condition!$D$18,IF(JG33&gt;Condition!$E$19,Condition!$D$19,"")))))</f>
        <v>0</v>
      </c>
      <c r="JH76" s="85">
        <f>IF(JH33&lt;=Condition!$E$16,0,IF(JH33&lt;=Condition!$F$16,Condition!$D$16,IF(JH33&lt;=Condition!$F$17,Condition!$D$17,IF(JH33&lt;=Condition!$F$18,Condition!$D$18,IF(JH33&gt;Condition!$E$19,Condition!$D$19,"")))))</f>
        <v>0</v>
      </c>
      <c r="JI76" s="85">
        <f>IF(JI33&lt;=Condition!$E$16,0,IF(JI33&lt;=Condition!$F$16,Condition!$D$16,IF(JI33&lt;=Condition!$F$17,Condition!$D$17,IF(JI33&lt;=Condition!$F$18,Condition!$D$18,IF(JI33&gt;Condition!$E$19,Condition!$D$19,"")))))</f>
        <v>0</v>
      </c>
      <c r="JJ76" s="85">
        <f>IF(JJ33&lt;=Condition!$E$16,0,IF(JJ33&lt;=Condition!$F$16,Condition!$D$16,IF(JJ33&lt;=Condition!$F$17,Condition!$D$17,IF(JJ33&lt;=Condition!$F$18,Condition!$D$18,IF(JJ33&gt;Condition!$E$19,Condition!$D$19,"")))))</f>
        <v>0</v>
      </c>
      <c r="JK76" s="85">
        <f>IF(JK33&lt;=Condition!$E$16,0,IF(JK33&lt;=Condition!$F$16,Condition!$D$16,IF(JK33&lt;=Condition!$F$17,Condition!$D$17,IF(JK33&lt;=Condition!$F$18,Condition!$D$18,IF(JK33&gt;Condition!$E$19,Condition!$D$19,"")))))</f>
        <v>0</v>
      </c>
      <c r="JL76" s="85">
        <f>IF(JL33&lt;=Condition!$E$16,0,IF(JL33&lt;=Condition!$F$16,Condition!$D$16,IF(JL33&lt;=Condition!$F$17,Condition!$D$17,IF(JL33&lt;=Condition!$F$18,Condition!$D$18,IF(JL33&gt;Condition!$E$19,Condition!$D$19,"")))))</f>
        <v>0</v>
      </c>
      <c r="JM76" s="85">
        <f>IF(JM33&lt;=Condition!$E$16,0,IF(JM33&lt;=Condition!$F$16,Condition!$D$16,IF(JM33&lt;=Condition!$F$17,Condition!$D$17,IF(JM33&lt;=Condition!$F$18,Condition!$D$18,IF(JM33&gt;Condition!$E$19,Condition!$D$19,"")))))</f>
        <v>0</v>
      </c>
      <c r="JN76" s="85">
        <f>IF(JN33&lt;=Condition!$E$16,0,IF(JN33&lt;=Condition!$F$16,Condition!$D$16,IF(JN33&lt;=Condition!$F$17,Condition!$D$17,IF(JN33&lt;=Condition!$F$18,Condition!$D$18,IF(JN33&gt;Condition!$E$19,Condition!$D$19,"")))))</f>
        <v>0</v>
      </c>
      <c r="JO76" s="85">
        <f>IF(JO33&lt;=Condition!$E$16,0,IF(JO33&lt;=Condition!$F$16,Condition!$D$16,IF(JO33&lt;=Condition!$F$17,Condition!$D$17,IF(JO33&lt;=Condition!$F$18,Condition!$D$18,IF(JO33&gt;Condition!$E$19,Condition!$D$19,"")))))</f>
        <v>0</v>
      </c>
      <c r="JP76" s="85">
        <f>IF(JP33&lt;=Condition!$E$16,0,IF(JP33&lt;=Condition!$F$16,Condition!$D$16,IF(JP33&lt;=Condition!$F$17,Condition!$D$17,IF(JP33&lt;=Condition!$F$18,Condition!$D$18,IF(JP33&gt;Condition!$E$19,Condition!$D$19,"")))))</f>
        <v>0</v>
      </c>
      <c r="JQ76" s="85">
        <f>IF(JQ33&lt;=Condition!$E$16,0,IF(JQ33&lt;=Condition!$F$16,Condition!$D$16,IF(JQ33&lt;=Condition!$F$17,Condition!$D$17,IF(JQ33&lt;=Condition!$F$18,Condition!$D$18,IF(JQ33&gt;Condition!$E$19,Condition!$D$19,"")))))</f>
        <v>0</v>
      </c>
      <c r="JR76" s="85">
        <f>IF(JR33&lt;=Condition!$E$16,0,IF(JR33&lt;=Condition!$F$16,Condition!$D$16,IF(JR33&lt;=Condition!$F$17,Condition!$D$17,IF(JR33&lt;=Condition!$F$18,Condition!$D$18,IF(JR33&gt;Condition!$E$19,Condition!$D$19,"")))))</f>
        <v>0</v>
      </c>
      <c r="JS76" s="85">
        <f>IF(JS33&lt;=Condition!$E$16,0,IF(JS33&lt;=Condition!$F$16,Condition!$D$16,IF(JS33&lt;=Condition!$F$17,Condition!$D$17,IF(JS33&lt;=Condition!$F$18,Condition!$D$18,IF(JS33&gt;Condition!$E$19,Condition!$D$19,"")))))</f>
        <v>0</v>
      </c>
      <c r="JT76" s="85">
        <f>IF(JT33&lt;=Condition!$E$16,0,IF(JT33&lt;=Condition!$F$16,Condition!$D$16,IF(JT33&lt;=Condition!$F$17,Condition!$D$17,IF(JT33&lt;=Condition!$F$18,Condition!$D$18,IF(JT33&gt;Condition!$E$19,Condition!$D$19,"")))))</f>
        <v>0</v>
      </c>
      <c r="JU76" s="85">
        <f>IF(JU33&lt;=Condition!$E$16,0,IF(JU33&lt;=Condition!$F$16,Condition!$D$16,IF(JU33&lt;=Condition!$F$17,Condition!$D$17,IF(JU33&lt;=Condition!$F$18,Condition!$D$18,IF(JU33&gt;Condition!$E$19,Condition!$D$19,"")))))</f>
        <v>0</v>
      </c>
      <c r="JV76" s="85">
        <f>IF(JV33&lt;=Condition!$E$16,0,IF(JV33&lt;=Condition!$F$16,Condition!$D$16,IF(JV33&lt;=Condition!$F$17,Condition!$D$17,IF(JV33&lt;=Condition!$F$18,Condition!$D$18,IF(JV33&gt;Condition!$E$19,Condition!$D$19,"")))))</f>
        <v>0</v>
      </c>
      <c r="JW76" s="85">
        <f>IF(JW33&lt;=Condition!$E$16,0,IF(JW33&lt;=Condition!$F$16,Condition!$D$16,IF(JW33&lt;=Condition!$F$17,Condition!$D$17,IF(JW33&lt;=Condition!$F$18,Condition!$D$18,IF(JW33&gt;Condition!$E$19,Condition!$D$19,"")))))</f>
        <v>0</v>
      </c>
      <c r="JX76" s="85">
        <f>IF(JX33&lt;=Condition!$E$16,0,IF(JX33&lt;=Condition!$F$16,Condition!$D$16,IF(JX33&lt;=Condition!$F$17,Condition!$D$17,IF(JX33&lt;=Condition!$F$18,Condition!$D$18,IF(JX33&gt;Condition!$E$19,Condition!$D$19,"")))))</f>
        <v>0</v>
      </c>
      <c r="JY76" s="85">
        <f>IF(JY33&lt;=Condition!$E$16,0,IF(JY33&lt;=Condition!$F$16,Condition!$D$16,IF(JY33&lt;=Condition!$F$17,Condition!$D$17,IF(JY33&lt;=Condition!$F$18,Condition!$D$18,IF(JY33&gt;Condition!$E$19,Condition!$D$19,"")))))</f>
        <v>0</v>
      </c>
      <c r="JZ76" s="85">
        <f>IF(JZ33&lt;=Condition!$E$16,0,IF(JZ33&lt;=Condition!$F$16,Condition!$D$16,IF(JZ33&lt;=Condition!$F$17,Condition!$D$17,IF(JZ33&lt;=Condition!$F$18,Condition!$D$18,IF(JZ33&gt;Condition!$E$19,Condition!$D$19,"")))))</f>
        <v>0</v>
      </c>
      <c r="KA76" s="85">
        <f>IF(KA33&lt;=Condition!$E$16,0,IF(KA33&lt;=Condition!$F$16,Condition!$D$16,IF(KA33&lt;=Condition!$F$17,Condition!$D$17,IF(KA33&lt;=Condition!$F$18,Condition!$D$18,IF(KA33&gt;Condition!$E$19,Condition!$D$19,"")))))</f>
        <v>0</v>
      </c>
      <c r="KB76" s="85">
        <f>IF(KB33&lt;=Condition!$E$16,0,IF(KB33&lt;=Condition!$F$16,Condition!$D$16,IF(KB33&lt;=Condition!$F$17,Condition!$D$17,IF(KB33&lt;=Condition!$F$18,Condition!$D$18,IF(KB33&gt;Condition!$E$19,Condition!$D$19,"")))))</f>
        <v>0</v>
      </c>
      <c r="KC76" s="85">
        <f>IF(KC33&lt;=Condition!$E$16,0,IF(KC33&lt;=Condition!$F$16,Condition!$D$16,IF(KC33&lt;=Condition!$F$17,Condition!$D$17,IF(KC33&lt;=Condition!$F$18,Condition!$D$18,IF(KC33&gt;Condition!$E$19,Condition!$D$19,"")))))</f>
        <v>0</v>
      </c>
      <c r="KD76" s="85">
        <f>IF(KD33&lt;=Condition!$E$16,0,IF(KD33&lt;=Condition!$F$16,Condition!$D$16,IF(KD33&lt;=Condition!$F$17,Condition!$D$17,IF(KD33&lt;=Condition!$F$18,Condition!$D$18,IF(KD33&gt;Condition!$E$19,Condition!$D$19,"")))))</f>
        <v>0</v>
      </c>
      <c r="KE76" s="85">
        <f>IF(KE33&lt;=Condition!$E$16,0,IF(KE33&lt;=Condition!$F$16,Condition!$D$16,IF(KE33&lt;=Condition!$F$17,Condition!$D$17,IF(KE33&lt;=Condition!$F$18,Condition!$D$18,IF(KE33&gt;Condition!$E$19,Condition!$D$19,"")))))</f>
        <v>0</v>
      </c>
      <c r="KF76" s="85">
        <f>IF(KF33&lt;=Condition!$E$16,0,IF(KF33&lt;=Condition!$F$16,Condition!$D$16,IF(KF33&lt;=Condition!$F$17,Condition!$D$17,IF(KF33&lt;=Condition!$F$18,Condition!$D$18,IF(KF33&gt;Condition!$E$19,Condition!$D$19,"")))))</f>
        <v>0</v>
      </c>
      <c r="KG76" s="85">
        <f>IF(KG33&lt;=Condition!$E$16,0,IF(KG33&lt;=Condition!$F$16,Condition!$D$16,IF(KG33&lt;=Condition!$F$17,Condition!$D$17,IF(KG33&lt;=Condition!$F$18,Condition!$D$18,IF(KG33&gt;Condition!$E$19,Condition!$D$19,"")))))</f>
        <v>0</v>
      </c>
      <c r="KH76" s="85">
        <f>IF(KH33&lt;=Condition!$E$16,0,IF(KH33&lt;=Condition!$F$16,Condition!$D$16,IF(KH33&lt;=Condition!$F$17,Condition!$D$17,IF(KH33&lt;=Condition!$F$18,Condition!$D$18,IF(KH33&gt;Condition!$E$19,Condition!$D$19,"")))))</f>
        <v>0</v>
      </c>
      <c r="KI76" s="85">
        <f>IF(KI33&lt;=Condition!$E$16,0,IF(KI33&lt;=Condition!$F$16,Condition!$D$16,IF(KI33&lt;=Condition!$F$17,Condition!$D$17,IF(KI33&lt;=Condition!$F$18,Condition!$D$18,IF(KI33&gt;Condition!$E$19,Condition!$D$19,"")))))</f>
        <v>0</v>
      </c>
    </row>
    <row r="77" spans="2:295" x14ac:dyDescent="0.25">
      <c r="B77" s="15">
        <f t="shared" ref="B77:E77" si="32">B34</f>
        <v>0</v>
      </c>
      <c r="C77" s="25" t="str">
        <f t="shared" si="32"/>
        <v/>
      </c>
      <c r="D77" s="25" t="str">
        <f t="shared" si="32"/>
        <v>New-6</v>
      </c>
      <c r="E77" s="26" t="str">
        <f t="shared" si="32"/>
        <v/>
      </c>
      <c r="F77" s="112">
        <f t="shared" si="4"/>
        <v>0</v>
      </c>
      <c r="G77" s="112">
        <f t="shared" si="5"/>
        <v>0</v>
      </c>
      <c r="H77" s="85">
        <f>IF(H34&lt;=Condition!$E$16,0,IF(H34&lt;=Condition!$F$16,Condition!$D$16,IF(H34&lt;=Condition!$F$17,Condition!$D$17,IF(H34&lt;=Condition!$F$18,Condition!$D$18,IF(H34&gt;Condition!$E$19,Condition!$D$19,"")))))</f>
        <v>0</v>
      </c>
      <c r="I77" s="85">
        <f>IF(I34&lt;=Condition!$E$16,0,IF(I34&lt;=Condition!$F$16,Condition!$D$16,IF(I34&lt;=Condition!$F$17,Condition!$D$17,IF(I34&lt;=Condition!$F$18,Condition!$D$18,IF(I34&gt;Condition!$E$19,Condition!$D$19,"")))))</f>
        <v>0</v>
      </c>
      <c r="J77" s="85">
        <f>IF(J34&lt;=Condition!$E$16,0,IF(J34&lt;=Condition!$F$16,Condition!$D$16,IF(J34&lt;=Condition!$F$17,Condition!$D$17,IF(J34&lt;=Condition!$F$18,Condition!$D$18,IF(J34&gt;Condition!$E$19,Condition!$D$19,"")))))</f>
        <v>0</v>
      </c>
      <c r="K77" s="85">
        <f>IF(K34&lt;=Condition!$E$16,0,IF(K34&lt;=Condition!$F$16,Condition!$D$16,IF(K34&lt;=Condition!$F$17,Condition!$D$17,IF(K34&lt;=Condition!$F$18,Condition!$D$18,IF(K34&gt;Condition!$E$19,Condition!$D$19,"")))))</f>
        <v>0</v>
      </c>
      <c r="L77" s="85">
        <f>IF(L34&lt;=Condition!$E$16,0,IF(L34&lt;=Condition!$F$16,Condition!$D$16,IF(L34&lt;=Condition!$F$17,Condition!$D$17,IF(L34&lt;=Condition!$F$18,Condition!$D$18,IF(L34&gt;Condition!$E$19,Condition!$D$19,"")))))</f>
        <v>0</v>
      </c>
      <c r="M77" s="85">
        <f>IF(M34&lt;=Condition!$E$16,0,IF(M34&lt;=Condition!$F$16,Condition!$D$16,IF(M34&lt;=Condition!$F$17,Condition!$D$17,IF(M34&lt;=Condition!$F$18,Condition!$D$18,IF(M34&gt;Condition!$E$19,Condition!$D$19,"")))))</f>
        <v>0</v>
      </c>
      <c r="N77" s="85">
        <f>IF(N34&lt;=Condition!$E$16,0,IF(N34&lt;=Condition!$F$16,Condition!$D$16,IF(N34&lt;=Condition!$F$17,Condition!$D$17,IF(N34&lt;=Condition!$F$18,Condition!$D$18,IF(N34&gt;Condition!$E$19,Condition!$D$19,"")))))</f>
        <v>0</v>
      </c>
      <c r="O77" s="85">
        <f>IF(O34&lt;=Condition!$E$16,0,IF(O34&lt;=Condition!$F$16,Condition!$D$16,IF(O34&lt;=Condition!$F$17,Condition!$D$17,IF(O34&lt;=Condition!$F$18,Condition!$D$18,IF(O34&gt;Condition!$E$19,Condition!$D$19,"")))))</f>
        <v>0</v>
      </c>
      <c r="P77" s="85">
        <f>IF(P34&lt;=Condition!$E$16,0,IF(P34&lt;=Condition!$F$16,Condition!$D$16,IF(P34&lt;=Condition!$F$17,Condition!$D$17,IF(P34&lt;=Condition!$F$18,Condition!$D$18,IF(P34&gt;Condition!$E$19,Condition!$D$19,"")))))</f>
        <v>0</v>
      </c>
      <c r="Q77" s="85">
        <f>IF(Q34&lt;=Condition!$E$16,0,IF(Q34&lt;=Condition!$F$16,Condition!$D$16,IF(Q34&lt;=Condition!$F$17,Condition!$D$17,IF(Q34&lt;=Condition!$F$18,Condition!$D$18,IF(Q34&gt;Condition!$E$19,Condition!$D$19,"")))))</f>
        <v>0</v>
      </c>
      <c r="R77" s="85">
        <f>IF(R34&lt;=Condition!$E$16,0,IF(R34&lt;=Condition!$F$16,Condition!$D$16,IF(R34&lt;=Condition!$F$17,Condition!$D$17,IF(R34&lt;=Condition!$F$18,Condition!$D$18,IF(R34&gt;Condition!$E$19,Condition!$D$19,"")))))</f>
        <v>0</v>
      </c>
      <c r="S77" s="85">
        <f>IF(S34&lt;=Condition!$E$16,0,IF(S34&lt;=Condition!$F$16,Condition!$D$16,IF(S34&lt;=Condition!$F$17,Condition!$D$17,IF(S34&lt;=Condition!$F$18,Condition!$D$18,IF(S34&gt;Condition!$E$19,Condition!$D$19,"")))))</f>
        <v>0</v>
      </c>
      <c r="T77" s="85">
        <f>IF(T34&lt;=Condition!$E$16,0,IF(T34&lt;=Condition!$F$16,Condition!$D$16,IF(T34&lt;=Condition!$F$17,Condition!$D$17,IF(T34&lt;=Condition!$F$18,Condition!$D$18,IF(T34&gt;Condition!$E$19,Condition!$D$19,"")))))</f>
        <v>0</v>
      </c>
      <c r="U77" s="85">
        <f>IF(U34&lt;=Condition!$E$16,0,IF(U34&lt;=Condition!$F$16,Condition!$D$16,IF(U34&lt;=Condition!$F$17,Condition!$D$17,IF(U34&lt;=Condition!$F$18,Condition!$D$18,IF(U34&gt;Condition!$E$19,Condition!$D$19,"")))))</f>
        <v>0</v>
      </c>
      <c r="V77" s="85">
        <f>IF(V34&lt;=Condition!$E$16,0,IF(V34&lt;=Condition!$F$16,Condition!$D$16,IF(V34&lt;=Condition!$F$17,Condition!$D$17,IF(V34&lt;=Condition!$F$18,Condition!$D$18,IF(V34&gt;Condition!$E$19,Condition!$D$19,"")))))</f>
        <v>0</v>
      </c>
      <c r="W77" s="85">
        <f>IF(W34&lt;=Condition!$E$16,0,IF(W34&lt;=Condition!$F$16,Condition!$D$16,IF(W34&lt;=Condition!$F$17,Condition!$D$17,IF(W34&lt;=Condition!$F$18,Condition!$D$18,IF(W34&gt;Condition!$E$19,Condition!$D$19,"")))))</f>
        <v>0</v>
      </c>
      <c r="X77" s="85">
        <f>IF(X34&lt;=Condition!$E$16,0,IF(X34&lt;=Condition!$F$16,Condition!$D$16,IF(X34&lt;=Condition!$F$17,Condition!$D$17,IF(X34&lt;=Condition!$F$18,Condition!$D$18,IF(X34&gt;Condition!$E$19,Condition!$D$19,"")))))</f>
        <v>0</v>
      </c>
      <c r="Y77" s="85">
        <f>IF(Y34&lt;=Condition!$E$16,0,IF(Y34&lt;=Condition!$F$16,Condition!$D$16,IF(Y34&lt;=Condition!$F$17,Condition!$D$17,IF(Y34&lt;=Condition!$F$18,Condition!$D$18,IF(Y34&gt;Condition!$E$19,Condition!$D$19,"")))))</f>
        <v>0</v>
      </c>
      <c r="Z77" s="85">
        <f>IF(Z34&lt;=Condition!$E$16,0,IF(Z34&lt;=Condition!$F$16,Condition!$D$16,IF(Z34&lt;=Condition!$F$17,Condition!$D$17,IF(Z34&lt;=Condition!$F$18,Condition!$D$18,IF(Z34&gt;Condition!$E$19,Condition!$D$19,"")))))</f>
        <v>0</v>
      </c>
      <c r="AA77" s="85">
        <f>IF(AA34&lt;=Condition!$E$16,0,IF(AA34&lt;=Condition!$F$16,Condition!$D$16,IF(AA34&lt;=Condition!$F$17,Condition!$D$17,IF(AA34&lt;=Condition!$F$18,Condition!$D$18,IF(AA34&gt;Condition!$E$19,Condition!$D$19,"")))))</f>
        <v>0</v>
      </c>
      <c r="AB77" s="85">
        <f>IF(AB34&lt;=Condition!$E$16,0,IF(AB34&lt;=Condition!$F$16,Condition!$D$16,IF(AB34&lt;=Condition!$F$17,Condition!$D$17,IF(AB34&lt;=Condition!$F$18,Condition!$D$18,IF(AB34&gt;Condition!$E$19,Condition!$D$19,"")))))</f>
        <v>0</v>
      </c>
      <c r="AC77" s="85">
        <f>IF(AC34&lt;=Condition!$E$16,0,IF(AC34&lt;=Condition!$F$16,Condition!$D$16,IF(AC34&lt;=Condition!$F$17,Condition!$D$17,IF(AC34&lt;=Condition!$F$18,Condition!$D$18,IF(AC34&gt;Condition!$E$19,Condition!$D$19,"")))))</f>
        <v>0</v>
      </c>
      <c r="AD77" s="85">
        <f>IF(AD34&lt;=Condition!$E$16,0,IF(AD34&lt;=Condition!$F$16,Condition!$D$16,IF(AD34&lt;=Condition!$F$17,Condition!$D$17,IF(AD34&lt;=Condition!$F$18,Condition!$D$18,IF(AD34&gt;Condition!$E$19,Condition!$D$19,"")))))</f>
        <v>0</v>
      </c>
      <c r="AE77" s="85">
        <f>IF(AE34&lt;=Condition!$E$16,0,IF(AE34&lt;=Condition!$F$16,Condition!$D$16,IF(AE34&lt;=Condition!$F$17,Condition!$D$17,IF(AE34&lt;=Condition!$F$18,Condition!$D$18,IF(AE34&gt;Condition!$E$19,Condition!$D$19,"")))))</f>
        <v>0</v>
      </c>
      <c r="AF77" s="85">
        <f>IF(AF34&lt;=Condition!$E$16,0,IF(AF34&lt;=Condition!$F$16,Condition!$D$16,IF(AF34&lt;=Condition!$F$17,Condition!$D$17,IF(AF34&lt;=Condition!$F$18,Condition!$D$18,IF(AF34&gt;Condition!$E$19,Condition!$D$19,"")))))</f>
        <v>0</v>
      </c>
      <c r="AG77" s="85">
        <f>IF(AG34&lt;=Condition!$E$16,0,IF(AG34&lt;=Condition!$F$16,Condition!$D$16,IF(AG34&lt;=Condition!$F$17,Condition!$D$17,IF(AG34&lt;=Condition!$F$18,Condition!$D$18,IF(AG34&gt;Condition!$E$19,Condition!$D$19,"")))))</f>
        <v>0</v>
      </c>
      <c r="AH77" s="85">
        <f>IF(AH34&lt;=Condition!$E$16,0,IF(AH34&lt;=Condition!$F$16,Condition!$D$16,IF(AH34&lt;=Condition!$F$17,Condition!$D$17,IF(AH34&lt;=Condition!$F$18,Condition!$D$18,IF(AH34&gt;Condition!$E$19,Condition!$D$19,"")))))</f>
        <v>0</v>
      </c>
      <c r="AI77" s="85">
        <f>IF(AI34&lt;=Condition!$E$16,0,IF(AI34&lt;=Condition!$F$16,Condition!$D$16,IF(AI34&lt;=Condition!$F$17,Condition!$D$17,IF(AI34&lt;=Condition!$F$18,Condition!$D$18,IF(AI34&gt;Condition!$E$19,Condition!$D$19,"")))))</f>
        <v>0</v>
      </c>
      <c r="AJ77" s="85">
        <f>IF(AJ34&lt;=Condition!$E$16,0,IF(AJ34&lt;=Condition!$F$16,Condition!$D$16,IF(AJ34&lt;=Condition!$F$17,Condition!$D$17,IF(AJ34&lt;=Condition!$F$18,Condition!$D$18,IF(AJ34&gt;Condition!$E$19,Condition!$D$19,"")))))</f>
        <v>0</v>
      </c>
      <c r="AK77" s="85">
        <f>IF(AK34&lt;=Condition!$E$16,0,IF(AK34&lt;=Condition!$F$16,Condition!$D$16,IF(AK34&lt;=Condition!$F$17,Condition!$D$17,IF(AK34&lt;=Condition!$F$18,Condition!$D$18,IF(AK34&gt;Condition!$E$19,Condition!$D$19,"")))))</f>
        <v>0</v>
      </c>
      <c r="AL77" s="85">
        <f>IF(AL34&lt;=Condition!$E$16,0,IF(AL34&lt;=Condition!$F$16,Condition!$D$16,IF(AL34&lt;=Condition!$F$17,Condition!$D$17,IF(AL34&lt;=Condition!$F$18,Condition!$D$18,IF(AL34&gt;Condition!$E$19,Condition!$D$19,"")))))</f>
        <v>0</v>
      </c>
      <c r="AM77" s="85">
        <f>IF(AM34&lt;=Condition!$E$16,0,IF(AM34&lt;=Condition!$F$16,Condition!$D$16,IF(AM34&lt;=Condition!$F$17,Condition!$D$17,IF(AM34&lt;=Condition!$F$18,Condition!$D$18,IF(AM34&gt;Condition!$E$19,Condition!$D$19,"")))))</f>
        <v>0</v>
      </c>
      <c r="AN77" s="85">
        <f>IF(AN34&lt;=Condition!$E$16,0,IF(AN34&lt;=Condition!$F$16,Condition!$D$16,IF(AN34&lt;=Condition!$F$17,Condition!$D$17,IF(AN34&lt;=Condition!$F$18,Condition!$D$18,IF(AN34&gt;Condition!$E$19,Condition!$D$19,"")))))</f>
        <v>0</v>
      </c>
      <c r="AO77" s="85">
        <f>IF(AO34&lt;=Condition!$E$16,0,IF(AO34&lt;=Condition!$F$16,Condition!$D$16,IF(AO34&lt;=Condition!$F$17,Condition!$D$17,IF(AO34&lt;=Condition!$F$18,Condition!$D$18,IF(AO34&gt;Condition!$E$19,Condition!$D$19,"")))))</f>
        <v>0</v>
      </c>
      <c r="AP77" s="85">
        <f>IF(AP34&lt;=Condition!$E$16,0,IF(AP34&lt;=Condition!$F$16,Condition!$D$16,IF(AP34&lt;=Condition!$F$17,Condition!$D$17,IF(AP34&lt;=Condition!$F$18,Condition!$D$18,IF(AP34&gt;Condition!$E$19,Condition!$D$19,"")))))</f>
        <v>0</v>
      </c>
      <c r="AQ77" s="85">
        <f>IF(AQ34&lt;=Condition!$E$16,0,IF(AQ34&lt;=Condition!$F$16,Condition!$D$16,IF(AQ34&lt;=Condition!$F$17,Condition!$D$17,IF(AQ34&lt;=Condition!$F$18,Condition!$D$18,IF(AQ34&gt;Condition!$E$19,Condition!$D$19,"")))))</f>
        <v>0</v>
      </c>
      <c r="AR77" s="85">
        <f>IF(AR34&lt;=Condition!$E$16,0,IF(AR34&lt;=Condition!$F$16,Condition!$D$16,IF(AR34&lt;=Condition!$F$17,Condition!$D$17,IF(AR34&lt;=Condition!$F$18,Condition!$D$18,IF(AR34&gt;Condition!$E$19,Condition!$D$19,"")))))</f>
        <v>0</v>
      </c>
      <c r="AS77" s="85">
        <f>IF(AS34&lt;=Condition!$E$16,0,IF(AS34&lt;=Condition!$F$16,Condition!$D$16,IF(AS34&lt;=Condition!$F$17,Condition!$D$17,IF(AS34&lt;=Condition!$F$18,Condition!$D$18,IF(AS34&gt;Condition!$E$19,Condition!$D$19,"")))))</f>
        <v>0</v>
      </c>
      <c r="AT77" s="85">
        <f>IF(AT34&lt;=Condition!$E$16,0,IF(AT34&lt;=Condition!$F$16,Condition!$D$16,IF(AT34&lt;=Condition!$F$17,Condition!$D$17,IF(AT34&lt;=Condition!$F$18,Condition!$D$18,IF(AT34&gt;Condition!$E$19,Condition!$D$19,"")))))</f>
        <v>0</v>
      </c>
      <c r="AU77" s="85">
        <f>IF(AU34&lt;=Condition!$E$16,0,IF(AU34&lt;=Condition!$F$16,Condition!$D$16,IF(AU34&lt;=Condition!$F$17,Condition!$D$17,IF(AU34&lt;=Condition!$F$18,Condition!$D$18,IF(AU34&gt;Condition!$E$19,Condition!$D$19,"")))))</f>
        <v>0</v>
      </c>
      <c r="AV77" s="85">
        <f>IF(AV34&lt;=Condition!$E$16,0,IF(AV34&lt;=Condition!$F$16,Condition!$D$16,IF(AV34&lt;=Condition!$F$17,Condition!$D$17,IF(AV34&lt;=Condition!$F$18,Condition!$D$18,IF(AV34&gt;Condition!$E$19,Condition!$D$19,"")))))</f>
        <v>0</v>
      </c>
      <c r="AW77" s="85">
        <f>IF(AW34&lt;=Condition!$E$16,0,IF(AW34&lt;=Condition!$F$16,Condition!$D$16,IF(AW34&lt;=Condition!$F$17,Condition!$D$17,IF(AW34&lt;=Condition!$F$18,Condition!$D$18,IF(AW34&gt;Condition!$E$19,Condition!$D$19,"")))))</f>
        <v>0</v>
      </c>
      <c r="AX77" s="85">
        <f>IF(AX34&lt;=Condition!$E$16,0,IF(AX34&lt;=Condition!$F$16,Condition!$D$16,IF(AX34&lt;=Condition!$F$17,Condition!$D$17,IF(AX34&lt;=Condition!$F$18,Condition!$D$18,IF(AX34&gt;Condition!$E$19,Condition!$D$19,"")))))</f>
        <v>0</v>
      </c>
      <c r="AY77" s="85">
        <f>IF(AY34&lt;=Condition!$E$16,0,IF(AY34&lt;=Condition!$F$16,Condition!$D$16,IF(AY34&lt;=Condition!$F$17,Condition!$D$17,IF(AY34&lt;=Condition!$F$18,Condition!$D$18,IF(AY34&gt;Condition!$E$19,Condition!$D$19,"")))))</f>
        <v>0</v>
      </c>
      <c r="AZ77" s="85">
        <f>IF(AZ34&lt;=Condition!$E$16,0,IF(AZ34&lt;=Condition!$F$16,Condition!$D$16,IF(AZ34&lt;=Condition!$F$17,Condition!$D$17,IF(AZ34&lt;=Condition!$F$18,Condition!$D$18,IF(AZ34&gt;Condition!$E$19,Condition!$D$19,"")))))</f>
        <v>0</v>
      </c>
      <c r="BA77" s="85">
        <f>IF(BA34&lt;=Condition!$E$16,0,IF(BA34&lt;=Condition!$F$16,Condition!$D$16,IF(BA34&lt;=Condition!$F$17,Condition!$D$17,IF(BA34&lt;=Condition!$F$18,Condition!$D$18,IF(BA34&gt;Condition!$E$19,Condition!$D$19,"")))))</f>
        <v>0</v>
      </c>
      <c r="BB77" s="85">
        <f>IF(BB34&lt;=Condition!$E$16,0,IF(BB34&lt;=Condition!$F$16,Condition!$D$16,IF(BB34&lt;=Condition!$F$17,Condition!$D$17,IF(BB34&lt;=Condition!$F$18,Condition!$D$18,IF(BB34&gt;Condition!$E$19,Condition!$D$19,"")))))</f>
        <v>0</v>
      </c>
      <c r="BC77" s="85">
        <f>IF(BC34&lt;=Condition!$E$16,0,IF(BC34&lt;=Condition!$F$16,Condition!$D$16,IF(BC34&lt;=Condition!$F$17,Condition!$D$17,IF(BC34&lt;=Condition!$F$18,Condition!$D$18,IF(BC34&gt;Condition!$E$19,Condition!$D$19,"")))))</f>
        <v>0</v>
      </c>
      <c r="BD77" s="85">
        <f>IF(BD34&lt;=Condition!$E$16,0,IF(BD34&lt;=Condition!$F$16,Condition!$D$16,IF(BD34&lt;=Condition!$F$17,Condition!$D$17,IF(BD34&lt;=Condition!$F$18,Condition!$D$18,IF(BD34&gt;Condition!$E$19,Condition!$D$19,"")))))</f>
        <v>0</v>
      </c>
      <c r="BE77" s="85">
        <f>IF(BE34&lt;=Condition!$E$16,0,IF(BE34&lt;=Condition!$F$16,Condition!$D$16,IF(BE34&lt;=Condition!$F$17,Condition!$D$17,IF(BE34&lt;=Condition!$F$18,Condition!$D$18,IF(BE34&gt;Condition!$E$19,Condition!$D$19,"")))))</f>
        <v>0</v>
      </c>
      <c r="BF77" s="85">
        <f>IF(BF34&lt;=Condition!$E$16,0,IF(BF34&lt;=Condition!$F$16,Condition!$D$16,IF(BF34&lt;=Condition!$F$17,Condition!$D$17,IF(BF34&lt;=Condition!$F$18,Condition!$D$18,IF(BF34&gt;Condition!$E$19,Condition!$D$19,"")))))</f>
        <v>0</v>
      </c>
      <c r="BG77" s="85">
        <f>IF(BG34&lt;=Condition!$E$16,0,IF(BG34&lt;=Condition!$F$16,Condition!$D$16,IF(BG34&lt;=Condition!$F$17,Condition!$D$17,IF(BG34&lt;=Condition!$F$18,Condition!$D$18,IF(BG34&gt;Condition!$E$19,Condition!$D$19,"")))))</f>
        <v>0</v>
      </c>
      <c r="BH77" s="85">
        <f>IF(BH34&lt;=Condition!$E$16,0,IF(BH34&lt;=Condition!$F$16,Condition!$D$16,IF(BH34&lt;=Condition!$F$17,Condition!$D$17,IF(BH34&lt;=Condition!$F$18,Condition!$D$18,IF(BH34&gt;Condition!$E$19,Condition!$D$19,"")))))</f>
        <v>0</v>
      </c>
      <c r="BI77" s="85">
        <f>IF(BI34&lt;=Condition!$E$16,0,IF(BI34&lt;=Condition!$F$16,Condition!$D$16,IF(BI34&lt;=Condition!$F$17,Condition!$D$17,IF(BI34&lt;=Condition!$F$18,Condition!$D$18,IF(BI34&gt;Condition!$E$19,Condition!$D$19,"")))))</f>
        <v>0</v>
      </c>
      <c r="BJ77" s="85">
        <f>IF(BJ34&lt;=Condition!$E$16,0,IF(BJ34&lt;=Condition!$F$16,Condition!$D$16,IF(BJ34&lt;=Condition!$F$17,Condition!$D$17,IF(BJ34&lt;=Condition!$F$18,Condition!$D$18,IF(BJ34&gt;Condition!$E$19,Condition!$D$19,"")))))</f>
        <v>0</v>
      </c>
      <c r="BK77" s="85">
        <f>IF(BK34&lt;=Condition!$E$16,0,IF(BK34&lt;=Condition!$F$16,Condition!$D$16,IF(BK34&lt;=Condition!$F$17,Condition!$D$17,IF(BK34&lt;=Condition!$F$18,Condition!$D$18,IF(BK34&gt;Condition!$E$19,Condition!$D$19,"")))))</f>
        <v>0</v>
      </c>
      <c r="BL77" s="85">
        <f>IF(BL34&lt;=Condition!$E$16,0,IF(BL34&lt;=Condition!$F$16,Condition!$D$16,IF(BL34&lt;=Condition!$F$17,Condition!$D$17,IF(BL34&lt;=Condition!$F$18,Condition!$D$18,IF(BL34&gt;Condition!$E$19,Condition!$D$19,"")))))</f>
        <v>0</v>
      </c>
      <c r="BM77" s="85">
        <f>IF(BM34&lt;=Condition!$E$16,0,IF(BM34&lt;=Condition!$F$16,Condition!$D$16,IF(BM34&lt;=Condition!$F$17,Condition!$D$17,IF(BM34&lt;=Condition!$F$18,Condition!$D$18,IF(BM34&gt;Condition!$E$19,Condition!$D$19,"")))))</f>
        <v>0</v>
      </c>
      <c r="BN77" s="85">
        <f>IF(BN34&lt;=Condition!$E$16,0,IF(BN34&lt;=Condition!$F$16,Condition!$D$16,IF(BN34&lt;=Condition!$F$17,Condition!$D$17,IF(BN34&lt;=Condition!$F$18,Condition!$D$18,IF(BN34&gt;Condition!$E$19,Condition!$D$19,"")))))</f>
        <v>0</v>
      </c>
      <c r="BO77" s="85">
        <f>IF(BO34&lt;=Condition!$E$16,0,IF(BO34&lt;=Condition!$F$16,Condition!$D$16,IF(BO34&lt;=Condition!$F$17,Condition!$D$17,IF(BO34&lt;=Condition!$F$18,Condition!$D$18,IF(BO34&gt;Condition!$E$19,Condition!$D$19,"")))))</f>
        <v>0</v>
      </c>
      <c r="BP77" s="85">
        <f>IF(BP34&lt;=Condition!$E$16,0,IF(BP34&lt;=Condition!$F$16,Condition!$D$16,IF(BP34&lt;=Condition!$F$17,Condition!$D$17,IF(BP34&lt;=Condition!$F$18,Condition!$D$18,IF(BP34&gt;Condition!$E$19,Condition!$D$19,"")))))</f>
        <v>0</v>
      </c>
      <c r="BQ77" s="85">
        <f>IF(BQ34&lt;=Condition!$E$16,0,IF(BQ34&lt;=Condition!$F$16,Condition!$D$16,IF(BQ34&lt;=Condition!$F$17,Condition!$D$17,IF(BQ34&lt;=Condition!$F$18,Condition!$D$18,IF(BQ34&gt;Condition!$E$19,Condition!$D$19,"")))))</f>
        <v>0</v>
      </c>
      <c r="BR77" s="85">
        <f>IF(BR34&lt;=Condition!$E$16,0,IF(BR34&lt;=Condition!$F$16,Condition!$D$16,IF(BR34&lt;=Condition!$F$17,Condition!$D$17,IF(BR34&lt;=Condition!$F$18,Condition!$D$18,IF(BR34&gt;Condition!$E$19,Condition!$D$19,"")))))</f>
        <v>0</v>
      </c>
      <c r="BS77" s="85">
        <f>IF(BS34&lt;=Condition!$E$16,0,IF(BS34&lt;=Condition!$F$16,Condition!$D$16,IF(BS34&lt;=Condition!$F$17,Condition!$D$17,IF(BS34&lt;=Condition!$F$18,Condition!$D$18,IF(BS34&gt;Condition!$E$19,Condition!$D$19,"")))))</f>
        <v>0</v>
      </c>
      <c r="BT77" s="85">
        <f>IF(BT34&lt;=Condition!$E$16,0,IF(BT34&lt;=Condition!$F$16,Condition!$D$16,IF(BT34&lt;=Condition!$F$17,Condition!$D$17,IF(BT34&lt;=Condition!$F$18,Condition!$D$18,IF(BT34&gt;Condition!$E$19,Condition!$D$19,"")))))</f>
        <v>0</v>
      </c>
      <c r="BU77" s="85">
        <f>IF(BU34&lt;=Condition!$E$16,0,IF(BU34&lt;=Condition!$F$16,Condition!$D$16,IF(BU34&lt;=Condition!$F$17,Condition!$D$17,IF(BU34&lt;=Condition!$F$18,Condition!$D$18,IF(BU34&gt;Condition!$E$19,Condition!$D$19,"")))))</f>
        <v>0</v>
      </c>
      <c r="BV77" s="85">
        <f>IF(BV34&lt;=Condition!$E$16,0,IF(BV34&lt;=Condition!$F$16,Condition!$D$16,IF(BV34&lt;=Condition!$F$17,Condition!$D$17,IF(BV34&lt;=Condition!$F$18,Condition!$D$18,IF(BV34&gt;Condition!$E$19,Condition!$D$19,"")))))</f>
        <v>0</v>
      </c>
      <c r="BW77" s="85">
        <f>IF(BW34&lt;=Condition!$E$16,0,IF(BW34&lt;=Condition!$F$16,Condition!$D$16,IF(BW34&lt;=Condition!$F$17,Condition!$D$17,IF(BW34&lt;=Condition!$F$18,Condition!$D$18,IF(BW34&gt;Condition!$E$19,Condition!$D$19,"")))))</f>
        <v>0</v>
      </c>
      <c r="BX77" s="85">
        <f>IF(BX34&lt;=Condition!$E$16,0,IF(BX34&lt;=Condition!$F$16,Condition!$D$16,IF(BX34&lt;=Condition!$F$17,Condition!$D$17,IF(BX34&lt;=Condition!$F$18,Condition!$D$18,IF(BX34&gt;Condition!$E$19,Condition!$D$19,"")))))</f>
        <v>0</v>
      </c>
      <c r="BY77" s="85">
        <f>IF(BY34&lt;=Condition!$E$16,0,IF(BY34&lt;=Condition!$F$16,Condition!$D$16,IF(BY34&lt;=Condition!$F$17,Condition!$D$17,IF(BY34&lt;=Condition!$F$18,Condition!$D$18,IF(BY34&gt;Condition!$E$19,Condition!$D$19,"")))))</f>
        <v>0</v>
      </c>
      <c r="BZ77" s="85">
        <f>IF(BZ34&lt;=Condition!$E$16,0,IF(BZ34&lt;=Condition!$F$16,Condition!$D$16,IF(BZ34&lt;=Condition!$F$17,Condition!$D$17,IF(BZ34&lt;=Condition!$F$18,Condition!$D$18,IF(BZ34&gt;Condition!$E$19,Condition!$D$19,"")))))</f>
        <v>0</v>
      </c>
      <c r="CA77" s="85">
        <f>IF(CA34&lt;=Condition!$E$16,0,IF(CA34&lt;=Condition!$F$16,Condition!$D$16,IF(CA34&lt;=Condition!$F$17,Condition!$D$17,IF(CA34&lt;=Condition!$F$18,Condition!$D$18,IF(CA34&gt;Condition!$E$19,Condition!$D$19,"")))))</f>
        <v>0</v>
      </c>
      <c r="CB77" s="85">
        <f>IF(CB34&lt;=Condition!$E$16,0,IF(CB34&lt;=Condition!$F$16,Condition!$D$16,IF(CB34&lt;=Condition!$F$17,Condition!$D$17,IF(CB34&lt;=Condition!$F$18,Condition!$D$18,IF(CB34&gt;Condition!$E$19,Condition!$D$19,"")))))</f>
        <v>0</v>
      </c>
      <c r="CC77" s="85">
        <f>IF(CC34&lt;=Condition!$E$16,0,IF(CC34&lt;=Condition!$F$16,Condition!$D$16,IF(CC34&lt;=Condition!$F$17,Condition!$D$17,IF(CC34&lt;=Condition!$F$18,Condition!$D$18,IF(CC34&gt;Condition!$E$19,Condition!$D$19,"")))))</f>
        <v>0</v>
      </c>
      <c r="CD77" s="85">
        <f>IF(CD34&lt;=Condition!$E$16,0,IF(CD34&lt;=Condition!$F$16,Condition!$D$16,IF(CD34&lt;=Condition!$F$17,Condition!$D$17,IF(CD34&lt;=Condition!$F$18,Condition!$D$18,IF(CD34&gt;Condition!$E$19,Condition!$D$19,"")))))</f>
        <v>0</v>
      </c>
      <c r="CE77" s="85">
        <f>IF(CE34&lt;=Condition!$E$16,0,IF(CE34&lt;=Condition!$F$16,Condition!$D$16,IF(CE34&lt;=Condition!$F$17,Condition!$D$17,IF(CE34&lt;=Condition!$F$18,Condition!$D$18,IF(CE34&gt;Condition!$E$19,Condition!$D$19,"")))))</f>
        <v>0</v>
      </c>
      <c r="CF77" s="85">
        <f>IF(CF34&lt;=Condition!$E$16,0,IF(CF34&lt;=Condition!$F$16,Condition!$D$16,IF(CF34&lt;=Condition!$F$17,Condition!$D$17,IF(CF34&lt;=Condition!$F$18,Condition!$D$18,IF(CF34&gt;Condition!$E$19,Condition!$D$19,"")))))</f>
        <v>0</v>
      </c>
      <c r="CG77" s="85">
        <f>IF(CG34&lt;=Condition!$E$16,0,IF(CG34&lt;=Condition!$F$16,Condition!$D$16,IF(CG34&lt;=Condition!$F$17,Condition!$D$17,IF(CG34&lt;=Condition!$F$18,Condition!$D$18,IF(CG34&gt;Condition!$E$19,Condition!$D$19,"")))))</f>
        <v>0</v>
      </c>
      <c r="CH77" s="85">
        <f>IF(CH34&lt;=Condition!$E$16,0,IF(CH34&lt;=Condition!$F$16,Condition!$D$16,IF(CH34&lt;=Condition!$F$17,Condition!$D$17,IF(CH34&lt;=Condition!$F$18,Condition!$D$18,IF(CH34&gt;Condition!$E$19,Condition!$D$19,"")))))</f>
        <v>0</v>
      </c>
      <c r="CI77" s="85">
        <f>IF(CI34&lt;=Condition!$E$16,0,IF(CI34&lt;=Condition!$F$16,Condition!$D$16,IF(CI34&lt;=Condition!$F$17,Condition!$D$17,IF(CI34&lt;=Condition!$F$18,Condition!$D$18,IF(CI34&gt;Condition!$E$19,Condition!$D$19,"")))))</f>
        <v>0</v>
      </c>
      <c r="CJ77" s="85">
        <f>IF(CJ34&lt;=Condition!$E$16,0,IF(CJ34&lt;=Condition!$F$16,Condition!$D$16,IF(CJ34&lt;=Condition!$F$17,Condition!$D$17,IF(CJ34&lt;=Condition!$F$18,Condition!$D$18,IF(CJ34&gt;Condition!$E$19,Condition!$D$19,"")))))</f>
        <v>0</v>
      </c>
      <c r="CK77" s="85">
        <f>IF(CK34&lt;=Condition!$E$16,0,IF(CK34&lt;=Condition!$F$16,Condition!$D$16,IF(CK34&lt;=Condition!$F$17,Condition!$D$17,IF(CK34&lt;=Condition!$F$18,Condition!$D$18,IF(CK34&gt;Condition!$E$19,Condition!$D$19,"")))))</f>
        <v>0</v>
      </c>
      <c r="CL77" s="85">
        <f>IF(CL34&lt;=Condition!$E$16,0,IF(CL34&lt;=Condition!$F$16,Condition!$D$16,IF(CL34&lt;=Condition!$F$17,Condition!$D$17,IF(CL34&lt;=Condition!$F$18,Condition!$D$18,IF(CL34&gt;Condition!$E$19,Condition!$D$19,"")))))</f>
        <v>0</v>
      </c>
      <c r="CM77" s="85">
        <f>IF(CM34&lt;=Condition!$E$16,0,IF(CM34&lt;=Condition!$F$16,Condition!$D$16,IF(CM34&lt;=Condition!$F$17,Condition!$D$17,IF(CM34&lt;=Condition!$F$18,Condition!$D$18,IF(CM34&gt;Condition!$E$19,Condition!$D$19,"")))))</f>
        <v>0</v>
      </c>
      <c r="CN77" s="85">
        <f>IF(CN34&lt;=Condition!$E$16,0,IF(CN34&lt;=Condition!$F$16,Condition!$D$16,IF(CN34&lt;=Condition!$F$17,Condition!$D$17,IF(CN34&lt;=Condition!$F$18,Condition!$D$18,IF(CN34&gt;Condition!$E$19,Condition!$D$19,"")))))</f>
        <v>0</v>
      </c>
      <c r="CO77" s="85">
        <f>IF(CO34&lt;=Condition!$E$16,0,IF(CO34&lt;=Condition!$F$16,Condition!$D$16,IF(CO34&lt;=Condition!$F$17,Condition!$D$17,IF(CO34&lt;=Condition!$F$18,Condition!$D$18,IF(CO34&gt;Condition!$E$19,Condition!$D$19,"")))))</f>
        <v>0</v>
      </c>
      <c r="CP77" s="85">
        <f>IF(CP34&lt;=Condition!$E$16,0,IF(CP34&lt;=Condition!$F$16,Condition!$D$16,IF(CP34&lt;=Condition!$F$17,Condition!$D$17,IF(CP34&lt;=Condition!$F$18,Condition!$D$18,IF(CP34&gt;Condition!$E$19,Condition!$D$19,"")))))</f>
        <v>0</v>
      </c>
      <c r="CQ77" s="85">
        <f>IF(CQ34&lt;=Condition!$E$16,0,IF(CQ34&lt;=Condition!$F$16,Condition!$D$16,IF(CQ34&lt;=Condition!$F$17,Condition!$D$17,IF(CQ34&lt;=Condition!$F$18,Condition!$D$18,IF(CQ34&gt;Condition!$E$19,Condition!$D$19,"")))))</f>
        <v>0</v>
      </c>
      <c r="CR77" s="85">
        <f>IF(CR34&lt;=Condition!$E$16,0,IF(CR34&lt;=Condition!$F$16,Condition!$D$16,IF(CR34&lt;=Condition!$F$17,Condition!$D$17,IF(CR34&lt;=Condition!$F$18,Condition!$D$18,IF(CR34&gt;Condition!$E$19,Condition!$D$19,"")))))</f>
        <v>0</v>
      </c>
      <c r="CS77" s="85">
        <f>IF(CS34&lt;=Condition!$E$16,0,IF(CS34&lt;=Condition!$F$16,Condition!$D$16,IF(CS34&lt;=Condition!$F$17,Condition!$D$17,IF(CS34&lt;=Condition!$F$18,Condition!$D$18,IF(CS34&gt;Condition!$E$19,Condition!$D$19,"")))))</f>
        <v>0</v>
      </c>
      <c r="CT77" s="85">
        <f>IF(CT34&lt;=Condition!$E$16,0,IF(CT34&lt;=Condition!$F$16,Condition!$D$16,IF(CT34&lt;=Condition!$F$17,Condition!$D$17,IF(CT34&lt;=Condition!$F$18,Condition!$D$18,IF(CT34&gt;Condition!$E$19,Condition!$D$19,"")))))</f>
        <v>0</v>
      </c>
      <c r="CU77" s="85">
        <f>IF(CU34&lt;=Condition!$E$16,0,IF(CU34&lt;=Condition!$F$16,Condition!$D$16,IF(CU34&lt;=Condition!$F$17,Condition!$D$17,IF(CU34&lt;=Condition!$F$18,Condition!$D$18,IF(CU34&gt;Condition!$E$19,Condition!$D$19,"")))))</f>
        <v>0</v>
      </c>
      <c r="CV77" s="85">
        <f>IF(CV34&lt;=Condition!$E$16,0,IF(CV34&lt;=Condition!$F$16,Condition!$D$16,IF(CV34&lt;=Condition!$F$17,Condition!$D$17,IF(CV34&lt;=Condition!$F$18,Condition!$D$18,IF(CV34&gt;Condition!$E$19,Condition!$D$19,"")))))</f>
        <v>0</v>
      </c>
      <c r="CW77" s="85">
        <f>IF(CW34&lt;=Condition!$E$16,0,IF(CW34&lt;=Condition!$F$16,Condition!$D$16,IF(CW34&lt;=Condition!$F$17,Condition!$D$17,IF(CW34&lt;=Condition!$F$18,Condition!$D$18,IF(CW34&gt;Condition!$E$19,Condition!$D$19,"")))))</f>
        <v>0</v>
      </c>
      <c r="CX77" s="85">
        <f>IF(CX34&lt;=Condition!$E$16,0,IF(CX34&lt;=Condition!$F$16,Condition!$D$16,IF(CX34&lt;=Condition!$F$17,Condition!$D$17,IF(CX34&lt;=Condition!$F$18,Condition!$D$18,IF(CX34&gt;Condition!$E$19,Condition!$D$19,"")))))</f>
        <v>0</v>
      </c>
      <c r="CY77" s="85">
        <f>IF(CY34&lt;=Condition!$E$16,0,IF(CY34&lt;=Condition!$F$16,Condition!$D$16,IF(CY34&lt;=Condition!$F$17,Condition!$D$17,IF(CY34&lt;=Condition!$F$18,Condition!$D$18,IF(CY34&gt;Condition!$E$19,Condition!$D$19,"")))))</f>
        <v>0</v>
      </c>
      <c r="CZ77" s="85">
        <f>IF(CZ34&lt;=Condition!$E$16,0,IF(CZ34&lt;=Condition!$F$16,Condition!$D$16,IF(CZ34&lt;=Condition!$F$17,Condition!$D$17,IF(CZ34&lt;=Condition!$F$18,Condition!$D$18,IF(CZ34&gt;Condition!$E$19,Condition!$D$19,"")))))</f>
        <v>0</v>
      </c>
      <c r="DA77" s="85">
        <f>IF(DA34&lt;=Condition!$E$16,0,IF(DA34&lt;=Condition!$F$16,Condition!$D$16,IF(DA34&lt;=Condition!$F$17,Condition!$D$17,IF(DA34&lt;=Condition!$F$18,Condition!$D$18,IF(DA34&gt;Condition!$E$19,Condition!$D$19,"")))))</f>
        <v>0</v>
      </c>
      <c r="DB77" s="85">
        <f>IF(DB34&lt;=Condition!$E$16,0,IF(DB34&lt;=Condition!$F$16,Condition!$D$16,IF(DB34&lt;=Condition!$F$17,Condition!$D$17,IF(DB34&lt;=Condition!$F$18,Condition!$D$18,IF(DB34&gt;Condition!$E$19,Condition!$D$19,"")))))</f>
        <v>0</v>
      </c>
      <c r="DC77" s="85">
        <f>IF(DC34&lt;=Condition!$E$16,0,IF(DC34&lt;=Condition!$F$16,Condition!$D$16,IF(DC34&lt;=Condition!$F$17,Condition!$D$17,IF(DC34&lt;=Condition!$F$18,Condition!$D$18,IF(DC34&gt;Condition!$E$19,Condition!$D$19,"")))))</f>
        <v>0</v>
      </c>
      <c r="DD77" s="85">
        <f>IF(DD34&lt;=Condition!$E$16,0,IF(DD34&lt;=Condition!$F$16,Condition!$D$16,IF(DD34&lt;=Condition!$F$17,Condition!$D$17,IF(DD34&lt;=Condition!$F$18,Condition!$D$18,IF(DD34&gt;Condition!$E$19,Condition!$D$19,"")))))</f>
        <v>0</v>
      </c>
      <c r="DE77" s="85">
        <f>IF(DE34&lt;=Condition!$E$16,0,IF(DE34&lt;=Condition!$F$16,Condition!$D$16,IF(DE34&lt;=Condition!$F$17,Condition!$D$17,IF(DE34&lt;=Condition!$F$18,Condition!$D$18,IF(DE34&gt;Condition!$E$19,Condition!$D$19,"")))))</f>
        <v>0</v>
      </c>
      <c r="DF77" s="85">
        <f>IF(DF34&lt;=Condition!$E$16,0,IF(DF34&lt;=Condition!$F$16,Condition!$D$16,IF(DF34&lt;=Condition!$F$17,Condition!$D$17,IF(DF34&lt;=Condition!$F$18,Condition!$D$18,IF(DF34&gt;Condition!$E$19,Condition!$D$19,"")))))</f>
        <v>0</v>
      </c>
      <c r="DG77" s="85">
        <f>IF(DG34&lt;=Condition!$E$16,0,IF(DG34&lt;=Condition!$F$16,Condition!$D$16,IF(DG34&lt;=Condition!$F$17,Condition!$D$17,IF(DG34&lt;=Condition!$F$18,Condition!$D$18,IF(DG34&gt;Condition!$E$19,Condition!$D$19,"")))))</f>
        <v>0</v>
      </c>
      <c r="DH77" s="85">
        <f>IF(DH34&lt;=Condition!$E$16,0,IF(DH34&lt;=Condition!$F$16,Condition!$D$16,IF(DH34&lt;=Condition!$F$17,Condition!$D$17,IF(DH34&lt;=Condition!$F$18,Condition!$D$18,IF(DH34&gt;Condition!$E$19,Condition!$D$19,"")))))</f>
        <v>0</v>
      </c>
      <c r="DI77" s="85">
        <f>IF(DI34&lt;=Condition!$E$16,0,IF(DI34&lt;=Condition!$F$16,Condition!$D$16,IF(DI34&lt;=Condition!$F$17,Condition!$D$17,IF(DI34&lt;=Condition!$F$18,Condition!$D$18,IF(DI34&gt;Condition!$E$19,Condition!$D$19,"")))))</f>
        <v>0</v>
      </c>
      <c r="DJ77" s="85">
        <f>IF(DJ34&lt;=Condition!$E$16,0,IF(DJ34&lt;=Condition!$F$16,Condition!$D$16,IF(DJ34&lt;=Condition!$F$17,Condition!$D$17,IF(DJ34&lt;=Condition!$F$18,Condition!$D$18,IF(DJ34&gt;Condition!$E$19,Condition!$D$19,"")))))</f>
        <v>0</v>
      </c>
      <c r="DK77" s="85">
        <f>IF(DK34&lt;=Condition!$E$16,0,IF(DK34&lt;=Condition!$F$16,Condition!$D$16,IF(DK34&lt;=Condition!$F$17,Condition!$D$17,IF(DK34&lt;=Condition!$F$18,Condition!$D$18,IF(DK34&gt;Condition!$E$19,Condition!$D$19,"")))))</f>
        <v>0</v>
      </c>
      <c r="DL77" s="85">
        <f>IF(DL34&lt;=Condition!$E$16,0,IF(DL34&lt;=Condition!$F$16,Condition!$D$16,IF(DL34&lt;=Condition!$F$17,Condition!$D$17,IF(DL34&lt;=Condition!$F$18,Condition!$D$18,IF(DL34&gt;Condition!$E$19,Condition!$D$19,"")))))</f>
        <v>0</v>
      </c>
      <c r="DM77" s="85">
        <f>IF(DM34&lt;=Condition!$E$16,0,IF(DM34&lt;=Condition!$F$16,Condition!$D$16,IF(DM34&lt;=Condition!$F$17,Condition!$D$17,IF(DM34&lt;=Condition!$F$18,Condition!$D$18,IF(DM34&gt;Condition!$E$19,Condition!$D$19,"")))))</f>
        <v>0</v>
      </c>
      <c r="DN77" s="85">
        <f>IF(DN34&lt;=Condition!$E$16,0,IF(DN34&lt;=Condition!$F$16,Condition!$D$16,IF(DN34&lt;=Condition!$F$17,Condition!$D$17,IF(DN34&lt;=Condition!$F$18,Condition!$D$18,IF(DN34&gt;Condition!$E$19,Condition!$D$19,"")))))</f>
        <v>0</v>
      </c>
      <c r="DO77" s="85">
        <f>IF(DO34&lt;=Condition!$E$16,0,IF(DO34&lt;=Condition!$F$16,Condition!$D$16,IF(DO34&lt;=Condition!$F$17,Condition!$D$17,IF(DO34&lt;=Condition!$F$18,Condition!$D$18,IF(DO34&gt;Condition!$E$19,Condition!$D$19,"")))))</f>
        <v>0</v>
      </c>
      <c r="DP77" s="85">
        <f>IF(DP34&lt;=Condition!$E$16,0,IF(DP34&lt;=Condition!$F$16,Condition!$D$16,IF(DP34&lt;=Condition!$F$17,Condition!$D$17,IF(DP34&lt;=Condition!$F$18,Condition!$D$18,IF(DP34&gt;Condition!$E$19,Condition!$D$19,"")))))</f>
        <v>0</v>
      </c>
      <c r="DQ77" s="85">
        <f>IF(DQ34&lt;=Condition!$E$16,0,IF(DQ34&lt;=Condition!$F$16,Condition!$D$16,IF(DQ34&lt;=Condition!$F$17,Condition!$D$17,IF(DQ34&lt;=Condition!$F$18,Condition!$D$18,IF(DQ34&gt;Condition!$E$19,Condition!$D$19,"")))))</f>
        <v>0</v>
      </c>
      <c r="DR77" s="85">
        <f>IF(DR34&lt;=Condition!$E$16,0,IF(DR34&lt;=Condition!$F$16,Condition!$D$16,IF(DR34&lt;=Condition!$F$17,Condition!$D$17,IF(DR34&lt;=Condition!$F$18,Condition!$D$18,IF(DR34&gt;Condition!$E$19,Condition!$D$19,"")))))</f>
        <v>0</v>
      </c>
      <c r="DS77" s="85">
        <f>IF(DS34&lt;=Condition!$E$16,0,IF(DS34&lt;=Condition!$F$16,Condition!$D$16,IF(DS34&lt;=Condition!$F$17,Condition!$D$17,IF(DS34&lt;=Condition!$F$18,Condition!$D$18,IF(DS34&gt;Condition!$E$19,Condition!$D$19,"")))))</f>
        <v>0</v>
      </c>
      <c r="DT77" s="85">
        <f>IF(DT34&lt;=Condition!$E$16,0,IF(DT34&lt;=Condition!$F$16,Condition!$D$16,IF(DT34&lt;=Condition!$F$17,Condition!$D$17,IF(DT34&lt;=Condition!$F$18,Condition!$D$18,IF(DT34&gt;Condition!$E$19,Condition!$D$19,"")))))</f>
        <v>0</v>
      </c>
      <c r="DU77" s="85">
        <f>IF(DU34&lt;=Condition!$E$16,0,IF(DU34&lt;=Condition!$F$16,Condition!$D$16,IF(DU34&lt;=Condition!$F$17,Condition!$D$17,IF(DU34&lt;=Condition!$F$18,Condition!$D$18,IF(DU34&gt;Condition!$E$19,Condition!$D$19,"")))))</f>
        <v>0</v>
      </c>
      <c r="DV77" s="85">
        <f>IF(DV34&lt;=Condition!$E$16,0,IF(DV34&lt;=Condition!$F$16,Condition!$D$16,IF(DV34&lt;=Condition!$F$17,Condition!$D$17,IF(DV34&lt;=Condition!$F$18,Condition!$D$18,IF(DV34&gt;Condition!$E$19,Condition!$D$19,"")))))</f>
        <v>0</v>
      </c>
      <c r="DW77" s="85">
        <f>IF(DW34&lt;=Condition!$E$16,0,IF(DW34&lt;=Condition!$F$16,Condition!$D$16,IF(DW34&lt;=Condition!$F$17,Condition!$D$17,IF(DW34&lt;=Condition!$F$18,Condition!$D$18,IF(DW34&gt;Condition!$E$19,Condition!$D$19,"")))))</f>
        <v>0</v>
      </c>
      <c r="DX77" s="85">
        <f>IF(DX34&lt;=Condition!$E$16,0,IF(DX34&lt;=Condition!$F$16,Condition!$D$16,IF(DX34&lt;=Condition!$F$17,Condition!$D$17,IF(DX34&lt;=Condition!$F$18,Condition!$D$18,IF(DX34&gt;Condition!$E$19,Condition!$D$19,"")))))</f>
        <v>0</v>
      </c>
      <c r="DY77" s="85">
        <f>IF(DY34&lt;=Condition!$E$16,0,IF(DY34&lt;=Condition!$F$16,Condition!$D$16,IF(DY34&lt;=Condition!$F$17,Condition!$D$17,IF(DY34&lt;=Condition!$F$18,Condition!$D$18,IF(DY34&gt;Condition!$E$19,Condition!$D$19,"")))))</f>
        <v>0</v>
      </c>
      <c r="DZ77" s="85">
        <f>IF(DZ34&lt;=Condition!$E$16,0,IF(DZ34&lt;=Condition!$F$16,Condition!$D$16,IF(DZ34&lt;=Condition!$F$17,Condition!$D$17,IF(DZ34&lt;=Condition!$F$18,Condition!$D$18,IF(DZ34&gt;Condition!$E$19,Condition!$D$19,"")))))</f>
        <v>0</v>
      </c>
      <c r="EA77" s="85">
        <f>IF(EA34&lt;=Condition!$E$16,0,IF(EA34&lt;=Condition!$F$16,Condition!$D$16,IF(EA34&lt;=Condition!$F$17,Condition!$D$17,IF(EA34&lt;=Condition!$F$18,Condition!$D$18,IF(EA34&gt;Condition!$E$19,Condition!$D$19,"")))))</f>
        <v>0</v>
      </c>
      <c r="EB77" s="85">
        <f>IF(EB34&lt;=Condition!$E$16,0,IF(EB34&lt;=Condition!$F$16,Condition!$D$16,IF(EB34&lt;=Condition!$F$17,Condition!$D$17,IF(EB34&lt;=Condition!$F$18,Condition!$D$18,IF(EB34&gt;Condition!$E$19,Condition!$D$19,"")))))</f>
        <v>0</v>
      </c>
      <c r="EC77" s="85">
        <f>IF(EC34&lt;=Condition!$E$16,0,IF(EC34&lt;=Condition!$F$16,Condition!$D$16,IF(EC34&lt;=Condition!$F$17,Condition!$D$17,IF(EC34&lt;=Condition!$F$18,Condition!$D$18,IF(EC34&gt;Condition!$E$19,Condition!$D$19,"")))))</f>
        <v>0</v>
      </c>
      <c r="ED77" s="85">
        <f>IF(ED34&lt;=Condition!$E$16,0,IF(ED34&lt;=Condition!$F$16,Condition!$D$16,IF(ED34&lt;=Condition!$F$17,Condition!$D$17,IF(ED34&lt;=Condition!$F$18,Condition!$D$18,IF(ED34&gt;Condition!$E$19,Condition!$D$19,"")))))</f>
        <v>0</v>
      </c>
      <c r="EE77" s="85">
        <f>IF(EE34&lt;=Condition!$E$16,0,IF(EE34&lt;=Condition!$F$16,Condition!$D$16,IF(EE34&lt;=Condition!$F$17,Condition!$D$17,IF(EE34&lt;=Condition!$F$18,Condition!$D$18,IF(EE34&gt;Condition!$E$19,Condition!$D$19,"")))))</f>
        <v>0</v>
      </c>
      <c r="EF77" s="85">
        <f>IF(EF34&lt;=Condition!$E$16,0,IF(EF34&lt;=Condition!$F$16,Condition!$D$16,IF(EF34&lt;=Condition!$F$17,Condition!$D$17,IF(EF34&lt;=Condition!$F$18,Condition!$D$18,IF(EF34&gt;Condition!$E$19,Condition!$D$19,"")))))</f>
        <v>0</v>
      </c>
      <c r="EG77" s="85">
        <f>IF(EG34&lt;=Condition!$E$16,0,IF(EG34&lt;=Condition!$F$16,Condition!$D$16,IF(EG34&lt;=Condition!$F$17,Condition!$D$17,IF(EG34&lt;=Condition!$F$18,Condition!$D$18,IF(EG34&gt;Condition!$E$19,Condition!$D$19,"")))))</f>
        <v>0</v>
      </c>
      <c r="EH77" s="85">
        <f>IF(EH34&lt;=Condition!$E$16,0,IF(EH34&lt;=Condition!$F$16,Condition!$D$16,IF(EH34&lt;=Condition!$F$17,Condition!$D$17,IF(EH34&lt;=Condition!$F$18,Condition!$D$18,IF(EH34&gt;Condition!$E$19,Condition!$D$19,"")))))</f>
        <v>0</v>
      </c>
      <c r="EI77" s="85">
        <f>IF(EI34&lt;=Condition!$E$16,0,IF(EI34&lt;=Condition!$F$16,Condition!$D$16,IF(EI34&lt;=Condition!$F$17,Condition!$D$17,IF(EI34&lt;=Condition!$F$18,Condition!$D$18,IF(EI34&gt;Condition!$E$19,Condition!$D$19,"")))))</f>
        <v>0</v>
      </c>
      <c r="EJ77" s="85">
        <f>IF(EJ34&lt;=Condition!$E$16,0,IF(EJ34&lt;=Condition!$F$16,Condition!$D$16,IF(EJ34&lt;=Condition!$F$17,Condition!$D$17,IF(EJ34&lt;=Condition!$F$18,Condition!$D$18,IF(EJ34&gt;Condition!$E$19,Condition!$D$19,"")))))</f>
        <v>0</v>
      </c>
      <c r="EK77" s="85">
        <f>IF(EK34&lt;=Condition!$E$16,0,IF(EK34&lt;=Condition!$F$16,Condition!$D$16,IF(EK34&lt;=Condition!$F$17,Condition!$D$17,IF(EK34&lt;=Condition!$F$18,Condition!$D$18,IF(EK34&gt;Condition!$E$19,Condition!$D$19,"")))))</f>
        <v>0</v>
      </c>
      <c r="EL77" s="85">
        <f>IF(EL34&lt;=Condition!$E$16,0,IF(EL34&lt;=Condition!$F$16,Condition!$D$16,IF(EL34&lt;=Condition!$F$17,Condition!$D$17,IF(EL34&lt;=Condition!$F$18,Condition!$D$18,IF(EL34&gt;Condition!$E$19,Condition!$D$19,"")))))</f>
        <v>0</v>
      </c>
      <c r="EM77" s="85">
        <f>IF(EM34&lt;=Condition!$E$16,0,IF(EM34&lt;=Condition!$F$16,Condition!$D$16,IF(EM34&lt;=Condition!$F$17,Condition!$D$17,IF(EM34&lt;=Condition!$F$18,Condition!$D$18,IF(EM34&gt;Condition!$E$19,Condition!$D$19,"")))))</f>
        <v>0</v>
      </c>
      <c r="EN77" s="85">
        <f>IF(EN34&lt;=Condition!$E$16,0,IF(EN34&lt;=Condition!$F$16,Condition!$D$16,IF(EN34&lt;=Condition!$F$17,Condition!$D$17,IF(EN34&lt;=Condition!$F$18,Condition!$D$18,IF(EN34&gt;Condition!$E$19,Condition!$D$19,"")))))</f>
        <v>0</v>
      </c>
      <c r="EO77" s="85">
        <f>IF(EO34&lt;=Condition!$E$16,0,IF(EO34&lt;=Condition!$F$16,Condition!$D$16,IF(EO34&lt;=Condition!$F$17,Condition!$D$17,IF(EO34&lt;=Condition!$F$18,Condition!$D$18,IF(EO34&gt;Condition!$E$19,Condition!$D$19,"")))))</f>
        <v>0</v>
      </c>
      <c r="EP77" s="85">
        <f>IF(EP34&lt;=Condition!$E$16,0,IF(EP34&lt;=Condition!$F$16,Condition!$D$16,IF(EP34&lt;=Condition!$F$17,Condition!$D$17,IF(EP34&lt;=Condition!$F$18,Condition!$D$18,IF(EP34&gt;Condition!$E$19,Condition!$D$19,"")))))</f>
        <v>0</v>
      </c>
      <c r="EQ77" s="85">
        <f>IF(EQ34&lt;=Condition!$E$16,0,IF(EQ34&lt;=Condition!$F$16,Condition!$D$16,IF(EQ34&lt;=Condition!$F$17,Condition!$D$17,IF(EQ34&lt;=Condition!$F$18,Condition!$D$18,IF(EQ34&gt;Condition!$E$19,Condition!$D$19,"")))))</f>
        <v>0</v>
      </c>
      <c r="ER77" s="85">
        <f>IF(ER34&lt;=Condition!$E$16,0,IF(ER34&lt;=Condition!$F$16,Condition!$D$16,IF(ER34&lt;=Condition!$F$17,Condition!$D$17,IF(ER34&lt;=Condition!$F$18,Condition!$D$18,IF(ER34&gt;Condition!$E$19,Condition!$D$19,"")))))</f>
        <v>0</v>
      </c>
      <c r="ES77" s="85">
        <f>IF(ES34&lt;=Condition!$E$16,0,IF(ES34&lt;=Condition!$F$16,Condition!$D$16,IF(ES34&lt;=Condition!$F$17,Condition!$D$17,IF(ES34&lt;=Condition!$F$18,Condition!$D$18,IF(ES34&gt;Condition!$E$19,Condition!$D$19,"")))))</f>
        <v>0</v>
      </c>
      <c r="ET77" s="85">
        <f>IF(ET34&lt;=Condition!$E$16,0,IF(ET34&lt;=Condition!$F$16,Condition!$D$16,IF(ET34&lt;=Condition!$F$17,Condition!$D$17,IF(ET34&lt;=Condition!$F$18,Condition!$D$18,IF(ET34&gt;Condition!$E$19,Condition!$D$19,"")))))</f>
        <v>0</v>
      </c>
      <c r="EU77" s="85">
        <f>IF(EU34&lt;=Condition!$E$16,0,IF(EU34&lt;=Condition!$F$16,Condition!$D$16,IF(EU34&lt;=Condition!$F$17,Condition!$D$17,IF(EU34&lt;=Condition!$F$18,Condition!$D$18,IF(EU34&gt;Condition!$E$19,Condition!$D$19,"")))))</f>
        <v>0</v>
      </c>
      <c r="EV77" s="85">
        <f>IF(EV34&lt;=Condition!$E$16,0,IF(EV34&lt;=Condition!$F$16,Condition!$D$16,IF(EV34&lt;=Condition!$F$17,Condition!$D$17,IF(EV34&lt;=Condition!$F$18,Condition!$D$18,IF(EV34&gt;Condition!$E$19,Condition!$D$19,"")))))</f>
        <v>0</v>
      </c>
      <c r="EW77" s="85">
        <f>IF(EW34&lt;=Condition!$E$16,0,IF(EW34&lt;=Condition!$F$16,Condition!$D$16,IF(EW34&lt;=Condition!$F$17,Condition!$D$17,IF(EW34&lt;=Condition!$F$18,Condition!$D$18,IF(EW34&gt;Condition!$E$19,Condition!$D$19,"")))))</f>
        <v>0</v>
      </c>
      <c r="EX77" s="85">
        <f>IF(EX34&lt;=Condition!$E$16,0,IF(EX34&lt;=Condition!$F$16,Condition!$D$16,IF(EX34&lt;=Condition!$F$17,Condition!$D$17,IF(EX34&lt;=Condition!$F$18,Condition!$D$18,IF(EX34&gt;Condition!$E$19,Condition!$D$19,"")))))</f>
        <v>0</v>
      </c>
      <c r="EY77" s="85">
        <f>IF(EY34&lt;=Condition!$E$16,0,IF(EY34&lt;=Condition!$F$16,Condition!$D$16,IF(EY34&lt;=Condition!$F$17,Condition!$D$17,IF(EY34&lt;=Condition!$F$18,Condition!$D$18,IF(EY34&gt;Condition!$E$19,Condition!$D$19,"")))))</f>
        <v>0</v>
      </c>
      <c r="EZ77" s="85">
        <f>IF(EZ34&lt;=Condition!$E$16,0,IF(EZ34&lt;=Condition!$F$16,Condition!$D$16,IF(EZ34&lt;=Condition!$F$17,Condition!$D$17,IF(EZ34&lt;=Condition!$F$18,Condition!$D$18,IF(EZ34&gt;Condition!$E$19,Condition!$D$19,"")))))</f>
        <v>0</v>
      </c>
      <c r="FA77" s="85">
        <f>IF(FA34&lt;=Condition!$E$16,0,IF(FA34&lt;=Condition!$F$16,Condition!$D$16,IF(FA34&lt;=Condition!$F$17,Condition!$D$17,IF(FA34&lt;=Condition!$F$18,Condition!$D$18,IF(FA34&gt;Condition!$E$19,Condition!$D$19,"")))))</f>
        <v>0</v>
      </c>
      <c r="FB77" s="85">
        <f>IF(FB34&lt;=Condition!$E$16,0,IF(FB34&lt;=Condition!$F$16,Condition!$D$16,IF(FB34&lt;=Condition!$F$17,Condition!$D$17,IF(FB34&lt;=Condition!$F$18,Condition!$D$18,IF(FB34&gt;Condition!$E$19,Condition!$D$19,"")))))</f>
        <v>0</v>
      </c>
      <c r="FC77" s="85">
        <f>IF(FC34&lt;=Condition!$E$16,0,IF(FC34&lt;=Condition!$F$16,Condition!$D$16,IF(FC34&lt;=Condition!$F$17,Condition!$D$17,IF(FC34&lt;=Condition!$F$18,Condition!$D$18,IF(FC34&gt;Condition!$E$19,Condition!$D$19,"")))))</f>
        <v>0</v>
      </c>
      <c r="FD77" s="85">
        <f>IF(FD34&lt;=Condition!$E$16,0,IF(FD34&lt;=Condition!$F$16,Condition!$D$16,IF(FD34&lt;=Condition!$F$17,Condition!$D$17,IF(FD34&lt;=Condition!$F$18,Condition!$D$18,IF(FD34&gt;Condition!$E$19,Condition!$D$19,"")))))</f>
        <v>0</v>
      </c>
      <c r="FE77" s="85">
        <f>IF(FE34&lt;=Condition!$E$16,0,IF(FE34&lt;=Condition!$F$16,Condition!$D$16,IF(FE34&lt;=Condition!$F$17,Condition!$D$17,IF(FE34&lt;=Condition!$F$18,Condition!$D$18,IF(FE34&gt;Condition!$E$19,Condition!$D$19,"")))))</f>
        <v>0</v>
      </c>
      <c r="FF77" s="85">
        <f>IF(FF34&lt;=Condition!$E$16,0,IF(FF34&lt;=Condition!$F$16,Condition!$D$16,IF(FF34&lt;=Condition!$F$17,Condition!$D$17,IF(FF34&lt;=Condition!$F$18,Condition!$D$18,IF(FF34&gt;Condition!$E$19,Condition!$D$19,"")))))</f>
        <v>0</v>
      </c>
      <c r="FG77" s="85">
        <f>IF(FG34&lt;=Condition!$E$16,0,IF(FG34&lt;=Condition!$F$16,Condition!$D$16,IF(FG34&lt;=Condition!$F$17,Condition!$D$17,IF(FG34&lt;=Condition!$F$18,Condition!$D$18,IF(FG34&gt;Condition!$E$19,Condition!$D$19,"")))))</f>
        <v>0</v>
      </c>
      <c r="FH77" s="85">
        <f>IF(FH34&lt;=Condition!$E$16,0,IF(FH34&lt;=Condition!$F$16,Condition!$D$16,IF(FH34&lt;=Condition!$F$17,Condition!$D$17,IF(FH34&lt;=Condition!$F$18,Condition!$D$18,IF(FH34&gt;Condition!$E$19,Condition!$D$19,"")))))</f>
        <v>0</v>
      </c>
      <c r="FI77" s="85">
        <f>IF(FI34&lt;=Condition!$E$16,0,IF(FI34&lt;=Condition!$F$16,Condition!$D$16,IF(FI34&lt;=Condition!$F$17,Condition!$D$17,IF(FI34&lt;=Condition!$F$18,Condition!$D$18,IF(FI34&gt;Condition!$E$19,Condition!$D$19,"")))))</f>
        <v>0</v>
      </c>
      <c r="FJ77" s="85">
        <f>IF(FJ34&lt;=Condition!$E$16,0,IF(FJ34&lt;=Condition!$F$16,Condition!$D$16,IF(FJ34&lt;=Condition!$F$17,Condition!$D$17,IF(FJ34&lt;=Condition!$F$18,Condition!$D$18,IF(FJ34&gt;Condition!$E$19,Condition!$D$19,"")))))</f>
        <v>0</v>
      </c>
      <c r="FK77" s="85">
        <f>IF(FK34&lt;=Condition!$E$16,0,IF(FK34&lt;=Condition!$F$16,Condition!$D$16,IF(FK34&lt;=Condition!$F$17,Condition!$D$17,IF(FK34&lt;=Condition!$F$18,Condition!$D$18,IF(FK34&gt;Condition!$E$19,Condition!$D$19,"")))))</f>
        <v>0</v>
      </c>
      <c r="FL77" s="85">
        <f>IF(FL34&lt;=Condition!$E$16,0,IF(FL34&lt;=Condition!$F$16,Condition!$D$16,IF(FL34&lt;=Condition!$F$17,Condition!$D$17,IF(FL34&lt;=Condition!$F$18,Condition!$D$18,IF(FL34&gt;Condition!$E$19,Condition!$D$19,"")))))</f>
        <v>0</v>
      </c>
      <c r="FM77" s="85">
        <f>IF(FM34&lt;=Condition!$E$16,0,IF(FM34&lt;=Condition!$F$16,Condition!$D$16,IF(FM34&lt;=Condition!$F$17,Condition!$D$17,IF(FM34&lt;=Condition!$F$18,Condition!$D$18,IF(FM34&gt;Condition!$E$19,Condition!$D$19,"")))))</f>
        <v>0</v>
      </c>
      <c r="FN77" s="85">
        <f>IF(FN34&lt;=Condition!$E$16,0,IF(FN34&lt;=Condition!$F$16,Condition!$D$16,IF(FN34&lt;=Condition!$F$17,Condition!$D$17,IF(FN34&lt;=Condition!$F$18,Condition!$D$18,IF(FN34&gt;Condition!$E$19,Condition!$D$19,"")))))</f>
        <v>0</v>
      </c>
      <c r="FO77" s="85">
        <f>IF(FO34&lt;=Condition!$E$16,0,IF(FO34&lt;=Condition!$F$16,Condition!$D$16,IF(FO34&lt;=Condition!$F$17,Condition!$D$17,IF(FO34&lt;=Condition!$F$18,Condition!$D$18,IF(FO34&gt;Condition!$E$19,Condition!$D$19,"")))))</f>
        <v>0</v>
      </c>
      <c r="FP77" s="85">
        <f>IF(FP34&lt;=Condition!$E$16,0,IF(FP34&lt;=Condition!$F$16,Condition!$D$16,IF(FP34&lt;=Condition!$F$17,Condition!$D$17,IF(FP34&lt;=Condition!$F$18,Condition!$D$18,IF(FP34&gt;Condition!$E$19,Condition!$D$19,"")))))</f>
        <v>0</v>
      </c>
      <c r="FQ77" s="85">
        <f>IF(FQ34&lt;=Condition!$E$16,0,IF(FQ34&lt;=Condition!$F$16,Condition!$D$16,IF(FQ34&lt;=Condition!$F$17,Condition!$D$17,IF(FQ34&lt;=Condition!$F$18,Condition!$D$18,IF(FQ34&gt;Condition!$E$19,Condition!$D$19,"")))))</f>
        <v>0</v>
      </c>
      <c r="FR77" s="85">
        <f>IF(FR34&lt;=Condition!$E$16,0,IF(FR34&lt;=Condition!$F$16,Condition!$D$16,IF(FR34&lt;=Condition!$F$17,Condition!$D$17,IF(FR34&lt;=Condition!$F$18,Condition!$D$18,IF(FR34&gt;Condition!$E$19,Condition!$D$19,"")))))</f>
        <v>0</v>
      </c>
      <c r="FS77" s="85">
        <f>IF(FS34&lt;=Condition!$E$16,0,IF(FS34&lt;=Condition!$F$16,Condition!$D$16,IF(FS34&lt;=Condition!$F$17,Condition!$D$17,IF(FS34&lt;=Condition!$F$18,Condition!$D$18,IF(FS34&gt;Condition!$E$19,Condition!$D$19,"")))))</f>
        <v>0</v>
      </c>
      <c r="FT77" s="85">
        <f>IF(FT34&lt;=Condition!$E$16,0,IF(FT34&lt;=Condition!$F$16,Condition!$D$16,IF(FT34&lt;=Condition!$F$17,Condition!$D$17,IF(FT34&lt;=Condition!$F$18,Condition!$D$18,IF(FT34&gt;Condition!$E$19,Condition!$D$19,"")))))</f>
        <v>0</v>
      </c>
      <c r="FU77" s="85">
        <f>IF(FU34&lt;=Condition!$E$16,0,IF(FU34&lt;=Condition!$F$16,Condition!$D$16,IF(FU34&lt;=Condition!$F$17,Condition!$D$17,IF(FU34&lt;=Condition!$F$18,Condition!$D$18,IF(FU34&gt;Condition!$E$19,Condition!$D$19,"")))))</f>
        <v>0</v>
      </c>
      <c r="FV77" s="85">
        <f>IF(FV34&lt;=Condition!$E$16,0,IF(FV34&lt;=Condition!$F$16,Condition!$D$16,IF(FV34&lt;=Condition!$F$17,Condition!$D$17,IF(FV34&lt;=Condition!$F$18,Condition!$D$18,IF(FV34&gt;Condition!$E$19,Condition!$D$19,"")))))</f>
        <v>0</v>
      </c>
      <c r="FW77" s="85">
        <f>IF(FW34&lt;=Condition!$E$16,0,IF(FW34&lt;=Condition!$F$16,Condition!$D$16,IF(FW34&lt;=Condition!$F$17,Condition!$D$17,IF(FW34&lt;=Condition!$F$18,Condition!$D$18,IF(FW34&gt;Condition!$E$19,Condition!$D$19,"")))))</f>
        <v>0</v>
      </c>
      <c r="FX77" s="85">
        <f>IF(FX34&lt;=Condition!$E$16,0,IF(FX34&lt;=Condition!$F$16,Condition!$D$16,IF(FX34&lt;=Condition!$F$17,Condition!$D$17,IF(FX34&lt;=Condition!$F$18,Condition!$D$18,IF(FX34&gt;Condition!$E$19,Condition!$D$19,"")))))</f>
        <v>0</v>
      </c>
      <c r="FY77" s="85">
        <f>IF(FY34&lt;=Condition!$E$16,0,IF(FY34&lt;=Condition!$F$16,Condition!$D$16,IF(FY34&lt;=Condition!$F$17,Condition!$D$17,IF(FY34&lt;=Condition!$F$18,Condition!$D$18,IF(FY34&gt;Condition!$E$19,Condition!$D$19,"")))))</f>
        <v>0</v>
      </c>
      <c r="FZ77" s="85">
        <f>IF(FZ34&lt;=Condition!$E$16,0,IF(FZ34&lt;=Condition!$F$16,Condition!$D$16,IF(FZ34&lt;=Condition!$F$17,Condition!$D$17,IF(FZ34&lt;=Condition!$F$18,Condition!$D$18,IF(FZ34&gt;Condition!$E$19,Condition!$D$19,"")))))</f>
        <v>0</v>
      </c>
      <c r="GA77" s="85">
        <f>IF(GA34&lt;=Condition!$E$16,0,IF(GA34&lt;=Condition!$F$16,Condition!$D$16,IF(GA34&lt;=Condition!$F$17,Condition!$D$17,IF(GA34&lt;=Condition!$F$18,Condition!$D$18,IF(GA34&gt;Condition!$E$19,Condition!$D$19,"")))))</f>
        <v>0</v>
      </c>
      <c r="GB77" s="85">
        <f>IF(GB34&lt;=Condition!$E$16,0,IF(GB34&lt;=Condition!$F$16,Condition!$D$16,IF(GB34&lt;=Condition!$F$17,Condition!$D$17,IF(GB34&lt;=Condition!$F$18,Condition!$D$18,IF(GB34&gt;Condition!$E$19,Condition!$D$19,"")))))</f>
        <v>0</v>
      </c>
      <c r="GC77" s="85">
        <f>IF(GC34&lt;=Condition!$E$16,0,IF(GC34&lt;=Condition!$F$16,Condition!$D$16,IF(GC34&lt;=Condition!$F$17,Condition!$D$17,IF(GC34&lt;=Condition!$F$18,Condition!$D$18,IF(GC34&gt;Condition!$E$19,Condition!$D$19,"")))))</f>
        <v>0</v>
      </c>
      <c r="GD77" s="85">
        <f>IF(GD34&lt;=Condition!$E$16,0,IF(GD34&lt;=Condition!$F$16,Condition!$D$16,IF(GD34&lt;=Condition!$F$17,Condition!$D$17,IF(GD34&lt;=Condition!$F$18,Condition!$D$18,IF(GD34&gt;Condition!$E$19,Condition!$D$19,"")))))</f>
        <v>0</v>
      </c>
      <c r="GE77" s="85">
        <f>IF(GE34&lt;=Condition!$E$16,0,IF(GE34&lt;=Condition!$F$16,Condition!$D$16,IF(GE34&lt;=Condition!$F$17,Condition!$D$17,IF(GE34&lt;=Condition!$F$18,Condition!$D$18,IF(GE34&gt;Condition!$E$19,Condition!$D$19,"")))))</f>
        <v>0</v>
      </c>
      <c r="GF77" s="85">
        <f>IF(GF34&lt;=Condition!$E$16,0,IF(GF34&lt;=Condition!$F$16,Condition!$D$16,IF(GF34&lt;=Condition!$F$17,Condition!$D$17,IF(GF34&lt;=Condition!$F$18,Condition!$D$18,IF(GF34&gt;Condition!$E$19,Condition!$D$19,"")))))</f>
        <v>0</v>
      </c>
      <c r="GG77" s="85">
        <f>IF(GG34&lt;=Condition!$E$16,0,IF(GG34&lt;=Condition!$F$16,Condition!$D$16,IF(GG34&lt;=Condition!$F$17,Condition!$D$17,IF(GG34&lt;=Condition!$F$18,Condition!$D$18,IF(GG34&gt;Condition!$E$19,Condition!$D$19,"")))))</f>
        <v>0</v>
      </c>
      <c r="GH77" s="85">
        <f>IF(GH34&lt;=Condition!$E$16,0,IF(GH34&lt;=Condition!$F$16,Condition!$D$16,IF(GH34&lt;=Condition!$F$17,Condition!$D$17,IF(GH34&lt;=Condition!$F$18,Condition!$D$18,IF(GH34&gt;Condition!$E$19,Condition!$D$19,"")))))</f>
        <v>0</v>
      </c>
      <c r="GI77" s="85">
        <f>IF(GI34&lt;=Condition!$E$16,0,IF(GI34&lt;=Condition!$F$16,Condition!$D$16,IF(GI34&lt;=Condition!$F$17,Condition!$D$17,IF(GI34&lt;=Condition!$F$18,Condition!$D$18,IF(GI34&gt;Condition!$E$19,Condition!$D$19,"")))))</f>
        <v>0</v>
      </c>
      <c r="GJ77" s="85">
        <f>IF(GJ34&lt;=Condition!$E$16,0,IF(GJ34&lt;=Condition!$F$16,Condition!$D$16,IF(GJ34&lt;=Condition!$F$17,Condition!$D$17,IF(GJ34&lt;=Condition!$F$18,Condition!$D$18,IF(GJ34&gt;Condition!$E$19,Condition!$D$19,"")))))</f>
        <v>0</v>
      </c>
      <c r="GK77" s="85">
        <f>IF(GK34&lt;=Condition!$E$16,0,IF(GK34&lt;=Condition!$F$16,Condition!$D$16,IF(GK34&lt;=Condition!$F$17,Condition!$D$17,IF(GK34&lt;=Condition!$F$18,Condition!$D$18,IF(GK34&gt;Condition!$E$19,Condition!$D$19,"")))))</f>
        <v>0</v>
      </c>
      <c r="GL77" s="85">
        <f>IF(GL34&lt;=Condition!$E$16,0,IF(GL34&lt;=Condition!$F$16,Condition!$D$16,IF(GL34&lt;=Condition!$F$17,Condition!$D$17,IF(GL34&lt;=Condition!$F$18,Condition!$D$18,IF(GL34&gt;Condition!$E$19,Condition!$D$19,"")))))</f>
        <v>0</v>
      </c>
      <c r="GM77" s="85">
        <f>IF(GM34&lt;=Condition!$E$16,0,IF(GM34&lt;=Condition!$F$16,Condition!$D$16,IF(GM34&lt;=Condition!$F$17,Condition!$D$17,IF(GM34&lt;=Condition!$F$18,Condition!$D$18,IF(GM34&gt;Condition!$E$19,Condition!$D$19,"")))))</f>
        <v>0</v>
      </c>
      <c r="GN77" s="85">
        <f>IF(GN34&lt;=Condition!$E$16,0,IF(GN34&lt;=Condition!$F$16,Condition!$D$16,IF(GN34&lt;=Condition!$F$17,Condition!$D$17,IF(GN34&lt;=Condition!$F$18,Condition!$D$18,IF(GN34&gt;Condition!$E$19,Condition!$D$19,"")))))</f>
        <v>0</v>
      </c>
      <c r="GO77" s="85">
        <f>IF(GO34&lt;=Condition!$E$16,0,IF(GO34&lt;=Condition!$F$16,Condition!$D$16,IF(GO34&lt;=Condition!$F$17,Condition!$D$17,IF(GO34&lt;=Condition!$F$18,Condition!$D$18,IF(GO34&gt;Condition!$E$19,Condition!$D$19,"")))))</f>
        <v>0</v>
      </c>
      <c r="GP77" s="85">
        <f>IF(GP34&lt;=Condition!$E$16,0,IF(GP34&lt;=Condition!$F$16,Condition!$D$16,IF(GP34&lt;=Condition!$F$17,Condition!$D$17,IF(GP34&lt;=Condition!$F$18,Condition!$D$18,IF(GP34&gt;Condition!$E$19,Condition!$D$19,"")))))</f>
        <v>0</v>
      </c>
      <c r="GQ77" s="85">
        <f>IF(GQ34&lt;=Condition!$E$16,0,IF(GQ34&lt;=Condition!$F$16,Condition!$D$16,IF(GQ34&lt;=Condition!$F$17,Condition!$D$17,IF(GQ34&lt;=Condition!$F$18,Condition!$D$18,IF(GQ34&gt;Condition!$E$19,Condition!$D$19,"")))))</f>
        <v>0</v>
      </c>
      <c r="GR77" s="85">
        <f>IF(GR34&lt;=Condition!$E$16,0,IF(GR34&lt;=Condition!$F$16,Condition!$D$16,IF(GR34&lt;=Condition!$F$17,Condition!$D$17,IF(GR34&lt;=Condition!$F$18,Condition!$D$18,IF(GR34&gt;Condition!$E$19,Condition!$D$19,"")))))</f>
        <v>0</v>
      </c>
      <c r="GS77" s="85">
        <f>IF(GS34&lt;=Condition!$E$16,0,IF(GS34&lt;=Condition!$F$16,Condition!$D$16,IF(GS34&lt;=Condition!$F$17,Condition!$D$17,IF(GS34&lt;=Condition!$F$18,Condition!$D$18,IF(GS34&gt;Condition!$E$19,Condition!$D$19,"")))))</f>
        <v>0</v>
      </c>
      <c r="GT77" s="85">
        <f>IF(GT34&lt;=Condition!$E$16,0,IF(GT34&lt;=Condition!$F$16,Condition!$D$16,IF(GT34&lt;=Condition!$F$17,Condition!$D$17,IF(GT34&lt;=Condition!$F$18,Condition!$D$18,IF(GT34&gt;Condition!$E$19,Condition!$D$19,"")))))</f>
        <v>0</v>
      </c>
      <c r="GU77" s="85">
        <f>IF(GU34&lt;=Condition!$E$16,0,IF(GU34&lt;=Condition!$F$16,Condition!$D$16,IF(GU34&lt;=Condition!$F$17,Condition!$D$17,IF(GU34&lt;=Condition!$F$18,Condition!$D$18,IF(GU34&gt;Condition!$E$19,Condition!$D$19,"")))))</f>
        <v>0</v>
      </c>
      <c r="GV77" s="85">
        <f>IF(GV34&lt;=Condition!$E$16,0,IF(GV34&lt;=Condition!$F$16,Condition!$D$16,IF(GV34&lt;=Condition!$F$17,Condition!$D$17,IF(GV34&lt;=Condition!$F$18,Condition!$D$18,IF(GV34&gt;Condition!$E$19,Condition!$D$19,"")))))</f>
        <v>0</v>
      </c>
      <c r="GW77" s="85">
        <f>IF(GW34&lt;=Condition!$E$16,0,IF(GW34&lt;=Condition!$F$16,Condition!$D$16,IF(GW34&lt;=Condition!$F$17,Condition!$D$17,IF(GW34&lt;=Condition!$F$18,Condition!$D$18,IF(GW34&gt;Condition!$E$19,Condition!$D$19,"")))))</f>
        <v>0</v>
      </c>
      <c r="GX77" s="85">
        <f>IF(GX34&lt;=Condition!$E$16,0,IF(GX34&lt;=Condition!$F$16,Condition!$D$16,IF(GX34&lt;=Condition!$F$17,Condition!$D$17,IF(GX34&lt;=Condition!$F$18,Condition!$D$18,IF(GX34&gt;Condition!$E$19,Condition!$D$19,"")))))</f>
        <v>0</v>
      </c>
      <c r="GY77" s="85">
        <f>IF(GY34&lt;=Condition!$E$16,0,IF(GY34&lt;=Condition!$F$16,Condition!$D$16,IF(GY34&lt;=Condition!$F$17,Condition!$D$17,IF(GY34&lt;=Condition!$F$18,Condition!$D$18,IF(GY34&gt;Condition!$E$19,Condition!$D$19,"")))))</f>
        <v>0</v>
      </c>
      <c r="GZ77" s="85">
        <f>IF(GZ34&lt;=Condition!$E$16,0,IF(GZ34&lt;=Condition!$F$16,Condition!$D$16,IF(GZ34&lt;=Condition!$F$17,Condition!$D$17,IF(GZ34&lt;=Condition!$F$18,Condition!$D$18,IF(GZ34&gt;Condition!$E$19,Condition!$D$19,"")))))</f>
        <v>0</v>
      </c>
      <c r="HA77" s="85">
        <f>IF(HA34&lt;=Condition!$E$16,0,IF(HA34&lt;=Condition!$F$16,Condition!$D$16,IF(HA34&lt;=Condition!$F$17,Condition!$D$17,IF(HA34&lt;=Condition!$F$18,Condition!$D$18,IF(HA34&gt;Condition!$E$19,Condition!$D$19,"")))))</f>
        <v>0</v>
      </c>
      <c r="HB77" s="85">
        <f>IF(HB34&lt;=Condition!$E$16,0,IF(HB34&lt;=Condition!$F$16,Condition!$D$16,IF(HB34&lt;=Condition!$F$17,Condition!$D$17,IF(HB34&lt;=Condition!$F$18,Condition!$D$18,IF(HB34&gt;Condition!$E$19,Condition!$D$19,"")))))</f>
        <v>0</v>
      </c>
      <c r="HC77" s="85">
        <f>IF(HC34&lt;=Condition!$E$16,0,IF(HC34&lt;=Condition!$F$16,Condition!$D$16,IF(HC34&lt;=Condition!$F$17,Condition!$D$17,IF(HC34&lt;=Condition!$F$18,Condition!$D$18,IF(HC34&gt;Condition!$E$19,Condition!$D$19,"")))))</f>
        <v>0</v>
      </c>
      <c r="HD77" s="85">
        <f>IF(HD34&lt;=Condition!$E$16,0,IF(HD34&lt;=Condition!$F$16,Condition!$D$16,IF(HD34&lt;=Condition!$F$17,Condition!$D$17,IF(HD34&lt;=Condition!$F$18,Condition!$D$18,IF(HD34&gt;Condition!$E$19,Condition!$D$19,"")))))</f>
        <v>0</v>
      </c>
      <c r="HE77" s="85">
        <f>IF(HE34&lt;=Condition!$E$16,0,IF(HE34&lt;=Condition!$F$16,Condition!$D$16,IF(HE34&lt;=Condition!$F$17,Condition!$D$17,IF(HE34&lt;=Condition!$F$18,Condition!$D$18,IF(HE34&gt;Condition!$E$19,Condition!$D$19,"")))))</f>
        <v>0</v>
      </c>
      <c r="HF77" s="85">
        <f>IF(HF34&lt;=Condition!$E$16,0,IF(HF34&lt;=Condition!$F$16,Condition!$D$16,IF(HF34&lt;=Condition!$F$17,Condition!$D$17,IF(HF34&lt;=Condition!$F$18,Condition!$D$18,IF(HF34&gt;Condition!$E$19,Condition!$D$19,"")))))</f>
        <v>0</v>
      </c>
      <c r="HG77" s="85">
        <f>IF(HG34&lt;=Condition!$E$16,0,IF(HG34&lt;=Condition!$F$16,Condition!$D$16,IF(HG34&lt;=Condition!$F$17,Condition!$D$17,IF(HG34&lt;=Condition!$F$18,Condition!$D$18,IF(HG34&gt;Condition!$E$19,Condition!$D$19,"")))))</f>
        <v>0</v>
      </c>
      <c r="HH77" s="85">
        <f>IF(HH34&lt;=Condition!$E$16,0,IF(HH34&lt;=Condition!$F$16,Condition!$D$16,IF(HH34&lt;=Condition!$F$17,Condition!$D$17,IF(HH34&lt;=Condition!$F$18,Condition!$D$18,IF(HH34&gt;Condition!$E$19,Condition!$D$19,"")))))</f>
        <v>0</v>
      </c>
      <c r="HI77" s="85">
        <f>IF(HI34&lt;=Condition!$E$16,0,IF(HI34&lt;=Condition!$F$16,Condition!$D$16,IF(HI34&lt;=Condition!$F$17,Condition!$D$17,IF(HI34&lt;=Condition!$F$18,Condition!$D$18,IF(HI34&gt;Condition!$E$19,Condition!$D$19,"")))))</f>
        <v>0</v>
      </c>
      <c r="HJ77" s="85">
        <f>IF(HJ34&lt;=Condition!$E$16,0,IF(HJ34&lt;=Condition!$F$16,Condition!$D$16,IF(HJ34&lt;=Condition!$F$17,Condition!$D$17,IF(HJ34&lt;=Condition!$F$18,Condition!$D$18,IF(HJ34&gt;Condition!$E$19,Condition!$D$19,"")))))</f>
        <v>0</v>
      </c>
      <c r="HK77" s="85">
        <f>IF(HK34&lt;=Condition!$E$16,0,IF(HK34&lt;=Condition!$F$16,Condition!$D$16,IF(HK34&lt;=Condition!$F$17,Condition!$D$17,IF(HK34&lt;=Condition!$F$18,Condition!$D$18,IF(HK34&gt;Condition!$E$19,Condition!$D$19,"")))))</f>
        <v>0</v>
      </c>
      <c r="HL77" s="85">
        <f>IF(HL34&lt;=Condition!$E$16,0,IF(HL34&lt;=Condition!$F$16,Condition!$D$16,IF(HL34&lt;=Condition!$F$17,Condition!$D$17,IF(HL34&lt;=Condition!$F$18,Condition!$D$18,IF(HL34&gt;Condition!$E$19,Condition!$D$19,"")))))</f>
        <v>0</v>
      </c>
      <c r="HM77" s="85">
        <f>IF(HM34&lt;=Condition!$E$16,0,IF(HM34&lt;=Condition!$F$16,Condition!$D$16,IF(HM34&lt;=Condition!$F$17,Condition!$D$17,IF(HM34&lt;=Condition!$F$18,Condition!$D$18,IF(HM34&gt;Condition!$E$19,Condition!$D$19,"")))))</f>
        <v>0</v>
      </c>
      <c r="HN77" s="85">
        <f>IF(HN34&lt;=Condition!$E$16,0,IF(HN34&lt;=Condition!$F$16,Condition!$D$16,IF(HN34&lt;=Condition!$F$17,Condition!$D$17,IF(HN34&lt;=Condition!$F$18,Condition!$D$18,IF(HN34&gt;Condition!$E$19,Condition!$D$19,"")))))</f>
        <v>0</v>
      </c>
      <c r="HO77" s="85">
        <f>IF(HO34&lt;=Condition!$E$16,0,IF(HO34&lt;=Condition!$F$16,Condition!$D$16,IF(HO34&lt;=Condition!$F$17,Condition!$D$17,IF(HO34&lt;=Condition!$F$18,Condition!$D$18,IF(HO34&gt;Condition!$E$19,Condition!$D$19,"")))))</f>
        <v>0</v>
      </c>
      <c r="HP77" s="85">
        <f>IF(HP34&lt;=Condition!$E$16,0,IF(HP34&lt;=Condition!$F$16,Condition!$D$16,IF(HP34&lt;=Condition!$F$17,Condition!$D$17,IF(HP34&lt;=Condition!$F$18,Condition!$D$18,IF(HP34&gt;Condition!$E$19,Condition!$D$19,"")))))</f>
        <v>0</v>
      </c>
      <c r="HQ77" s="85">
        <f>IF(HQ34&lt;=Condition!$E$16,0,IF(HQ34&lt;=Condition!$F$16,Condition!$D$16,IF(HQ34&lt;=Condition!$F$17,Condition!$D$17,IF(HQ34&lt;=Condition!$F$18,Condition!$D$18,IF(HQ34&gt;Condition!$E$19,Condition!$D$19,"")))))</f>
        <v>0</v>
      </c>
      <c r="HR77" s="85">
        <f>IF(HR34&lt;=Condition!$E$16,0,IF(HR34&lt;=Condition!$F$16,Condition!$D$16,IF(HR34&lt;=Condition!$F$17,Condition!$D$17,IF(HR34&lt;=Condition!$F$18,Condition!$D$18,IF(HR34&gt;Condition!$E$19,Condition!$D$19,"")))))</f>
        <v>0</v>
      </c>
      <c r="HS77" s="85">
        <f>IF(HS34&lt;=Condition!$E$16,0,IF(HS34&lt;=Condition!$F$16,Condition!$D$16,IF(HS34&lt;=Condition!$F$17,Condition!$D$17,IF(HS34&lt;=Condition!$F$18,Condition!$D$18,IF(HS34&gt;Condition!$E$19,Condition!$D$19,"")))))</f>
        <v>0</v>
      </c>
      <c r="HT77" s="85">
        <f>IF(HT34&lt;=Condition!$E$16,0,IF(HT34&lt;=Condition!$F$16,Condition!$D$16,IF(HT34&lt;=Condition!$F$17,Condition!$D$17,IF(HT34&lt;=Condition!$F$18,Condition!$D$18,IF(HT34&gt;Condition!$E$19,Condition!$D$19,"")))))</f>
        <v>0</v>
      </c>
      <c r="HU77" s="85">
        <f>IF(HU34&lt;=Condition!$E$16,0,IF(HU34&lt;=Condition!$F$16,Condition!$D$16,IF(HU34&lt;=Condition!$F$17,Condition!$D$17,IF(HU34&lt;=Condition!$F$18,Condition!$D$18,IF(HU34&gt;Condition!$E$19,Condition!$D$19,"")))))</f>
        <v>0</v>
      </c>
      <c r="HV77" s="85">
        <f>IF(HV34&lt;=Condition!$E$16,0,IF(HV34&lt;=Condition!$F$16,Condition!$D$16,IF(HV34&lt;=Condition!$F$17,Condition!$D$17,IF(HV34&lt;=Condition!$F$18,Condition!$D$18,IF(HV34&gt;Condition!$E$19,Condition!$D$19,"")))))</f>
        <v>0</v>
      </c>
      <c r="HW77" s="85">
        <f>IF(HW34&lt;=Condition!$E$16,0,IF(HW34&lt;=Condition!$F$16,Condition!$D$16,IF(HW34&lt;=Condition!$F$17,Condition!$D$17,IF(HW34&lt;=Condition!$F$18,Condition!$D$18,IF(HW34&gt;Condition!$E$19,Condition!$D$19,"")))))</f>
        <v>0</v>
      </c>
      <c r="HX77" s="85">
        <f>IF(HX34&lt;=Condition!$E$16,0,IF(HX34&lt;=Condition!$F$16,Condition!$D$16,IF(HX34&lt;=Condition!$F$17,Condition!$D$17,IF(HX34&lt;=Condition!$F$18,Condition!$D$18,IF(HX34&gt;Condition!$E$19,Condition!$D$19,"")))))</f>
        <v>0</v>
      </c>
      <c r="HY77" s="85">
        <f>IF(HY34&lt;=Condition!$E$16,0,IF(HY34&lt;=Condition!$F$16,Condition!$D$16,IF(HY34&lt;=Condition!$F$17,Condition!$D$17,IF(HY34&lt;=Condition!$F$18,Condition!$D$18,IF(HY34&gt;Condition!$E$19,Condition!$D$19,"")))))</f>
        <v>0</v>
      </c>
      <c r="HZ77" s="85">
        <f>IF(HZ34&lt;=Condition!$E$16,0,IF(HZ34&lt;=Condition!$F$16,Condition!$D$16,IF(HZ34&lt;=Condition!$F$17,Condition!$D$17,IF(HZ34&lt;=Condition!$F$18,Condition!$D$18,IF(HZ34&gt;Condition!$E$19,Condition!$D$19,"")))))</f>
        <v>0</v>
      </c>
      <c r="IA77" s="85">
        <f>IF(IA34&lt;=Condition!$E$16,0,IF(IA34&lt;=Condition!$F$16,Condition!$D$16,IF(IA34&lt;=Condition!$F$17,Condition!$D$17,IF(IA34&lt;=Condition!$F$18,Condition!$D$18,IF(IA34&gt;Condition!$E$19,Condition!$D$19,"")))))</f>
        <v>0</v>
      </c>
      <c r="IB77" s="85">
        <f>IF(IB34&lt;=Condition!$E$16,0,IF(IB34&lt;=Condition!$F$16,Condition!$D$16,IF(IB34&lt;=Condition!$F$17,Condition!$D$17,IF(IB34&lt;=Condition!$F$18,Condition!$D$18,IF(IB34&gt;Condition!$E$19,Condition!$D$19,"")))))</f>
        <v>0</v>
      </c>
      <c r="IC77" s="85">
        <f>IF(IC34&lt;=Condition!$E$16,0,IF(IC34&lt;=Condition!$F$16,Condition!$D$16,IF(IC34&lt;=Condition!$F$17,Condition!$D$17,IF(IC34&lt;=Condition!$F$18,Condition!$D$18,IF(IC34&gt;Condition!$E$19,Condition!$D$19,"")))))</f>
        <v>0</v>
      </c>
      <c r="ID77" s="85">
        <f>IF(ID34&lt;=Condition!$E$16,0,IF(ID34&lt;=Condition!$F$16,Condition!$D$16,IF(ID34&lt;=Condition!$F$17,Condition!$D$17,IF(ID34&lt;=Condition!$F$18,Condition!$D$18,IF(ID34&gt;Condition!$E$19,Condition!$D$19,"")))))</f>
        <v>0</v>
      </c>
      <c r="IE77" s="85">
        <f>IF(IE34&lt;=Condition!$E$16,0,IF(IE34&lt;=Condition!$F$16,Condition!$D$16,IF(IE34&lt;=Condition!$F$17,Condition!$D$17,IF(IE34&lt;=Condition!$F$18,Condition!$D$18,IF(IE34&gt;Condition!$E$19,Condition!$D$19,"")))))</f>
        <v>0</v>
      </c>
      <c r="IF77" s="85">
        <f>IF(IF34&lt;=Condition!$E$16,0,IF(IF34&lt;=Condition!$F$16,Condition!$D$16,IF(IF34&lt;=Condition!$F$17,Condition!$D$17,IF(IF34&lt;=Condition!$F$18,Condition!$D$18,IF(IF34&gt;Condition!$E$19,Condition!$D$19,"")))))</f>
        <v>0</v>
      </c>
      <c r="IG77" s="85">
        <f>IF(IG34&lt;=Condition!$E$16,0,IF(IG34&lt;=Condition!$F$16,Condition!$D$16,IF(IG34&lt;=Condition!$F$17,Condition!$D$17,IF(IG34&lt;=Condition!$F$18,Condition!$D$18,IF(IG34&gt;Condition!$E$19,Condition!$D$19,"")))))</f>
        <v>0</v>
      </c>
      <c r="IH77" s="85">
        <f>IF(IH34&lt;=Condition!$E$16,0,IF(IH34&lt;=Condition!$F$16,Condition!$D$16,IF(IH34&lt;=Condition!$F$17,Condition!$D$17,IF(IH34&lt;=Condition!$F$18,Condition!$D$18,IF(IH34&gt;Condition!$E$19,Condition!$D$19,"")))))</f>
        <v>0</v>
      </c>
      <c r="II77" s="85">
        <f>IF(II34&lt;=Condition!$E$16,0,IF(II34&lt;=Condition!$F$16,Condition!$D$16,IF(II34&lt;=Condition!$F$17,Condition!$D$17,IF(II34&lt;=Condition!$F$18,Condition!$D$18,IF(II34&gt;Condition!$E$19,Condition!$D$19,"")))))</f>
        <v>0</v>
      </c>
      <c r="IJ77" s="85">
        <f>IF(IJ34&lt;=Condition!$E$16,0,IF(IJ34&lt;=Condition!$F$16,Condition!$D$16,IF(IJ34&lt;=Condition!$F$17,Condition!$D$17,IF(IJ34&lt;=Condition!$F$18,Condition!$D$18,IF(IJ34&gt;Condition!$E$19,Condition!$D$19,"")))))</f>
        <v>0</v>
      </c>
      <c r="IK77" s="85">
        <f>IF(IK34&lt;=Condition!$E$16,0,IF(IK34&lt;=Condition!$F$16,Condition!$D$16,IF(IK34&lt;=Condition!$F$17,Condition!$D$17,IF(IK34&lt;=Condition!$F$18,Condition!$D$18,IF(IK34&gt;Condition!$E$19,Condition!$D$19,"")))))</f>
        <v>0</v>
      </c>
      <c r="IL77" s="85">
        <f>IF(IL34&lt;=Condition!$E$16,0,IF(IL34&lt;=Condition!$F$16,Condition!$D$16,IF(IL34&lt;=Condition!$F$17,Condition!$D$17,IF(IL34&lt;=Condition!$F$18,Condition!$D$18,IF(IL34&gt;Condition!$E$19,Condition!$D$19,"")))))</f>
        <v>0</v>
      </c>
      <c r="IM77" s="85">
        <f>IF(IM34&lt;=Condition!$E$16,0,IF(IM34&lt;=Condition!$F$16,Condition!$D$16,IF(IM34&lt;=Condition!$F$17,Condition!$D$17,IF(IM34&lt;=Condition!$F$18,Condition!$D$18,IF(IM34&gt;Condition!$E$19,Condition!$D$19,"")))))</f>
        <v>0</v>
      </c>
      <c r="IN77" s="85">
        <f>IF(IN34&lt;=Condition!$E$16,0,IF(IN34&lt;=Condition!$F$16,Condition!$D$16,IF(IN34&lt;=Condition!$F$17,Condition!$D$17,IF(IN34&lt;=Condition!$F$18,Condition!$D$18,IF(IN34&gt;Condition!$E$19,Condition!$D$19,"")))))</f>
        <v>0</v>
      </c>
      <c r="IO77" s="85">
        <f>IF(IO34&lt;=Condition!$E$16,0,IF(IO34&lt;=Condition!$F$16,Condition!$D$16,IF(IO34&lt;=Condition!$F$17,Condition!$D$17,IF(IO34&lt;=Condition!$F$18,Condition!$D$18,IF(IO34&gt;Condition!$E$19,Condition!$D$19,"")))))</f>
        <v>0</v>
      </c>
      <c r="IP77" s="85">
        <f>IF(IP34&lt;=Condition!$E$16,0,IF(IP34&lt;=Condition!$F$16,Condition!$D$16,IF(IP34&lt;=Condition!$F$17,Condition!$D$17,IF(IP34&lt;=Condition!$F$18,Condition!$D$18,IF(IP34&gt;Condition!$E$19,Condition!$D$19,"")))))</f>
        <v>0</v>
      </c>
      <c r="IQ77" s="85">
        <f>IF(IQ34&lt;=Condition!$E$16,0,IF(IQ34&lt;=Condition!$F$16,Condition!$D$16,IF(IQ34&lt;=Condition!$F$17,Condition!$D$17,IF(IQ34&lt;=Condition!$F$18,Condition!$D$18,IF(IQ34&gt;Condition!$E$19,Condition!$D$19,"")))))</f>
        <v>0</v>
      </c>
      <c r="IR77" s="85">
        <f>IF(IR34&lt;=Condition!$E$16,0,IF(IR34&lt;=Condition!$F$16,Condition!$D$16,IF(IR34&lt;=Condition!$F$17,Condition!$D$17,IF(IR34&lt;=Condition!$F$18,Condition!$D$18,IF(IR34&gt;Condition!$E$19,Condition!$D$19,"")))))</f>
        <v>0</v>
      </c>
      <c r="IS77" s="85">
        <f>IF(IS34&lt;=Condition!$E$16,0,IF(IS34&lt;=Condition!$F$16,Condition!$D$16,IF(IS34&lt;=Condition!$F$17,Condition!$D$17,IF(IS34&lt;=Condition!$F$18,Condition!$D$18,IF(IS34&gt;Condition!$E$19,Condition!$D$19,"")))))</f>
        <v>0</v>
      </c>
      <c r="IT77" s="85">
        <f>IF(IT34&lt;=Condition!$E$16,0,IF(IT34&lt;=Condition!$F$16,Condition!$D$16,IF(IT34&lt;=Condition!$F$17,Condition!$D$17,IF(IT34&lt;=Condition!$F$18,Condition!$D$18,IF(IT34&gt;Condition!$E$19,Condition!$D$19,"")))))</f>
        <v>0</v>
      </c>
      <c r="IU77" s="85">
        <f>IF(IU34&lt;=Condition!$E$16,0,IF(IU34&lt;=Condition!$F$16,Condition!$D$16,IF(IU34&lt;=Condition!$F$17,Condition!$D$17,IF(IU34&lt;=Condition!$F$18,Condition!$D$18,IF(IU34&gt;Condition!$E$19,Condition!$D$19,"")))))</f>
        <v>0</v>
      </c>
      <c r="IV77" s="85">
        <f>IF(IV34&lt;=Condition!$E$16,0,IF(IV34&lt;=Condition!$F$16,Condition!$D$16,IF(IV34&lt;=Condition!$F$17,Condition!$D$17,IF(IV34&lt;=Condition!$F$18,Condition!$D$18,IF(IV34&gt;Condition!$E$19,Condition!$D$19,"")))))</f>
        <v>0</v>
      </c>
      <c r="IW77" s="85">
        <f>IF(IW34&lt;=Condition!$E$16,0,IF(IW34&lt;=Condition!$F$16,Condition!$D$16,IF(IW34&lt;=Condition!$F$17,Condition!$D$17,IF(IW34&lt;=Condition!$F$18,Condition!$D$18,IF(IW34&gt;Condition!$E$19,Condition!$D$19,"")))))</f>
        <v>0</v>
      </c>
      <c r="IX77" s="85">
        <f>IF(IX34&lt;=Condition!$E$16,0,IF(IX34&lt;=Condition!$F$16,Condition!$D$16,IF(IX34&lt;=Condition!$F$17,Condition!$D$17,IF(IX34&lt;=Condition!$F$18,Condition!$D$18,IF(IX34&gt;Condition!$E$19,Condition!$D$19,"")))))</f>
        <v>0</v>
      </c>
      <c r="IY77" s="85">
        <f>IF(IY34&lt;=Condition!$E$16,0,IF(IY34&lt;=Condition!$F$16,Condition!$D$16,IF(IY34&lt;=Condition!$F$17,Condition!$D$17,IF(IY34&lt;=Condition!$F$18,Condition!$D$18,IF(IY34&gt;Condition!$E$19,Condition!$D$19,"")))))</f>
        <v>0</v>
      </c>
      <c r="IZ77" s="85">
        <f>IF(IZ34&lt;=Condition!$E$16,0,IF(IZ34&lt;=Condition!$F$16,Condition!$D$16,IF(IZ34&lt;=Condition!$F$17,Condition!$D$17,IF(IZ34&lt;=Condition!$F$18,Condition!$D$18,IF(IZ34&gt;Condition!$E$19,Condition!$D$19,"")))))</f>
        <v>0</v>
      </c>
      <c r="JA77" s="85">
        <f>IF(JA34&lt;=Condition!$E$16,0,IF(JA34&lt;=Condition!$F$16,Condition!$D$16,IF(JA34&lt;=Condition!$F$17,Condition!$D$17,IF(JA34&lt;=Condition!$F$18,Condition!$D$18,IF(JA34&gt;Condition!$E$19,Condition!$D$19,"")))))</f>
        <v>0</v>
      </c>
      <c r="JB77" s="85">
        <f>IF(JB34&lt;=Condition!$E$16,0,IF(JB34&lt;=Condition!$F$16,Condition!$D$16,IF(JB34&lt;=Condition!$F$17,Condition!$D$17,IF(JB34&lt;=Condition!$F$18,Condition!$D$18,IF(JB34&gt;Condition!$E$19,Condition!$D$19,"")))))</f>
        <v>0</v>
      </c>
      <c r="JC77" s="85">
        <f>IF(JC34&lt;=Condition!$E$16,0,IF(JC34&lt;=Condition!$F$16,Condition!$D$16,IF(JC34&lt;=Condition!$F$17,Condition!$D$17,IF(JC34&lt;=Condition!$F$18,Condition!$D$18,IF(JC34&gt;Condition!$E$19,Condition!$D$19,"")))))</f>
        <v>0</v>
      </c>
      <c r="JD77" s="85">
        <f>IF(JD34&lt;=Condition!$E$16,0,IF(JD34&lt;=Condition!$F$16,Condition!$D$16,IF(JD34&lt;=Condition!$F$17,Condition!$D$17,IF(JD34&lt;=Condition!$F$18,Condition!$D$18,IF(JD34&gt;Condition!$E$19,Condition!$D$19,"")))))</f>
        <v>0</v>
      </c>
      <c r="JE77" s="85">
        <f>IF(JE34&lt;=Condition!$E$16,0,IF(JE34&lt;=Condition!$F$16,Condition!$D$16,IF(JE34&lt;=Condition!$F$17,Condition!$D$17,IF(JE34&lt;=Condition!$F$18,Condition!$D$18,IF(JE34&gt;Condition!$E$19,Condition!$D$19,"")))))</f>
        <v>0</v>
      </c>
      <c r="JF77" s="85">
        <f>IF(JF34&lt;=Condition!$E$16,0,IF(JF34&lt;=Condition!$F$16,Condition!$D$16,IF(JF34&lt;=Condition!$F$17,Condition!$D$17,IF(JF34&lt;=Condition!$F$18,Condition!$D$18,IF(JF34&gt;Condition!$E$19,Condition!$D$19,"")))))</f>
        <v>0</v>
      </c>
      <c r="JG77" s="85">
        <f>IF(JG34&lt;=Condition!$E$16,0,IF(JG34&lt;=Condition!$F$16,Condition!$D$16,IF(JG34&lt;=Condition!$F$17,Condition!$D$17,IF(JG34&lt;=Condition!$F$18,Condition!$D$18,IF(JG34&gt;Condition!$E$19,Condition!$D$19,"")))))</f>
        <v>0</v>
      </c>
      <c r="JH77" s="85">
        <f>IF(JH34&lt;=Condition!$E$16,0,IF(JH34&lt;=Condition!$F$16,Condition!$D$16,IF(JH34&lt;=Condition!$F$17,Condition!$D$17,IF(JH34&lt;=Condition!$F$18,Condition!$D$18,IF(JH34&gt;Condition!$E$19,Condition!$D$19,"")))))</f>
        <v>0</v>
      </c>
      <c r="JI77" s="85">
        <f>IF(JI34&lt;=Condition!$E$16,0,IF(JI34&lt;=Condition!$F$16,Condition!$D$16,IF(JI34&lt;=Condition!$F$17,Condition!$D$17,IF(JI34&lt;=Condition!$F$18,Condition!$D$18,IF(JI34&gt;Condition!$E$19,Condition!$D$19,"")))))</f>
        <v>0</v>
      </c>
      <c r="JJ77" s="85">
        <f>IF(JJ34&lt;=Condition!$E$16,0,IF(JJ34&lt;=Condition!$F$16,Condition!$D$16,IF(JJ34&lt;=Condition!$F$17,Condition!$D$17,IF(JJ34&lt;=Condition!$F$18,Condition!$D$18,IF(JJ34&gt;Condition!$E$19,Condition!$D$19,"")))))</f>
        <v>0</v>
      </c>
      <c r="JK77" s="85">
        <f>IF(JK34&lt;=Condition!$E$16,0,IF(JK34&lt;=Condition!$F$16,Condition!$D$16,IF(JK34&lt;=Condition!$F$17,Condition!$D$17,IF(JK34&lt;=Condition!$F$18,Condition!$D$18,IF(JK34&gt;Condition!$E$19,Condition!$D$19,"")))))</f>
        <v>0</v>
      </c>
      <c r="JL77" s="85">
        <f>IF(JL34&lt;=Condition!$E$16,0,IF(JL34&lt;=Condition!$F$16,Condition!$D$16,IF(JL34&lt;=Condition!$F$17,Condition!$D$17,IF(JL34&lt;=Condition!$F$18,Condition!$D$18,IF(JL34&gt;Condition!$E$19,Condition!$D$19,"")))))</f>
        <v>0</v>
      </c>
      <c r="JM77" s="85">
        <f>IF(JM34&lt;=Condition!$E$16,0,IF(JM34&lt;=Condition!$F$16,Condition!$D$16,IF(JM34&lt;=Condition!$F$17,Condition!$D$17,IF(JM34&lt;=Condition!$F$18,Condition!$D$18,IF(JM34&gt;Condition!$E$19,Condition!$D$19,"")))))</f>
        <v>0</v>
      </c>
      <c r="JN77" s="85">
        <f>IF(JN34&lt;=Condition!$E$16,0,IF(JN34&lt;=Condition!$F$16,Condition!$D$16,IF(JN34&lt;=Condition!$F$17,Condition!$D$17,IF(JN34&lt;=Condition!$F$18,Condition!$D$18,IF(JN34&gt;Condition!$E$19,Condition!$D$19,"")))))</f>
        <v>0</v>
      </c>
      <c r="JO77" s="85">
        <f>IF(JO34&lt;=Condition!$E$16,0,IF(JO34&lt;=Condition!$F$16,Condition!$D$16,IF(JO34&lt;=Condition!$F$17,Condition!$D$17,IF(JO34&lt;=Condition!$F$18,Condition!$D$18,IF(JO34&gt;Condition!$E$19,Condition!$D$19,"")))))</f>
        <v>0</v>
      </c>
      <c r="JP77" s="85">
        <f>IF(JP34&lt;=Condition!$E$16,0,IF(JP34&lt;=Condition!$F$16,Condition!$D$16,IF(JP34&lt;=Condition!$F$17,Condition!$D$17,IF(JP34&lt;=Condition!$F$18,Condition!$D$18,IF(JP34&gt;Condition!$E$19,Condition!$D$19,"")))))</f>
        <v>0</v>
      </c>
      <c r="JQ77" s="85">
        <f>IF(JQ34&lt;=Condition!$E$16,0,IF(JQ34&lt;=Condition!$F$16,Condition!$D$16,IF(JQ34&lt;=Condition!$F$17,Condition!$D$17,IF(JQ34&lt;=Condition!$F$18,Condition!$D$18,IF(JQ34&gt;Condition!$E$19,Condition!$D$19,"")))))</f>
        <v>0</v>
      </c>
      <c r="JR77" s="85">
        <f>IF(JR34&lt;=Condition!$E$16,0,IF(JR34&lt;=Condition!$F$16,Condition!$D$16,IF(JR34&lt;=Condition!$F$17,Condition!$D$17,IF(JR34&lt;=Condition!$F$18,Condition!$D$18,IF(JR34&gt;Condition!$E$19,Condition!$D$19,"")))))</f>
        <v>0</v>
      </c>
      <c r="JS77" s="85">
        <f>IF(JS34&lt;=Condition!$E$16,0,IF(JS34&lt;=Condition!$F$16,Condition!$D$16,IF(JS34&lt;=Condition!$F$17,Condition!$D$17,IF(JS34&lt;=Condition!$F$18,Condition!$D$18,IF(JS34&gt;Condition!$E$19,Condition!$D$19,"")))))</f>
        <v>0</v>
      </c>
      <c r="JT77" s="85">
        <f>IF(JT34&lt;=Condition!$E$16,0,IF(JT34&lt;=Condition!$F$16,Condition!$D$16,IF(JT34&lt;=Condition!$F$17,Condition!$D$17,IF(JT34&lt;=Condition!$F$18,Condition!$D$18,IF(JT34&gt;Condition!$E$19,Condition!$D$19,"")))))</f>
        <v>0</v>
      </c>
      <c r="JU77" s="85">
        <f>IF(JU34&lt;=Condition!$E$16,0,IF(JU34&lt;=Condition!$F$16,Condition!$D$16,IF(JU34&lt;=Condition!$F$17,Condition!$D$17,IF(JU34&lt;=Condition!$F$18,Condition!$D$18,IF(JU34&gt;Condition!$E$19,Condition!$D$19,"")))))</f>
        <v>0</v>
      </c>
      <c r="JV77" s="85">
        <f>IF(JV34&lt;=Condition!$E$16,0,IF(JV34&lt;=Condition!$F$16,Condition!$D$16,IF(JV34&lt;=Condition!$F$17,Condition!$D$17,IF(JV34&lt;=Condition!$F$18,Condition!$D$18,IF(JV34&gt;Condition!$E$19,Condition!$D$19,"")))))</f>
        <v>0</v>
      </c>
      <c r="JW77" s="85">
        <f>IF(JW34&lt;=Condition!$E$16,0,IF(JW34&lt;=Condition!$F$16,Condition!$D$16,IF(JW34&lt;=Condition!$F$17,Condition!$D$17,IF(JW34&lt;=Condition!$F$18,Condition!$D$18,IF(JW34&gt;Condition!$E$19,Condition!$D$19,"")))))</f>
        <v>0</v>
      </c>
      <c r="JX77" s="85">
        <f>IF(JX34&lt;=Condition!$E$16,0,IF(JX34&lt;=Condition!$F$16,Condition!$D$16,IF(JX34&lt;=Condition!$F$17,Condition!$D$17,IF(JX34&lt;=Condition!$F$18,Condition!$D$18,IF(JX34&gt;Condition!$E$19,Condition!$D$19,"")))))</f>
        <v>0</v>
      </c>
      <c r="JY77" s="85">
        <f>IF(JY34&lt;=Condition!$E$16,0,IF(JY34&lt;=Condition!$F$16,Condition!$D$16,IF(JY34&lt;=Condition!$F$17,Condition!$D$17,IF(JY34&lt;=Condition!$F$18,Condition!$D$18,IF(JY34&gt;Condition!$E$19,Condition!$D$19,"")))))</f>
        <v>0</v>
      </c>
      <c r="JZ77" s="85">
        <f>IF(JZ34&lt;=Condition!$E$16,0,IF(JZ34&lt;=Condition!$F$16,Condition!$D$16,IF(JZ34&lt;=Condition!$F$17,Condition!$D$17,IF(JZ34&lt;=Condition!$F$18,Condition!$D$18,IF(JZ34&gt;Condition!$E$19,Condition!$D$19,"")))))</f>
        <v>0</v>
      </c>
      <c r="KA77" s="85">
        <f>IF(KA34&lt;=Condition!$E$16,0,IF(KA34&lt;=Condition!$F$16,Condition!$D$16,IF(KA34&lt;=Condition!$F$17,Condition!$D$17,IF(KA34&lt;=Condition!$F$18,Condition!$D$18,IF(KA34&gt;Condition!$E$19,Condition!$D$19,"")))))</f>
        <v>0</v>
      </c>
      <c r="KB77" s="85">
        <f>IF(KB34&lt;=Condition!$E$16,0,IF(KB34&lt;=Condition!$F$16,Condition!$D$16,IF(KB34&lt;=Condition!$F$17,Condition!$D$17,IF(KB34&lt;=Condition!$F$18,Condition!$D$18,IF(KB34&gt;Condition!$E$19,Condition!$D$19,"")))))</f>
        <v>0</v>
      </c>
      <c r="KC77" s="85">
        <f>IF(KC34&lt;=Condition!$E$16,0,IF(KC34&lt;=Condition!$F$16,Condition!$D$16,IF(KC34&lt;=Condition!$F$17,Condition!$D$17,IF(KC34&lt;=Condition!$F$18,Condition!$D$18,IF(KC34&gt;Condition!$E$19,Condition!$D$19,"")))))</f>
        <v>0</v>
      </c>
      <c r="KD77" s="85">
        <f>IF(KD34&lt;=Condition!$E$16,0,IF(KD34&lt;=Condition!$F$16,Condition!$D$16,IF(KD34&lt;=Condition!$F$17,Condition!$D$17,IF(KD34&lt;=Condition!$F$18,Condition!$D$18,IF(KD34&gt;Condition!$E$19,Condition!$D$19,"")))))</f>
        <v>0</v>
      </c>
      <c r="KE77" s="85">
        <f>IF(KE34&lt;=Condition!$E$16,0,IF(KE34&lt;=Condition!$F$16,Condition!$D$16,IF(KE34&lt;=Condition!$F$17,Condition!$D$17,IF(KE34&lt;=Condition!$F$18,Condition!$D$18,IF(KE34&gt;Condition!$E$19,Condition!$D$19,"")))))</f>
        <v>0</v>
      </c>
      <c r="KF77" s="85">
        <f>IF(KF34&lt;=Condition!$E$16,0,IF(KF34&lt;=Condition!$F$16,Condition!$D$16,IF(KF34&lt;=Condition!$F$17,Condition!$D$17,IF(KF34&lt;=Condition!$F$18,Condition!$D$18,IF(KF34&gt;Condition!$E$19,Condition!$D$19,"")))))</f>
        <v>0</v>
      </c>
      <c r="KG77" s="85">
        <f>IF(KG34&lt;=Condition!$E$16,0,IF(KG34&lt;=Condition!$F$16,Condition!$D$16,IF(KG34&lt;=Condition!$F$17,Condition!$D$17,IF(KG34&lt;=Condition!$F$18,Condition!$D$18,IF(KG34&gt;Condition!$E$19,Condition!$D$19,"")))))</f>
        <v>0</v>
      </c>
      <c r="KH77" s="85">
        <f>IF(KH34&lt;=Condition!$E$16,0,IF(KH34&lt;=Condition!$F$16,Condition!$D$16,IF(KH34&lt;=Condition!$F$17,Condition!$D$17,IF(KH34&lt;=Condition!$F$18,Condition!$D$18,IF(KH34&gt;Condition!$E$19,Condition!$D$19,"")))))</f>
        <v>0</v>
      </c>
      <c r="KI77" s="85">
        <f>IF(KI34&lt;=Condition!$E$16,0,IF(KI34&lt;=Condition!$F$16,Condition!$D$16,IF(KI34&lt;=Condition!$F$17,Condition!$D$17,IF(KI34&lt;=Condition!$F$18,Condition!$D$18,IF(KI34&gt;Condition!$E$19,Condition!$D$19,"")))))</f>
        <v>0</v>
      </c>
    </row>
    <row r="78" spans="2:295" x14ac:dyDescent="0.25">
      <c r="B78" s="15">
        <f t="shared" ref="B78:E78" si="33">B35</f>
        <v>0</v>
      </c>
      <c r="C78" s="25">
        <f t="shared" si="33"/>
        <v>0</v>
      </c>
      <c r="D78" s="25">
        <f t="shared" si="33"/>
        <v>0</v>
      </c>
      <c r="E78" s="26">
        <f t="shared" si="33"/>
        <v>0</v>
      </c>
      <c r="F78" s="112">
        <f t="shared" si="4"/>
        <v>0</v>
      </c>
      <c r="G78" s="112">
        <f t="shared" si="5"/>
        <v>0</v>
      </c>
      <c r="H78" s="85">
        <f>IF(H35&lt;=Condition!$E$16,0,IF(H35&lt;=Condition!$F$16,Condition!$D$16,IF(H35&lt;=Condition!$F$17,Condition!$D$17,IF(H35&lt;=Condition!$F$18,Condition!$D$18,IF(H35&gt;Condition!$E$19,Condition!$D$19,"")))))</f>
        <v>0</v>
      </c>
      <c r="I78" s="85">
        <f>IF(I35&lt;=Condition!$E$16,0,IF(I35&lt;=Condition!$F$16,Condition!$D$16,IF(I35&lt;=Condition!$F$17,Condition!$D$17,IF(I35&lt;=Condition!$F$18,Condition!$D$18,IF(I35&gt;Condition!$E$19,Condition!$D$19,"")))))</f>
        <v>0</v>
      </c>
      <c r="J78" s="85">
        <f>IF(J35&lt;=Condition!$E$16,0,IF(J35&lt;=Condition!$F$16,Condition!$D$16,IF(J35&lt;=Condition!$F$17,Condition!$D$17,IF(J35&lt;=Condition!$F$18,Condition!$D$18,IF(J35&gt;Condition!$E$19,Condition!$D$19,"")))))</f>
        <v>0</v>
      </c>
      <c r="K78" s="85">
        <f>IF(K35&lt;=Condition!$E$16,0,IF(K35&lt;=Condition!$F$16,Condition!$D$16,IF(K35&lt;=Condition!$F$17,Condition!$D$17,IF(K35&lt;=Condition!$F$18,Condition!$D$18,IF(K35&gt;Condition!$E$19,Condition!$D$19,"")))))</f>
        <v>0</v>
      </c>
      <c r="L78" s="85">
        <f>IF(L35&lt;=Condition!$E$16,0,IF(L35&lt;=Condition!$F$16,Condition!$D$16,IF(L35&lt;=Condition!$F$17,Condition!$D$17,IF(L35&lt;=Condition!$F$18,Condition!$D$18,IF(L35&gt;Condition!$E$19,Condition!$D$19,"")))))</f>
        <v>0</v>
      </c>
      <c r="M78" s="85">
        <f>IF(M35&lt;=Condition!$E$16,0,IF(M35&lt;=Condition!$F$16,Condition!$D$16,IF(M35&lt;=Condition!$F$17,Condition!$D$17,IF(M35&lt;=Condition!$F$18,Condition!$D$18,IF(M35&gt;Condition!$E$19,Condition!$D$19,"")))))</f>
        <v>0</v>
      </c>
      <c r="N78" s="85">
        <f>IF(N35&lt;=Condition!$E$16,0,IF(N35&lt;=Condition!$F$16,Condition!$D$16,IF(N35&lt;=Condition!$F$17,Condition!$D$17,IF(N35&lt;=Condition!$F$18,Condition!$D$18,IF(N35&gt;Condition!$E$19,Condition!$D$19,"")))))</f>
        <v>0</v>
      </c>
      <c r="O78" s="85">
        <f>IF(O35&lt;=Condition!$E$16,0,IF(O35&lt;=Condition!$F$16,Condition!$D$16,IF(O35&lt;=Condition!$F$17,Condition!$D$17,IF(O35&lt;=Condition!$F$18,Condition!$D$18,IF(O35&gt;Condition!$E$19,Condition!$D$19,"")))))</f>
        <v>0</v>
      </c>
      <c r="P78" s="85">
        <f>IF(P35&lt;=Condition!$E$16,0,IF(P35&lt;=Condition!$F$16,Condition!$D$16,IF(P35&lt;=Condition!$F$17,Condition!$D$17,IF(P35&lt;=Condition!$F$18,Condition!$D$18,IF(P35&gt;Condition!$E$19,Condition!$D$19,"")))))</f>
        <v>0</v>
      </c>
      <c r="Q78" s="85">
        <f>IF(Q35&lt;=Condition!$E$16,0,IF(Q35&lt;=Condition!$F$16,Condition!$D$16,IF(Q35&lt;=Condition!$F$17,Condition!$D$17,IF(Q35&lt;=Condition!$F$18,Condition!$D$18,IF(Q35&gt;Condition!$E$19,Condition!$D$19,"")))))</f>
        <v>0</v>
      </c>
      <c r="R78" s="85">
        <f>IF(R35&lt;=Condition!$E$16,0,IF(R35&lt;=Condition!$F$16,Condition!$D$16,IF(R35&lt;=Condition!$F$17,Condition!$D$17,IF(R35&lt;=Condition!$F$18,Condition!$D$18,IF(R35&gt;Condition!$E$19,Condition!$D$19,"")))))</f>
        <v>0</v>
      </c>
      <c r="S78" s="85">
        <f>IF(S35&lt;=Condition!$E$16,0,IF(S35&lt;=Condition!$F$16,Condition!$D$16,IF(S35&lt;=Condition!$F$17,Condition!$D$17,IF(S35&lt;=Condition!$F$18,Condition!$D$18,IF(S35&gt;Condition!$E$19,Condition!$D$19,"")))))</f>
        <v>0</v>
      </c>
      <c r="T78" s="85">
        <f>IF(T35&lt;=Condition!$E$16,0,IF(T35&lt;=Condition!$F$16,Condition!$D$16,IF(T35&lt;=Condition!$F$17,Condition!$D$17,IF(T35&lt;=Condition!$F$18,Condition!$D$18,IF(T35&gt;Condition!$E$19,Condition!$D$19,"")))))</f>
        <v>0</v>
      </c>
      <c r="U78" s="85">
        <f>IF(U35&lt;=Condition!$E$16,0,IF(U35&lt;=Condition!$F$16,Condition!$D$16,IF(U35&lt;=Condition!$F$17,Condition!$D$17,IF(U35&lt;=Condition!$F$18,Condition!$D$18,IF(U35&gt;Condition!$E$19,Condition!$D$19,"")))))</f>
        <v>0</v>
      </c>
      <c r="V78" s="85">
        <f>IF(V35&lt;=Condition!$E$16,0,IF(V35&lt;=Condition!$F$16,Condition!$D$16,IF(V35&lt;=Condition!$F$17,Condition!$D$17,IF(V35&lt;=Condition!$F$18,Condition!$D$18,IF(V35&gt;Condition!$E$19,Condition!$D$19,"")))))</f>
        <v>0</v>
      </c>
      <c r="W78" s="85">
        <f>IF(W35&lt;=Condition!$E$16,0,IF(W35&lt;=Condition!$F$16,Condition!$D$16,IF(W35&lt;=Condition!$F$17,Condition!$D$17,IF(W35&lt;=Condition!$F$18,Condition!$D$18,IF(W35&gt;Condition!$E$19,Condition!$D$19,"")))))</f>
        <v>0</v>
      </c>
      <c r="X78" s="85">
        <f>IF(X35&lt;=Condition!$E$16,0,IF(X35&lt;=Condition!$F$16,Condition!$D$16,IF(X35&lt;=Condition!$F$17,Condition!$D$17,IF(X35&lt;=Condition!$F$18,Condition!$D$18,IF(X35&gt;Condition!$E$19,Condition!$D$19,"")))))</f>
        <v>0</v>
      </c>
      <c r="Y78" s="85">
        <f>IF(Y35&lt;=Condition!$E$16,0,IF(Y35&lt;=Condition!$F$16,Condition!$D$16,IF(Y35&lt;=Condition!$F$17,Condition!$D$17,IF(Y35&lt;=Condition!$F$18,Condition!$D$18,IF(Y35&gt;Condition!$E$19,Condition!$D$19,"")))))</f>
        <v>0</v>
      </c>
      <c r="Z78" s="85">
        <f>IF(Z35&lt;=Condition!$E$16,0,IF(Z35&lt;=Condition!$F$16,Condition!$D$16,IF(Z35&lt;=Condition!$F$17,Condition!$D$17,IF(Z35&lt;=Condition!$F$18,Condition!$D$18,IF(Z35&gt;Condition!$E$19,Condition!$D$19,"")))))</f>
        <v>0</v>
      </c>
      <c r="AA78" s="85">
        <f>IF(AA35&lt;=Condition!$E$16,0,IF(AA35&lt;=Condition!$F$16,Condition!$D$16,IF(AA35&lt;=Condition!$F$17,Condition!$D$17,IF(AA35&lt;=Condition!$F$18,Condition!$D$18,IF(AA35&gt;Condition!$E$19,Condition!$D$19,"")))))</f>
        <v>0</v>
      </c>
      <c r="AB78" s="85">
        <f>IF(AB35&lt;=Condition!$E$16,0,IF(AB35&lt;=Condition!$F$16,Condition!$D$16,IF(AB35&lt;=Condition!$F$17,Condition!$D$17,IF(AB35&lt;=Condition!$F$18,Condition!$D$18,IF(AB35&gt;Condition!$E$19,Condition!$D$19,"")))))</f>
        <v>0</v>
      </c>
      <c r="AC78" s="85">
        <f>IF(AC35&lt;=Condition!$E$16,0,IF(AC35&lt;=Condition!$F$16,Condition!$D$16,IF(AC35&lt;=Condition!$F$17,Condition!$D$17,IF(AC35&lt;=Condition!$F$18,Condition!$D$18,IF(AC35&gt;Condition!$E$19,Condition!$D$19,"")))))</f>
        <v>0</v>
      </c>
      <c r="AD78" s="85">
        <f>IF(AD35&lt;=Condition!$E$16,0,IF(AD35&lt;=Condition!$F$16,Condition!$D$16,IF(AD35&lt;=Condition!$F$17,Condition!$D$17,IF(AD35&lt;=Condition!$F$18,Condition!$D$18,IF(AD35&gt;Condition!$E$19,Condition!$D$19,"")))))</f>
        <v>0</v>
      </c>
      <c r="AE78" s="85">
        <f>IF(AE35&lt;=Condition!$E$16,0,IF(AE35&lt;=Condition!$F$16,Condition!$D$16,IF(AE35&lt;=Condition!$F$17,Condition!$D$17,IF(AE35&lt;=Condition!$F$18,Condition!$D$18,IF(AE35&gt;Condition!$E$19,Condition!$D$19,"")))))</f>
        <v>0</v>
      </c>
      <c r="AF78" s="85">
        <f>IF(AF35&lt;=Condition!$E$16,0,IF(AF35&lt;=Condition!$F$16,Condition!$D$16,IF(AF35&lt;=Condition!$F$17,Condition!$D$17,IF(AF35&lt;=Condition!$F$18,Condition!$D$18,IF(AF35&gt;Condition!$E$19,Condition!$D$19,"")))))</f>
        <v>0</v>
      </c>
      <c r="AG78" s="85">
        <f>IF(AG35&lt;=Condition!$E$16,0,IF(AG35&lt;=Condition!$F$16,Condition!$D$16,IF(AG35&lt;=Condition!$F$17,Condition!$D$17,IF(AG35&lt;=Condition!$F$18,Condition!$D$18,IF(AG35&gt;Condition!$E$19,Condition!$D$19,"")))))</f>
        <v>0</v>
      </c>
      <c r="AH78" s="85">
        <f>IF(AH35&lt;=Condition!$E$16,0,IF(AH35&lt;=Condition!$F$16,Condition!$D$16,IF(AH35&lt;=Condition!$F$17,Condition!$D$17,IF(AH35&lt;=Condition!$F$18,Condition!$D$18,IF(AH35&gt;Condition!$E$19,Condition!$D$19,"")))))</f>
        <v>0</v>
      </c>
      <c r="AI78" s="85">
        <f>IF(AI35&lt;=Condition!$E$16,0,IF(AI35&lt;=Condition!$F$16,Condition!$D$16,IF(AI35&lt;=Condition!$F$17,Condition!$D$17,IF(AI35&lt;=Condition!$F$18,Condition!$D$18,IF(AI35&gt;Condition!$E$19,Condition!$D$19,"")))))</f>
        <v>0</v>
      </c>
      <c r="AJ78" s="85">
        <f>IF(AJ35&lt;=Condition!$E$16,0,IF(AJ35&lt;=Condition!$F$16,Condition!$D$16,IF(AJ35&lt;=Condition!$F$17,Condition!$D$17,IF(AJ35&lt;=Condition!$F$18,Condition!$D$18,IF(AJ35&gt;Condition!$E$19,Condition!$D$19,"")))))</f>
        <v>0</v>
      </c>
      <c r="AK78" s="85">
        <f>IF(AK35&lt;=Condition!$E$16,0,IF(AK35&lt;=Condition!$F$16,Condition!$D$16,IF(AK35&lt;=Condition!$F$17,Condition!$D$17,IF(AK35&lt;=Condition!$F$18,Condition!$D$18,IF(AK35&gt;Condition!$E$19,Condition!$D$19,"")))))</f>
        <v>0</v>
      </c>
      <c r="AL78" s="85">
        <f>IF(AL35&lt;=Condition!$E$16,0,IF(AL35&lt;=Condition!$F$16,Condition!$D$16,IF(AL35&lt;=Condition!$F$17,Condition!$D$17,IF(AL35&lt;=Condition!$F$18,Condition!$D$18,IF(AL35&gt;Condition!$E$19,Condition!$D$19,"")))))</f>
        <v>0</v>
      </c>
      <c r="AM78" s="85">
        <f>IF(AM35&lt;=Condition!$E$16,0,IF(AM35&lt;=Condition!$F$16,Condition!$D$16,IF(AM35&lt;=Condition!$F$17,Condition!$D$17,IF(AM35&lt;=Condition!$F$18,Condition!$D$18,IF(AM35&gt;Condition!$E$19,Condition!$D$19,"")))))</f>
        <v>0</v>
      </c>
      <c r="AN78" s="85">
        <f>IF(AN35&lt;=Condition!$E$16,0,IF(AN35&lt;=Condition!$F$16,Condition!$D$16,IF(AN35&lt;=Condition!$F$17,Condition!$D$17,IF(AN35&lt;=Condition!$F$18,Condition!$D$18,IF(AN35&gt;Condition!$E$19,Condition!$D$19,"")))))</f>
        <v>0</v>
      </c>
      <c r="AO78" s="85">
        <f>IF(AO35&lt;=Condition!$E$16,0,IF(AO35&lt;=Condition!$F$16,Condition!$D$16,IF(AO35&lt;=Condition!$F$17,Condition!$D$17,IF(AO35&lt;=Condition!$F$18,Condition!$D$18,IF(AO35&gt;Condition!$E$19,Condition!$D$19,"")))))</f>
        <v>0</v>
      </c>
      <c r="AP78" s="85">
        <f>IF(AP35&lt;=Condition!$E$16,0,IF(AP35&lt;=Condition!$F$16,Condition!$D$16,IF(AP35&lt;=Condition!$F$17,Condition!$D$17,IF(AP35&lt;=Condition!$F$18,Condition!$D$18,IF(AP35&gt;Condition!$E$19,Condition!$D$19,"")))))</f>
        <v>0</v>
      </c>
      <c r="AQ78" s="85">
        <f>IF(AQ35&lt;=Condition!$E$16,0,IF(AQ35&lt;=Condition!$F$16,Condition!$D$16,IF(AQ35&lt;=Condition!$F$17,Condition!$D$17,IF(AQ35&lt;=Condition!$F$18,Condition!$D$18,IF(AQ35&gt;Condition!$E$19,Condition!$D$19,"")))))</f>
        <v>0</v>
      </c>
      <c r="AR78" s="85">
        <f>IF(AR35&lt;=Condition!$E$16,0,IF(AR35&lt;=Condition!$F$16,Condition!$D$16,IF(AR35&lt;=Condition!$F$17,Condition!$D$17,IF(AR35&lt;=Condition!$F$18,Condition!$D$18,IF(AR35&gt;Condition!$E$19,Condition!$D$19,"")))))</f>
        <v>0</v>
      </c>
      <c r="AS78" s="85">
        <f>IF(AS35&lt;=Condition!$E$16,0,IF(AS35&lt;=Condition!$F$16,Condition!$D$16,IF(AS35&lt;=Condition!$F$17,Condition!$D$17,IF(AS35&lt;=Condition!$F$18,Condition!$D$18,IF(AS35&gt;Condition!$E$19,Condition!$D$19,"")))))</f>
        <v>0</v>
      </c>
      <c r="AT78" s="85">
        <f>IF(AT35&lt;=Condition!$E$16,0,IF(AT35&lt;=Condition!$F$16,Condition!$D$16,IF(AT35&lt;=Condition!$F$17,Condition!$D$17,IF(AT35&lt;=Condition!$F$18,Condition!$D$18,IF(AT35&gt;Condition!$E$19,Condition!$D$19,"")))))</f>
        <v>0</v>
      </c>
      <c r="AU78" s="85">
        <f>IF(AU35&lt;=Condition!$E$16,0,IF(AU35&lt;=Condition!$F$16,Condition!$D$16,IF(AU35&lt;=Condition!$F$17,Condition!$D$17,IF(AU35&lt;=Condition!$F$18,Condition!$D$18,IF(AU35&gt;Condition!$E$19,Condition!$D$19,"")))))</f>
        <v>0</v>
      </c>
      <c r="AV78" s="85">
        <f>IF(AV35&lt;=Condition!$E$16,0,IF(AV35&lt;=Condition!$F$16,Condition!$D$16,IF(AV35&lt;=Condition!$F$17,Condition!$D$17,IF(AV35&lt;=Condition!$F$18,Condition!$D$18,IF(AV35&gt;Condition!$E$19,Condition!$D$19,"")))))</f>
        <v>0</v>
      </c>
      <c r="AW78" s="85">
        <f>IF(AW35&lt;=Condition!$E$16,0,IF(AW35&lt;=Condition!$F$16,Condition!$D$16,IF(AW35&lt;=Condition!$F$17,Condition!$D$17,IF(AW35&lt;=Condition!$F$18,Condition!$D$18,IF(AW35&gt;Condition!$E$19,Condition!$D$19,"")))))</f>
        <v>0</v>
      </c>
      <c r="AX78" s="85">
        <f>IF(AX35&lt;=Condition!$E$16,0,IF(AX35&lt;=Condition!$F$16,Condition!$D$16,IF(AX35&lt;=Condition!$F$17,Condition!$D$17,IF(AX35&lt;=Condition!$F$18,Condition!$D$18,IF(AX35&gt;Condition!$E$19,Condition!$D$19,"")))))</f>
        <v>0</v>
      </c>
      <c r="AY78" s="85">
        <f>IF(AY35&lt;=Condition!$E$16,0,IF(AY35&lt;=Condition!$F$16,Condition!$D$16,IF(AY35&lt;=Condition!$F$17,Condition!$D$17,IF(AY35&lt;=Condition!$F$18,Condition!$D$18,IF(AY35&gt;Condition!$E$19,Condition!$D$19,"")))))</f>
        <v>0</v>
      </c>
      <c r="AZ78" s="85">
        <f>IF(AZ35&lt;=Condition!$E$16,0,IF(AZ35&lt;=Condition!$F$16,Condition!$D$16,IF(AZ35&lt;=Condition!$F$17,Condition!$D$17,IF(AZ35&lt;=Condition!$F$18,Condition!$D$18,IF(AZ35&gt;Condition!$E$19,Condition!$D$19,"")))))</f>
        <v>0</v>
      </c>
      <c r="BA78" s="85">
        <f>IF(BA35&lt;=Condition!$E$16,0,IF(BA35&lt;=Condition!$F$16,Condition!$D$16,IF(BA35&lt;=Condition!$F$17,Condition!$D$17,IF(BA35&lt;=Condition!$F$18,Condition!$D$18,IF(BA35&gt;Condition!$E$19,Condition!$D$19,"")))))</f>
        <v>0</v>
      </c>
      <c r="BB78" s="85">
        <f>IF(BB35&lt;=Condition!$E$16,0,IF(BB35&lt;=Condition!$F$16,Condition!$D$16,IF(BB35&lt;=Condition!$F$17,Condition!$D$17,IF(BB35&lt;=Condition!$F$18,Condition!$D$18,IF(BB35&gt;Condition!$E$19,Condition!$D$19,"")))))</f>
        <v>0</v>
      </c>
      <c r="BC78" s="85">
        <f>IF(BC35&lt;=Condition!$E$16,0,IF(BC35&lt;=Condition!$F$16,Condition!$D$16,IF(BC35&lt;=Condition!$F$17,Condition!$D$17,IF(BC35&lt;=Condition!$F$18,Condition!$D$18,IF(BC35&gt;Condition!$E$19,Condition!$D$19,"")))))</f>
        <v>0</v>
      </c>
      <c r="BD78" s="85">
        <f>IF(BD35&lt;=Condition!$E$16,0,IF(BD35&lt;=Condition!$F$16,Condition!$D$16,IF(BD35&lt;=Condition!$F$17,Condition!$D$17,IF(BD35&lt;=Condition!$F$18,Condition!$D$18,IF(BD35&gt;Condition!$E$19,Condition!$D$19,"")))))</f>
        <v>0</v>
      </c>
      <c r="BE78" s="85">
        <f>IF(BE35&lt;=Condition!$E$16,0,IF(BE35&lt;=Condition!$F$16,Condition!$D$16,IF(BE35&lt;=Condition!$F$17,Condition!$D$17,IF(BE35&lt;=Condition!$F$18,Condition!$D$18,IF(BE35&gt;Condition!$E$19,Condition!$D$19,"")))))</f>
        <v>0</v>
      </c>
      <c r="BF78" s="85">
        <f>IF(BF35&lt;=Condition!$E$16,0,IF(BF35&lt;=Condition!$F$16,Condition!$D$16,IF(BF35&lt;=Condition!$F$17,Condition!$D$17,IF(BF35&lt;=Condition!$F$18,Condition!$D$18,IF(BF35&gt;Condition!$E$19,Condition!$D$19,"")))))</f>
        <v>0</v>
      </c>
      <c r="BG78" s="85">
        <f>IF(BG35&lt;=Condition!$E$16,0,IF(BG35&lt;=Condition!$F$16,Condition!$D$16,IF(BG35&lt;=Condition!$F$17,Condition!$D$17,IF(BG35&lt;=Condition!$F$18,Condition!$D$18,IF(BG35&gt;Condition!$E$19,Condition!$D$19,"")))))</f>
        <v>0</v>
      </c>
      <c r="BH78" s="85">
        <f>IF(BH35&lt;=Condition!$E$16,0,IF(BH35&lt;=Condition!$F$16,Condition!$D$16,IF(BH35&lt;=Condition!$F$17,Condition!$D$17,IF(BH35&lt;=Condition!$F$18,Condition!$D$18,IF(BH35&gt;Condition!$E$19,Condition!$D$19,"")))))</f>
        <v>0</v>
      </c>
      <c r="BI78" s="85">
        <f>IF(BI35&lt;=Condition!$E$16,0,IF(BI35&lt;=Condition!$F$16,Condition!$D$16,IF(BI35&lt;=Condition!$F$17,Condition!$D$17,IF(BI35&lt;=Condition!$F$18,Condition!$D$18,IF(BI35&gt;Condition!$E$19,Condition!$D$19,"")))))</f>
        <v>0</v>
      </c>
      <c r="BJ78" s="85">
        <f>IF(BJ35&lt;=Condition!$E$16,0,IF(BJ35&lt;=Condition!$F$16,Condition!$D$16,IF(BJ35&lt;=Condition!$F$17,Condition!$D$17,IF(BJ35&lt;=Condition!$F$18,Condition!$D$18,IF(BJ35&gt;Condition!$E$19,Condition!$D$19,"")))))</f>
        <v>0</v>
      </c>
      <c r="BK78" s="85">
        <f>IF(BK35&lt;=Condition!$E$16,0,IF(BK35&lt;=Condition!$F$16,Condition!$D$16,IF(BK35&lt;=Condition!$F$17,Condition!$D$17,IF(BK35&lt;=Condition!$F$18,Condition!$D$18,IF(BK35&gt;Condition!$E$19,Condition!$D$19,"")))))</f>
        <v>0</v>
      </c>
      <c r="BL78" s="85">
        <f>IF(BL35&lt;=Condition!$E$16,0,IF(BL35&lt;=Condition!$F$16,Condition!$D$16,IF(BL35&lt;=Condition!$F$17,Condition!$D$17,IF(BL35&lt;=Condition!$F$18,Condition!$D$18,IF(BL35&gt;Condition!$E$19,Condition!$D$19,"")))))</f>
        <v>0</v>
      </c>
      <c r="BM78" s="85">
        <f>IF(BM35&lt;=Condition!$E$16,0,IF(BM35&lt;=Condition!$F$16,Condition!$D$16,IF(BM35&lt;=Condition!$F$17,Condition!$D$17,IF(BM35&lt;=Condition!$F$18,Condition!$D$18,IF(BM35&gt;Condition!$E$19,Condition!$D$19,"")))))</f>
        <v>0</v>
      </c>
      <c r="BN78" s="85">
        <f>IF(BN35&lt;=Condition!$E$16,0,IF(BN35&lt;=Condition!$F$16,Condition!$D$16,IF(BN35&lt;=Condition!$F$17,Condition!$D$17,IF(BN35&lt;=Condition!$F$18,Condition!$D$18,IF(BN35&gt;Condition!$E$19,Condition!$D$19,"")))))</f>
        <v>0</v>
      </c>
      <c r="BO78" s="85">
        <f>IF(BO35&lt;=Condition!$E$16,0,IF(BO35&lt;=Condition!$F$16,Condition!$D$16,IF(BO35&lt;=Condition!$F$17,Condition!$D$17,IF(BO35&lt;=Condition!$F$18,Condition!$D$18,IF(BO35&gt;Condition!$E$19,Condition!$D$19,"")))))</f>
        <v>0</v>
      </c>
      <c r="BP78" s="85">
        <f>IF(BP35&lt;=Condition!$E$16,0,IF(BP35&lt;=Condition!$F$16,Condition!$D$16,IF(BP35&lt;=Condition!$F$17,Condition!$D$17,IF(BP35&lt;=Condition!$F$18,Condition!$D$18,IF(BP35&gt;Condition!$E$19,Condition!$D$19,"")))))</f>
        <v>0</v>
      </c>
      <c r="BQ78" s="85">
        <f>IF(BQ35&lt;=Condition!$E$16,0,IF(BQ35&lt;=Condition!$F$16,Condition!$D$16,IF(BQ35&lt;=Condition!$F$17,Condition!$D$17,IF(BQ35&lt;=Condition!$F$18,Condition!$D$18,IF(BQ35&gt;Condition!$E$19,Condition!$D$19,"")))))</f>
        <v>0</v>
      </c>
      <c r="BR78" s="85">
        <f>IF(BR35&lt;=Condition!$E$16,0,IF(BR35&lt;=Condition!$F$16,Condition!$D$16,IF(BR35&lt;=Condition!$F$17,Condition!$D$17,IF(BR35&lt;=Condition!$F$18,Condition!$D$18,IF(BR35&gt;Condition!$E$19,Condition!$D$19,"")))))</f>
        <v>0</v>
      </c>
      <c r="BS78" s="85">
        <f>IF(BS35&lt;=Condition!$E$16,0,IF(BS35&lt;=Condition!$F$16,Condition!$D$16,IF(BS35&lt;=Condition!$F$17,Condition!$D$17,IF(BS35&lt;=Condition!$F$18,Condition!$D$18,IF(BS35&gt;Condition!$E$19,Condition!$D$19,"")))))</f>
        <v>0</v>
      </c>
      <c r="BT78" s="85">
        <f>IF(BT35&lt;=Condition!$E$16,0,IF(BT35&lt;=Condition!$F$16,Condition!$D$16,IF(BT35&lt;=Condition!$F$17,Condition!$D$17,IF(BT35&lt;=Condition!$F$18,Condition!$D$18,IF(BT35&gt;Condition!$E$19,Condition!$D$19,"")))))</f>
        <v>0</v>
      </c>
      <c r="BU78" s="85">
        <f>IF(BU35&lt;=Condition!$E$16,0,IF(BU35&lt;=Condition!$F$16,Condition!$D$16,IF(BU35&lt;=Condition!$F$17,Condition!$D$17,IF(BU35&lt;=Condition!$F$18,Condition!$D$18,IF(BU35&gt;Condition!$E$19,Condition!$D$19,"")))))</f>
        <v>0</v>
      </c>
      <c r="BV78" s="85">
        <f>IF(BV35&lt;=Condition!$E$16,0,IF(BV35&lt;=Condition!$F$16,Condition!$D$16,IF(BV35&lt;=Condition!$F$17,Condition!$D$17,IF(BV35&lt;=Condition!$F$18,Condition!$D$18,IF(BV35&gt;Condition!$E$19,Condition!$D$19,"")))))</f>
        <v>0</v>
      </c>
      <c r="BW78" s="85">
        <f>IF(BW35&lt;=Condition!$E$16,0,IF(BW35&lt;=Condition!$F$16,Condition!$D$16,IF(BW35&lt;=Condition!$F$17,Condition!$D$17,IF(BW35&lt;=Condition!$F$18,Condition!$D$18,IF(BW35&gt;Condition!$E$19,Condition!$D$19,"")))))</f>
        <v>0</v>
      </c>
      <c r="BX78" s="85">
        <f>IF(BX35&lt;=Condition!$E$16,0,IF(BX35&lt;=Condition!$F$16,Condition!$D$16,IF(BX35&lt;=Condition!$F$17,Condition!$D$17,IF(BX35&lt;=Condition!$F$18,Condition!$D$18,IF(BX35&gt;Condition!$E$19,Condition!$D$19,"")))))</f>
        <v>0</v>
      </c>
      <c r="BY78" s="85">
        <f>IF(BY35&lt;=Condition!$E$16,0,IF(BY35&lt;=Condition!$F$16,Condition!$D$16,IF(BY35&lt;=Condition!$F$17,Condition!$D$17,IF(BY35&lt;=Condition!$F$18,Condition!$D$18,IF(BY35&gt;Condition!$E$19,Condition!$D$19,"")))))</f>
        <v>0</v>
      </c>
      <c r="BZ78" s="85">
        <f>IF(BZ35&lt;=Condition!$E$16,0,IF(BZ35&lt;=Condition!$F$16,Condition!$D$16,IF(BZ35&lt;=Condition!$F$17,Condition!$D$17,IF(BZ35&lt;=Condition!$F$18,Condition!$D$18,IF(BZ35&gt;Condition!$E$19,Condition!$D$19,"")))))</f>
        <v>0</v>
      </c>
      <c r="CA78" s="85">
        <f>IF(CA35&lt;=Condition!$E$16,0,IF(CA35&lt;=Condition!$F$16,Condition!$D$16,IF(CA35&lt;=Condition!$F$17,Condition!$D$17,IF(CA35&lt;=Condition!$F$18,Condition!$D$18,IF(CA35&gt;Condition!$E$19,Condition!$D$19,"")))))</f>
        <v>0</v>
      </c>
      <c r="CB78" s="85">
        <f>IF(CB35&lt;=Condition!$E$16,0,IF(CB35&lt;=Condition!$F$16,Condition!$D$16,IF(CB35&lt;=Condition!$F$17,Condition!$D$17,IF(CB35&lt;=Condition!$F$18,Condition!$D$18,IF(CB35&gt;Condition!$E$19,Condition!$D$19,"")))))</f>
        <v>0</v>
      </c>
      <c r="CC78" s="85">
        <f>IF(CC35&lt;=Condition!$E$16,0,IF(CC35&lt;=Condition!$F$16,Condition!$D$16,IF(CC35&lt;=Condition!$F$17,Condition!$D$17,IF(CC35&lt;=Condition!$F$18,Condition!$D$18,IF(CC35&gt;Condition!$E$19,Condition!$D$19,"")))))</f>
        <v>0</v>
      </c>
      <c r="CD78" s="85">
        <f>IF(CD35&lt;=Condition!$E$16,0,IF(CD35&lt;=Condition!$F$16,Condition!$D$16,IF(CD35&lt;=Condition!$F$17,Condition!$D$17,IF(CD35&lt;=Condition!$F$18,Condition!$D$18,IF(CD35&gt;Condition!$E$19,Condition!$D$19,"")))))</f>
        <v>0</v>
      </c>
      <c r="CE78" s="85">
        <f>IF(CE35&lt;=Condition!$E$16,0,IF(CE35&lt;=Condition!$F$16,Condition!$D$16,IF(CE35&lt;=Condition!$F$17,Condition!$D$17,IF(CE35&lt;=Condition!$F$18,Condition!$D$18,IF(CE35&gt;Condition!$E$19,Condition!$D$19,"")))))</f>
        <v>0</v>
      </c>
      <c r="CF78" s="85">
        <f>IF(CF35&lt;=Condition!$E$16,0,IF(CF35&lt;=Condition!$F$16,Condition!$D$16,IF(CF35&lt;=Condition!$F$17,Condition!$D$17,IF(CF35&lt;=Condition!$F$18,Condition!$D$18,IF(CF35&gt;Condition!$E$19,Condition!$D$19,"")))))</f>
        <v>0</v>
      </c>
      <c r="CG78" s="85">
        <f>IF(CG35&lt;=Condition!$E$16,0,IF(CG35&lt;=Condition!$F$16,Condition!$D$16,IF(CG35&lt;=Condition!$F$17,Condition!$D$17,IF(CG35&lt;=Condition!$F$18,Condition!$D$18,IF(CG35&gt;Condition!$E$19,Condition!$D$19,"")))))</f>
        <v>0</v>
      </c>
      <c r="CH78" s="85">
        <f>IF(CH35&lt;=Condition!$E$16,0,IF(CH35&lt;=Condition!$F$16,Condition!$D$16,IF(CH35&lt;=Condition!$F$17,Condition!$D$17,IF(CH35&lt;=Condition!$F$18,Condition!$D$18,IF(CH35&gt;Condition!$E$19,Condition!$D$19,"")))))</f>
        <v>0</v>
      </c>
      <c r="CI78" s="85">
        <f>IF(CI35&lt;=Condition!$E$16,0,IF(CI35&lt;=Condition!$F$16,Condition!$D$16,IF(CI35&lt;=Condition!$F$17,Condition!$D$17,IF(CI35&lt;=Condition!$F$18,Condition!$D$18,IF(CI35&gt;Condition!$E$19,Condition!$D$19,"")))))</f>
        <v>0</v>
      </c>
      <c r="CJ78" s="85">
        <f>IF(CJ35&lt;=Condition!$E$16,0,IF(CJ35&lt;=Condition!$F$16,Condition!$D$16,IF(CJ35&lt;=Condition!$F$17,Condition!$D$17,IF(CJ35&lt;=Condition!$F$18,Condition!$D$18,IF(CJ35&gt;Condition!$E$19,Condition!$D$19,"")))))</f>
        <v>0</v>
      </c>
      <c r="CK78" s="85">
        <f>IF(CK35&lt;=Condition!$E$16,0,IF(CK35&lt;=Condition!$F$16,Condition!$D$16,IF(CK35&lt;=Condition!$F$17,Condition!$D$17,IF(CK35&lt;=Condition!$F$18,Condition!$D$18,IF(CK35&gt;Condition!$E$19,Condition!$D$19,"")))))</f>
        <v>0</v>
      </c>
      <c r="CL78" s="85">
        <f>IF(CL35&lt;=Condition!$E$16,0,IF(CL35&lt;=Condition!$F$16,Condition!$D$16,IF(CL35&lt;=Condition!$F$17,Condition!$D$17,IF(CL35&lt;=Condition!$F$18,Condition!$D$18,IF(CL35&gt;Condition!$E$19,Condition!$D$19,"")))))</f>
        <v>0</v>
      </c>
      <c r="CM78" s="85">
        <f>IF(CM35&lt;=Condition!$E$16,0,IF(CM35&lt;=Condition!$F$16,Condition!$D$16,IF(CM35&lt;=Condition!$F$17,Condition!$D$17,IF(CM35&lt;=Condition!$F$18,Condition!$D$18,IF(CM35&gt;Condition!$E$19,Condition!$D$19,"")))))</f>
        <v>0</v>
      </c>
      <c r="CN78" s="85">
        <f>IF(CN35&lt;=Condition!$E$16,0,IF(CN35&lt;=Condition!$F$16,Condition!$D$16,IF(CN35&lt;=Condition!$F$17,Condition!$D$17,IF(CN35&lt;=Condition!$F$18,Condition!$D$18,IF(CN35&gt;Condition!$E$19,Condition!$D$19,"")))))</f>
        <v>0</v>
      </c>
      <c r="CO78" s="85">
        <f>IF(CO35&lt;=Condition!$E$16,0,IF(CO35&lt;=Condition!$F$16,Condition!$D$16,IF(CO35&lt;=Condition!$F$17,Condition!$D$17,IF(CO35&lt;=Condition!$F$18,Condition!$D$18,IF(CO35&gt;Condition!$E$19,Condition!$D$19,"")))))</f>
        <v>0</v>
      </c>
      <c r="CP78" s="85">
        <f>IF(CP35&lt;=Condition!$E$16,0,IF(CP35&lt;=Condition!$F$16,Condition!$D$16,IF(CP35&lt;=Condition!$F$17,Condition!$D$17,IF(CP35&lt;=Condition!$F$18,Condition!$D$18,IF(CP35&gt;Condition!$E$19,Condition!$D$19,"")))))</f>
        <v>0</v>
      </c>
      <c r="CQ78" s="85">
        <f>IF(CQ35&lt;=Condition!$E$16,0,IF(CQ35&lt;=Condition!$F$16,Condition!$D$16,IF(CQ35&lt;=Condition!$F$17,Condition!$D$17,IF(CQ35&lt;=Condition!$F$18,Condition!$D$18,IF(CQ35&gt;Condition!$E$19,Condition!$D$19,"")))))</f>
        <v>0</v>
      </c>
      <c r="CR78" s="85">
        <f>IF(CR35&lt;=Condition!$E$16,0,IF(CR35&lt;=Condition!$F$16,Condition!$D$16,IF(CR35&lt;=Condition!$F$17,Condition!$D$17,IF(CR35&lt;=Condition!$F$18,Condition!$D$18,IF(CR35&gt;Condition!$E$19,Condition!$D$19,"")))))</f>
        <v>0</v>
      </c>
      <c r="CS78" s="85">
        <f>IF(CS35&lt;=Condition!$E$16,0,IF(CS35&lt;=Condition!$F$16,Condition!$D$16,IF(CS35&lt;=Condition!$F$17,Condition!$D$17,IF(CS35&lt;=Condition!$F$18,Condition!$D$18,IF(CS35&gt;Condition!$E$19,Condition!$D$19,"")))))</f>
        <v>0</v>
      </c>
      <c r="CT78" s="85">
        <f>IF(CT35&lt;=Condition!$E$16,0,IF(CT35&lt;=Condition!$F$16,Condition!$D$16,IF(CT35&lt;=Condition!$F$17,Condition!$D$17,IF(CT35&lt;=Condition!$F$18,Condition!$D$18,IF(CT35&gt;Condition!$E$19,Condition!$D$19,"")))))</f>
        <v>0</v>
      </c>
      <c r="CU78" s="85">
        <f>IF(CU35&lt;=Condition!$E$16,0,IF(CU35&lt;=Condition!$F$16,Condition!$D$16,IF(CU35&lt;=Condition!$F$17,Condition!$D$17,IF(CU35&lt;=Condition!$F$18,Condition!$D$18,IF(CU35&gt;Condition!$E$19,Condition!$D$19,"")))))</f>
        <v>0</v>
      </c>
      <c r="CV78" s="85">
        <f>IF(CV35&lt;=Condition!$E$16,0,IF(CV35&lt;=Condition!$F$16,Condition!$D$16,IF(CV35&lt;=Condition!$F$17,Condition!$D$17,IF(CV35&lt;=Condition!$F$18,Condition!$D$18,IF(CV35&gt;Condition!$E$19,Condition!$D$19,"")))))</f>
        <v>0</v>
      </c>
      <c r="CW78" s="85">
        <f>IF(CW35&lt;=Condition!$E$16,0,IF(CW35&lt;=Condition!$F$16,Condition!$D$16,IF(CW35&lt;=Condition!$F$17,Condition!$D$17,IF(CW35&lt;=Condition!$F$18,Condition!$D$18,IF(CW35&gt;Condition!$E$19,Condition!$D$19,"")))))</f>
        <v>0</v>
      </c>
      <c r="CX78" s="85">
        <f>IF(CX35&lt;=Condition!$E$16,0,IF(CX35&lt;=Condition!$F$16,Condition!$D$16,IF(CX35&lt;=Condition!$F$17,Condition!$D$17,IF(CX35&lt;=Condition!$F$18,Condition!$D$18,IF(CX35&gt;Condition!$E$19,Condition!$D$19,"")))))</f>
        <v>0</v>
      </c>
      <c r="CY78" s="85">
        <f>IF(CY35&lt;=Condition!$E$16,0,IF(CY35&lt;=Condition!$F$16,Condition!$D$16,IF(CY35&lt;=Condition!$F$17,Condition!$D$17,IF(CY35&lt;=Condition!$F$18,Condition!$D$18,IF(CY35&gt;Condition!$E$19,Condition!$D$19,"")))))</f>
        <v>0</v>
      </c>
      <c r="CZ78" s="85">
        <f>IF(CZ35&lt;=Condition!$E$16,0,IF(CZ35&lt;=Condition!$F$16,Condition!$D$16,IF(CZ35&lt;=Condition!$F$17,Condition!$D$17,IF(CZ35&lt;=Condition!$F$18,Condition!$D$18,IF(CZ35&gt;Condition!$E$19,Condition!$D$19,"")))))</f>
        <v>0</v>
      </c>
      <c r="DA78" s="85">
        <f>IF(DA35&lt;=Condition!$E$16,0,IF(DA35&lt;=Condition!$F$16,Condition!$D$16,IF(DA35&lt;=Condition!$F$17,Condition!$D$17,IF(DA35&lt;=Condition!$F$18,Condition!$D$18,IF(DA35&gt;Condition!$E$19,Condition!$D$19,"")))))</f>
        <v>0</v>
      </c>
      <c r="DB78" s="85">
        <f>IF(DB35&lt;=Condition!$E$16,0,IF(DB35&lt;=Condition!$F$16,Condition!$D$16,IF(DB35&lt;=Condition!$F$17,Condition!$D$17,IF(DB35&lt;=Condition!$F$18,Condition!$D$18,IF(DB35&gt;Condition!$E$19,Condition!$D$19,"")))))</f>
        <v>0</v>
      </c>
      <c r="DC78" s="85">
        <f>IF(DC35&lt;=Condition!$E$16,0,IF(DC35&lt;=Condition!$F$16,Condition!$D$16,IF(DC35&lt;=Condition!$F$17,Condition!$D$17,IF(DC35&lt;=Condition!$F$18,Condition!$D$18,IF(DC35&gt;Condition!$E$19,Condition!$D$19,"")))))</f>
        <v>0</v>
      </c>
      <c r="DD78" s="85">
        <f>IF(DD35&lt;=Condition!$E$16,0,IF(DD35&lt;=Condition!$F$16,Condition!$D$16,IF(DD35&lt;=Condition!$F$17,Condition!$D$17,IF(DD35&lt;=Condition!$F$18,Condition!$D$18,IF(DD35&gt;Condition!$E$19,Condition!$D$19,"")))))</f>
        <v>0</v>
      </c>
      <c r="DE78" s="85">
        <f>IF(DE35&lt;=Condition!$E$16,0,IF(DE35&lt;=Condition!$F$16,Condition!$D$16,IF(DE35&lt;=Condition!$F$17,Condition!$D$17,IF(DE35&lt;=Condition!$F$18,Condition!$D$18,IF(DE35&gt;Condition!$E$19,Condition!$D$19,"")))))</f>
        <v>0</v>
      </c>
      <c r="DF78" s="85">
        <f>IF(DF35&lt;=Condition!$E$16,0,IF(DF35&lt;=Condition!$F$16,Condition!$D$16,IF(DF35&lt;=Condition!$F$17,Condition!$D$17,IF(DF35&lt;=Condition!$F$18,Condition!$D$18,IF(DF35&gt;Condition!$E$19,Condition!$D$19,"")))))</f>
        <v>0</v>
      </c>
      <c r="DG78" s="85">
        <f>IF(DG35&lt;=Condition!$E$16,0,IF(DG35&lt;=Condition!$F$16,Condition!$D$16,IF(DG35&lt;=Condition!$F$17,Condition!$D$17,IF(DG35&lt;=Condition!$F$18,Condition!$D$18,IF(DG35&gt;Condition!$E$19,Condition!$D$19,"")))))</f>
        <v>0</v>
      </c>
      <c r="DH78" s="85">
        <f>IF(DH35&lt;=Condition!$E$16,0,IF(DH35&lt;=Condition!$F$16,Condition!$D$16,IF(DH35&lt;=Condition!$F$17,Condition!$D$17,IF(DH35&lt;=Condition!$F$18,Condition!$D$18,IF(DH35&gt;Condition!$E$19,Condition!$D$19,"")))))</f>
        <v>0</v>
      </c>
      <c r="DI78" s="85">
        <f>IF(DI35&lt;=Condition!$E$16,0,IF(DI35&lt;=Condition!$F$16,Condition!$D$16,IF(DI35&lt;=Condition!$F$17,Condition!$D$17,IF(DI35&lt;=Condition!$F$18,Condition!$D$18,IF(DI35&gt;Condition!$E$19,Condition!$D$19,"")))))</f>
        <v>0</v>
      </c>
      <c r="DJ78" s="85">
        <f>IF(DJ35&lt;=Condition!$E$16,0,IF(DJ35&lt;=Condition!$F$16,Condition!$D$16,IF(DJ35&lt;=Condition!$F$17,Condition!$D$17,IF(DJ35&lt;=Condition!$F$18,Condition!$D$18,IF(DJ35&gt;Condition!$E$19,Condition!$D$19,"")))))</f>
        <v>0</v>
      </c>
      <c r="DK78" s="85">
        <f>IF(DK35&lt;=Condition!$E$16,0,IF(DK35&lt;=Condition!$F$16,Condition!$D$16,IF(DK35&lt;=Condition!$F$17,Condition!$D$17,IF(DK35&lt;=Condition!$F$18,Condition!$D$18,IF(DK35&gt;Condition!$E$19,Condition!$D$19,"")))))</f>
        <v>0</v>
      </c>
      <c r="DL78" s="85">
        <f>IF(DL35&lt;=Condition!$E$16,0,IF(DL35&lt;=Condition!$F$16,Condition!$D$16,IF(DL35&lt;=Condition!$F$17,Condition!$D$17,IF(DL35&lt;=Condition!$F$18,Condition!$D$18,IF(DL35&gt;Condition!$E$19,Condition!$D$19,"")))))</f>
        <v>0</v>
      </c>
      <c r="DM78" s="85">
        <f>IF(DM35&lt;=Condition!$E$16,0,IF(DM35&lt;=Condition!$F$16,Condition!$D$16,IF(DM35&lt;=Condition!$F$17,Condition!$D$17,IF(DM35&lt;=Condition!$F$18,Condition!$D$18,IF(DM35&gt;Condition!$E$19,Condition!$D$19,"")))))</f>
        <v>0</v>
      </c>
      <c r="DN78" s="85">
        <f>IF(DN35&lt;=Condition!$E$16,0,IF(DN35&lt;=Condition!$F$16,Condition!$D$16,IF(DN35&lt;=Condition!$F$17,Condition!$D$17,IF(DN35&lt;=Condition!$F$18,Condition!$D$18,IF(DN35&gt;Condition!$E$19,Condition!$D$19,"")))))</f>
        <v>0</v>
      </c>
      <c r="DO78" s="85">
        <f>IF(DO35&lt;=Condition!$E$16,0,IF(DO35&lt;=Condition!$F$16,Condition!$D$16,IF(DO35&lt;=Condition!$F$17,Condition!$D$17,IF(DO35&lt;=Condition!$F$18,Condition!$D$18,IF(DO35&gt;Condition!$E$19,Condition!$D$19,"")))))</f>
        <v>0</v>
      </c>
      <c r="DP78" s="85">
        <f>IF(DP35&lt;=Condition!$E$16,0,IF(DP35&lt;=Condition!$F$16,Condition!$D$16,IF(DP35&lt;=Condition!$F$17,Condition!$D$17,IF(DP35&lt;=Condition!$F$18,Condition!$D$18,IF(DP35&gt;Condition!$E$19,Condition!$D$19,"")))))</f>
        <v>0</v>
      </c>
      <c r="DQ78" s="85">
        <f>IF(DQ35&lt;=Condition!$E$16,0,IF(DQ35&lt;=Condition!$F$16,Condition!$D$16,IF(DQ35&lt;=Condition!$F$17,Condition!$D$17,IF(DQ35&lt;=Condition!$F$18,Condition!$D$18,IF(DQ35&gt;Condition!$E$19,Condition!$D$19,"")))))</f>
        <v>0</v>
      </c>
      <c r="DR78" s="85">
        <f>IF(DR35&lt;=Condition!$E$16,0,IF(DR35&lt;=Condition!$F$16,Condition!$D$16,IF(DR35&lt;=Condition!$F$17,Condition!$D$17,IF(DR35&lt;=Condition!$F$18,Condition!$D$18,IF(DR35&gt;Condition!$E$19,Condition!$D$19,"")))))</f>
        <v>0</v>
      </c>
      <c r="DS78" s="85">
        <f>IF(DS35&lt;=Condition!$E$16,0,IF(DS35&lt;=Condition!$F$16,Condition!$D$16,IF(DS35&lt;=Condition!$F$17,Condition!$D$17,IF(DS35&lt;=Condition!$F$18,Condition!$D$18,IF(DS35&gt;Condition!$E$19,Condition!$D$19,"")))))</f>
        <v>0</v>
      </c>
      <c r="DT78" s="85">
        <f>IF(DT35&lt;=Condition!$E$16,0,IF(DT35&lt;=Condition!$F$16,Condition!$D$16,IF(DT35&lt;=Condition!$F$17,Condition!$D$17,IF(DT35&lt;=Condition!$F$18,Condition!$D$18,IF(DT35&gt;Condition!$E$19,Condition!$D$19,"")))))</f>
        <v>0</v>
      </c>
      <c r="DU78" s="85">
        <f>IF(DU35&lt;=Condition!$E$16,0,IF(DU35&lt;=Condition!$F$16,Condition!$D$16,IF(DU35&lt;=Condition!$F$17,Condition!$D$17,IF(DU35&lt;=Condition!$F$18,Condition!$D$18,IF(DU35&gt;Condition!$E$19,Condition!$D$19,"")))))</f>
        <v>0</v>
      </c>
      <c r="DV78" s="85">
        <f>IF(DV35&lt;=Condition!$E$16,0,IF(DV35&lt;=Condition!$F$16,Condition!$D$16,IF(DV35&lt;=Condition!$F$17,Condition!$D$17,IF(DV35&lt;=Condition!$F$18,Condition!$D$18,IF(DV35&gt;Condition!$E$19,Condition!$D$19,"")))))</f>
        <v>0</v>
      </c>
      <c r="DW78" s="85">
        <f>IF(DW35&lt;=Condition!$E$16,0,IF(DW35&lt;=Condition!$F$16,Condition!$D$16,IF(DW35&lt;=Condition!$F$17,Condition!$D$17,IF(DW35&lt;=Condition!$F$18,Condition!$D$18,IF(DW35&gt;Condition!$E$19,Condition!$D$19,"")))))</f>
        <v>0</v>
      </c>
      <c r="DX78" s="85">
        <f>IF(DX35&lt;=Condition!$E$16,0,IF(DX35&lt;=Condition!$F$16,Condition!$D$16,IF(DX35&lt;=Condition!$F$17,Condition!$D$17,IF(DX35&lt;=Condition!$F$18,Condition!$D$18,IF(DX35&gt;Condition!$E$19,Condition!$D$19,"")))))</f>
        <v>0</v>
      </c>
      <c r="DY78" s="85">
        <f>IF(DY35&lt;=Condition!$E$16,0,IF(DY35&lt;=Condition!$F$16,Condition!$D$16,IF(DY35&lt;=Condition!$F$17,Condition!$D$17,IF(DY35&lt;=Condition!$F$18,Condition!$D$18,IF(DY35&gt;Condition!$E$19,Condition!$D$19,"")))))</f>
        <v>0</v>
      </c>
      <c r="DZ78" s="85">
        <f>IF(DZ35&lt;=Condition!$E$16,0,IF(DZ35&lt;=Condition!$F$16,Condition!$D$16,IF(DZ35&lt;=Condition!$F$17,Condition!$D$17,IF(DZ35&lt;=Condition!$F$18,Condition!$D$18,IF(DZ35&gt;Condition!$E$19,Condition!$D$19,"")))))</f>
        <v>0</v>
      </c>
      <c r="EA78" s="85">
        <f>IF(EA35&lt;=Condition!$E$16,0,IF(EA35&lt;=Condition!$F$16,Condition!$D$16,IF(EA35&lt;=Condition!$F$17,Condition!$D$17,IF(EA35&lt;=Condition!$F$18,Condition!$D$18,IF(EA35&gt;Condition!$E$19,Condition!$D$19,"")))))</f>
        <v>0</v>
      </c>
      <c r="EB78" s="85">
        <f>IF(EB35&lt;=Condition!$E$16,0,IF(EB35&lt;=Condition!$F$16,Condition!$D$16,IF(EB35&lt;=Condition!$F$17,Condition!$D$17,IF(EB35&lt;=Condition!$F$18,Condition!$D$18,IF(EB35&gt;Condition!$E$19,Condition!$D$19,"")))))</f>
        <v>0</v>
      </c>
      <c r="EC78" s="85">
        <f>IF(EC35&lt;=Condition!$E$16,0,IF(EC35&lt;=Condition!$F$16,Condition!$D$16,IF(EC35&lt;=Condition!$F$17,Condition!$D$17,IF(EC35&lt;=Condition!$F$18,Condition!$D$18,IF(EC35&gt;Condition!$E$19,Condition!$D$19,"")))))</f>
        <v>0</v>
      </c>
      <c r="ED78" s="85">
        <f>IF(ED35&lt;=Condition!$E$16,0,IF(ED35&lt;=Condition!$F$16,Condition!$D$16,IF(ED35&lt;=Condition!$F$17,Condition!$D$17,IF(ED35&lt;=Condition!$F$18,Condition!$D$18,IF(ED35&gt;Condition!$E$19,Condition!$D$19,"")))))</f>
        <v>0</v>
      </c>
      <c r="EE78" s="85">
        <f>IF(EE35&lt;=Condition!$E$16,0,IF(EE35&lt;=Condition!$F$16,Condition!$D$16,IF(EE35&lt;=Condition!$F$17,Condition!$D$17,IF(EE35&lt;=Condition!$F$18,Condition!$D$18,IF(EE35&gt;Condition!$E$19,Condition!$D$19,"")))))</f>
        <v>0</v>
      </c>
      <c r="EF78" s="85">
        <f>IF(EF35&lt;=Condition!$E$16,0,IF(EF35&lt;=Condition!$F$16,Condition!$D$16,IF(EF35&lt;=Condition!$F$17,Condition!$D$17,IF(EF35&lt;=Condition!$F$18,Condition!$D$18,IF(EF35&gt;Condition!$E$19,Condition!$D$19,"")))))</f>
        <v>0</v>
      </c>
      <c r="EG78" s="85">
        <f>IF(EG35&lt;=Condition!$E$16,0,IF(EG35&lt;=Condition!$F$16,Condition!$D$16,IF(EG35&lt;=Condition!$F$17,Condition!$D$17,IF(EG35&lt;=Condition!$F$18,Condition!$D$18,IF(EG35&gt;Condition!$E$19,Condition!$D$19,"")))))</f>
        <v>0</v>
      </c>
      <c r="EH78" s="85">
        <f>IF(EH35&lt;=Condition!$E$16,0,IF(EH35&lt;=Condition!$F$16,Condition!$D$16,IF(EH35&lt;=Condition!$F$17,Condition!$D$17,IF(EH35&lt;=Condition!$F$18,Condition!$D$18,IF(EH35&gt;Condition!$E$19,Condition!$D$19,"")))))</f>
        <v>0</v>
      </c>
      <c r="EI78" s="85">
        <f>IF(EI35&lt;=Condition!$E$16,0,IF(EI35&lt;=Condition!$F$16,Condition!$D$16,IF(EI35&lt;=Condition!$F$17,Condition!$D$17,IF(EI35&lt;=Condition!$F$18,Condition!$D$18,IF(EI35&gt;Condition!$E$19,Condition!$D$19,"")))))</f>
        <v>0</v>
      </c>
      <c r="EJ78" s="85">
        <f>IF(EJ35&lt;=Condition!$E$16,0,IF(EJ35&lt;=Condition!$F$16,Condition!$D$16,IF(EJ35&lt;=Condition!$F$17,Condition!$D$17,IF(EJ35&lt;=Condition!$F$18,Condition!$D$18,IF(EJ35&gt;Condition!$E$19,Condition!$D$19,"")))))</f>
        <v>0</v>
      </c>
      <c r="EK78" s="85">
        <f>IF(EK35&lt;=Condition!$E$16,0,IF(EK35&lt;=Condition!$F$16,Condition!$D$16,IF(EK35&lt;=Condition!$F$17,Condition!$D$17,IF(EK35&lt;=Condition!$F$18,Condition!$D$18,IF(EK35&gt;Condition!$E$19,Condition!$D$19,"")))))</f>
        <v>0</v>
      </c>
      <c r="EL78" s="85">
        <f>IF(EL35&lt;=Condition!$E$16,0,IF(EL35&lt;=Condition!$F$16,Condition!$D$16,IF(EL35&lt;=Condition!$F$17,Condition!$D$17,IF(EL35&lt;=Condition!$F$18,Condition!$D$18,IF(EL35&gt;Condition!$E$19,Condition!$D$19,"")))))</f>
        <v>0</v>
      </c>
      <c r="EM78" s="85">
        <f>IF(EM35&lt;=Condition!$E$16,0,IF(EM35&lt;=Condition!$F$16,Condition!$D$16,IF(EM35&lt;=Condition!$F$17,Condition!$D$17,IF(EM35&lt;=Condition!$F$18,Condition!$D$18,IF(EM35&gt;Condition!$E$19,Condition!$D$19,"")))))</f>
        <v>0</v>
      </c>
      <c r="EN78" s="85">
        <f>IF(EN35&lt;=Condition!$E$16,0,IF(EN35&lt;=Condition!$F$16,Condition!$D$16,IF(EN35&lt;=Condition!$F$17,Condition!$D$17,IF(EN35&lt;=Condition!$F$18,Condition!$D$18,IF(EN35&gt;Condition!$E$19,Condition!$D$19,"")))))</f>
        <v>0</v>
      </c>
      <c r="EO78" s="85">
        <f>IF(EO35&lt;=Condition!$E$16,0,IF(EO35&lt;=Condition!$F$16,Condition!$D$16,IF(EO35&lt;=Condition!$F$17,Condition!$D$17,IF(EO35&lt;=Condition!$F$18,Condition!$D$18,IF(EO35&gt;Condition!$E$19,Condition!$D$19,"")))))</f>
        <v>0</v>
      </c>
      <c r="EP78" s="85">
        <f>IF(EP35&lt;=Condition!$E$16,0,IF(EP35&lt;=Condition!$F$16,Condition!$D$16,IF(EP35&lt;=Condition!$F$17,Condition!$D$17,IF(EP35&lt;=Condition!$F$18,Condition!$D$18,IF(EP35&gt;Condition!$E$19,Condition!$D$19,"")))))</f>
        <v>0</v>
      </c>
      <c r="EQ78" s="85">
        <f>IF(EQ35&lt;=Condition!$E$16,0,IF(EQ35&lt;=Condition!$F$16,Condition!$D$16,IF(EQ35&lt;=Condition!$F$17,Condition!$D$17,IF(EQ35&lt;=Condition!$F$18,Condition!$D$18,IF(EQ35&gt;Condition!$E$19,Condition!$D$19,"")))))</f>
        <v>0</v>
      </c>
      <c r="ER78" s="85">
        <f>IF(ER35&lt;=Condition!$E$16,0,IF(ER35&lt;=Condition!$F$16,Condition!$D$16,IF(ER35&lt;=Condition!$F$17,Condition!$D$17,IF(ER35&lt;=Condition!$F$18,Condition!$D$18,IF(ER35&gt;Condition!$E$19,Condition!$D$19,"")))))</f>
        <v>0</v>
      </c>
      <c r="ES78" s="85">
        <f>IF(ES35&lt;=Condition!$E$16,0,IF(ES35&lt;=Condition!$F$16,Condition!$D$16,IF(ES35&lt;=Condition!$F$17,Condition!$D$17,IF(ES35&lt;=Condition!$F$18,Condition!$D$18,IF(ES35&gt;Condition!$E$19,Condition!$D$19,"")))))</f>
        <v>0</v>
      </c>
      <c r="ET78" s="85">
        <f>IF(ET35&lt;=Condition!$E$16,0,IF(ET35&lt;=Condition!$F$16,Condition!$D$16,IF(ET35&lt;=Condition!$F$17,Condition!$D$17,IF(ET35&lt;=Condition!$F$18,Condition!$D$18,IF(ET35&gt;Condition!$E$19,Condition!$D$19,"")))))</f>
        <v>0</v>
      </c>
      <c r="EU78" s="85">
        <f>IF(EU35&lt;=Condition!$E$16,0,IF(EU35&lt;=Condition!$F$16,Condition!$D$16,IF(EU35&lt;=Condition!$F$17,Condition!$D$17,IF(EU35&lt;=Condition!$F$18,Condition!$D$18,IF(EU35&gt;Condition!$E$19,Condition!$D$19,"")))))</f>
        <v>0</v>
      </c>
      <c r="EV78" s="85">
        <f>IF(EV35&lt;=Condition!$E$16,0,IF(EV35&lt;=Condition!$F$16,Condition!$D$16,IF(EV35&lt;=Condition!$F$17,Condition!$D$17,IF(EV35&lt;=Condition!$F$18,Condition!$D$18,IF(EV35&gt;Condition!$E$19,Condition!$D$19,"")))))</f>
        <v>0</v>
      </c>
      <c r="EW78" s="85">
        <f>IF(EW35&lt;=Condition!$E$16,0,IF(EW35&lt;=Condition!$F$16,Condition!$D$16,IF(EW35&lt;=Condition!$F$17,Condition!$D$17,IF(EW35&lt;=Condition!$F$18,Condition!$D$18,IF(EW35&gt;Condition!$E$19,Condition!$D$19,"")))))</f>
        <v>0</v>
      </c>
      <c r="EX78" s="85">
        <f>IF(EX35&lt;=Condition!$E$16,0,IF(EX35&lt;=Condition!$F$16,Condition!$D$16,IF(EX35&lt;=Condition!$F$17,Condition!$D$17,IF(EX35&lt;=Condition!$F$18,Condition!$D$18,IF(EX35&gt;Condition!$E$19,Condition!$D$19,"")))))</f>
        <v>0</v>
      </c>
      <c r="EY78" s="85">
        <f>IF(EY35&lt;=Condition!$E$16,0,IF(EY35&lt;=Condition!$F$16,Condition!$D$16,IF(EY35&lt;=Condition!$F$17,Condition!$D$17,IF(EY35&lt;=Condition!$F$18,Condition!$D$18,IF(EY35&gt;Condition!$E$19,Condition!$D$19,"")))))</f>
        <v>0</v>
      </c>
      <c r="EZ78" s="85">
        <f>IF(EZ35&lt;=Condition!$E$16,0,IF(EZ35&lt;=Condition!$F$16,Condition!$D$16,IF(EZ35&lt;=Condition!$F$17,Condition!$D$17,IF(EZ35&lt;=Condition!$F$18,Condition!$D$18,IF(EZ35&gt;Condition!$E$19,Condition!$D$19,"")))))</f>
        <v>0</v>
      </c>
      <c r="FA78" s="85">
        <f>IF(FA35&lt;=Condition!$E$16,0,IF(FA35&lt;=Condition!$F$16,Condition!$D$16,IF(FA35&lt;=Condition!$F$17,Condition!$D$17,IF(FA35&lt;=Condition!$F$18,Condition!$D$18,IF(FA35&gt;Condition!$E$19,Condition!$D$19,"")))))</f>
        <v>0</v>
      </c>
      <c r="FB78" s="85">
        <f>IF(FB35&lt;=Condition!$E$16,0,IF(FB35&lt;=Condition!$F$16,Condition!$D$16,IF(FB35&lt;=Condition!$F$17,Condition!$D$17,IF(FB35&lt;=Condition!$F$18,Condition!$D$18,IF(FB35&gt;Condition!$E$19,Condition!$D$19,"")))))</f>
        <v>0</v>
      </c>
      <c r="FC78" s="85">
        <f>IF(FC35&lt;=Condition!$E$16,0,IF(FC35&lt;=Condition!$F$16,Condition!$D$16,IF(FC35&lt;=Condition!$F$17,Condition!$D$17,IF(FC35&lt;=Condition!$F$18,Condition!$D$18,IF(FC35&gt;Condition!$E$19,Condition!$D$19,"")))))</f>
        <v>0</v>
      </c>
      <c r="FD78" s="85">
        <f>IF(FD35&lt;=Condition!$E$16,0,IF(FD35&lt;=Condition!$F$16,Condition!$D$16,IF(FD35&lt;=Condition!$F$17,Condition!$D$17,IF(FD35&lt;=Condition!$F$18,Condition!$D$18,IF(FD35&gt;Condition!$E$19,Condition!$D$19,"")))))</f>
        <v>0</v>
      </c>
      <c r="FE78" s="85">
        <f>IF(FE35&lt;=Condition!$E$16,0,IF(FE35&lt;=Condition!$F$16,Condition!$D$16,IF(FE35&lt;=Condition!$F$17,Condition!$D$17,IF(FE35&lt;=Condition!$F$18,Condition!$D$18,IF(FE35&gt;Condition!$E$19,Condition!$D$19,"")))))</f>
        <v>0</v>
      </c>
      <c r="FF78" s="85">
        <f>IF(FF35&lt;=Condition!$E$16,0,IF(FF35&lt;=Condition!$F$16,Condition!$D$16,IF(FF35&lt;=Condition!$F$17,Condition!$D$17,IF(FF35&lt;=Condition!$F$18,Condition!$D$18,IF(FF35&gt;Condition!$E$19,Condition!$D$19,"")))))</f>
        <v>0</v>
      </c>
      <c r="FG78" s="85">
        <f>IF(FG35&lt;=Condition!$E$16,0,IF(FG35&lt;=Condition!$F$16,Condition!$D$16,IF(FG35&lt;=Condition!$F$17,Condition!$D$17,IF(FG35&lt;=Condition!$F$18,Condition!$D$18,IF(FG35&gt;Condition!$E$19,Condition!$D$19,"")))))</f>
        <v>0</v>
      </c>
      <c r="FH78" s="85">
        <f>IF(FH35&lt;=Condition!$E$16,0,IF(FH35&lt;=Condition!$F$16,Condition!$D$16,IF(FH35&lt;=Condition!$F$17,Condition!$D$17,IF(FH35&lt;=Condition!$F$18,Condition!$D$18,IF(FH35&gt;Condition!$E$19,Condition!$D$19,"")))))</f>
        <v>0</v>
      </c>
      <c r="FI78" s="85">
        <f>IF(FI35&lt;=Condition!$E$16,0,IF(FI35&lt;=Condition!$F$16,Condition!$D$16,IF(FI35&lt;=Condition!$F$17,Condition!$D$17,IF(FI35&lt;=Condition!$F$18,Condition!$D$18,IF(FI35&gt;Condition!$E$19,Condition!$D$19,"")))))</f>
        <v>0</v>
      </c>
      <c r="FJ78" s="85">
        <f>IF(FJ35&lt;=Condition!$E$16,0,IF(FJ35&lt;=Condition!$F$16,Condition!$D$16,IF(FJ35&lt;=Condition!$F$17,Condition!$D$17,IF(FJ35&lt;=Condition!$F$18,Condition!$D$18,IF(FJ35&gt;Condition!$E$19,Condition!$D$19,"")))))</f>
        <v>0</v>
      </c>
      <c r="FK78" s="85">
        <f>IF(FK35&lt;=Condition!$E$16,0,IF(FK35&lt;=Condition!$F$16,Condition!$D$16,IF(FK35&lt;=Condition!$F$17,Condition!$D$17,IF(FK35&lt;=Condition!$F$18,Condition!$D$18,IF(FK35&gt;Condition!$E$19,Condition!$D$19,"")))))</f>
        <v>0</v>
      </c>
      <c r="FL78" s="85">
        <f>IF(FL35&lt;=Condition!$E$16,0,IF(FL35&lt;=Condition!$F$16,Condition!$D$16,IF(FL35&lt;=Condition!$F$17,Condition!$D$17,IF(FL35&lt;=Condition!$F$18,Condition!$D$18,IF(FL35&gt;Condition!$E$19,Condition!$D$19,"")))))</f>
        <v>0</v>
      </c>
      <c r="FM78" s="85">
        <f>IF(FM35&lt;=Condition!$E$16,0,IF(FM35&lt;=Condition!$F$16,Condition!$D$16,IF(FM35&lt;=Condition!$F$17,Condition!$D$17,IF(FM35&lt;=Condition!$F$18,Condition!$D$18,IF(FM35&gt;Condition!$E$19,Condition!$D$19,"")))))</f>
        <v>0</v>
      </c>
      <c r="FN78" s="85">
        <f>IF(FN35&lt;=Condition!$E$16,0,IF(FN35&lt;=Condition!$F$16,Condition!$D$16,IF(FN35&lt;=Condition!$F$17,Condition!$D$17,IF(FN35&lt;=Condition!$F$18,Condition!$D$18,IF(FN35&gt;Condition!$E$19,Condition!$D$19,"")))))</f>
        <v>0</v>
      </c>
      <c r="FO78" s="85">
        <f>IF(FO35&lt;=Condition!$E$16,0,IF(FO35&lt;=Condition!$F$16,Condition!$D$16,IF(FO35&lt;=Condition!$F$17,Condition!$D$17,IF(FO35&lt;=Condition!$F$18,Condition!$D$18,IF(FO35&gt;Condition!$E$19,Condition!$D$19,"")))))</f>
        <v>0</v>
      </c>
      <c r="FP78" s="85">
        <f>IF(FP35&lt;=Condition!$E$16,0,IF(FP35&lt;=Condition!$F$16,Condition!$D$16,IF(FP35&lt;=Condition!$F$17,Condition!$D$17,IF(FP35&lt;=Condition!$F$18,Condition!$D$18,IF(FP35&gt;Condition!$E$19,Condition!$D$19,"")))))</f>
        <v>0</v>
      </c>
      <c r="FQ78" s="85">
        <f>IF(FQ35&lt;=Condition!$E$16,0,IF(FQ35&lt;=Condition!$F$16,Condition!$D$16,IF(FQ35&lt;=Condition!$F$17,Condition!$D$17,IF(FQ35&lt;=Condition!$F$18,Condition!$D$18,IF(FQ35&gt;Condition!$E$19,Condition!$D$19,"")))))</f>
        <v>0</v>
      </c>
      <c r="FR78" s="85">
        <f>IF(FR35&lt;=Condition!$E$16,0,IF(FR35&lt;=Condition!$F$16,Condition!$D$16,IF(FR35&lt;=Condition!$F$17,Condition!$D$17,IF(FR35&lt;=Condition!$F$18,Condition!$D$18,IF(FR35&gt;Condition!$E$19,Condition!$D$19,"")))))</f>
        <v>0</v>
      </c>
      <c r="FS78" s="85">
        <f>IF(FS35&lt;=Condition!$E$16,0,IF(FS35&lt;=Condition!$F$16,Condition!$D$16,IF(FS35&lt;=Condition!$F$17,Condition!$D$17,IF(FS35&lt;=Condition!$F$18,Condition!$D$18,IF(FS35&gt;Condition!$E$19,Condition!$D$19,"")))))</f>
        <v>0</v>
      </c>
      <c r="FT78" s="85">
        <f>IF(FT35&lt;=Condition!$E$16,0,IF(FT35&lt;=Condition!$F$16,Condition!$D$16,IF(FT35&lt;=Condition!$F$17,Condition!$D$17,IF(FT35&lt;=Condition!$F$18,Condition!$D$18,IF(FT35&gt;Condition!$E$19,Condition!$D$19,"")))))</f>
        <v>0</v>
      </c>
      <c r="FU78" s="85">
        <f>IF(FU35&lt;=Condition!$E$16,0,IF(FU35&lt;=Condition!$F$16,Condition!$D$16,IF(FU35&lt;=Condition!$F$17,Condition!$D$17,IF(FU35&lt;=Condition!$F$18,Condition!$D$18,IF(FU35&gt;Condition!$E$19,Condition!$D$19,"")))))</f>
        <v>0</v>
      </c>
      <c r="FV78" s="85">
        <f>IF(FV35&lt;=Condition!$E$16,0,IF(FV35&lt;=Condition!$F$16,Condition!$D$16,IF(FV35&lt;=Condition!$F$17,Condition!$D$17,IF(FV35&lt;=Condition!$F$18,Condition!$D$18,IF(FV35&gt;Condition!$E$19,Condition!$D$19,"")))))</f>
        <v>0</v>
      </c>
      <c r="FW78" s="85">
        <f>IF(FW35&lt;=Condition!$E$16,0,IF(FW35&lt;=Condition!$F$16,Condition!$D$16,IF(FW35&lt;=Condition!$F$17,Condition!$D$17,IF(FW35&lt;=Condition!$F$18,Condition!$D$18,IF(FW35&gt;Condition!$E$19,Condition!$D$19,"")))))</f>
        <v>0</v>
      </c>
      <c r="FX78" s="85">
        <f>IF(FX35&lt;=Condition!$E$16,0,IF(FX35&lt;=Condition!$F$16,Condition!$D$16,IF(FX35&lt;=Condition!$F$17,Condition!$D$17,IF(FX35&lt;=Condition!$F$18,Condition!$D$18,IF(FX35&gt;Condition!$E$19,Condition!$D$19,"")))))</f>
        <v>0</v>
      </c>
      <c r="FY78" s="85">
        <f>IF(FY35&lt;=Condition!$E$16,0,IF(FY35&lt;=Condition!$F$16,Condition!$D$16,IF(FY35&lt;=Condition!$F$17,Condition!$D$17,IF(FY35&lt;=Condition!$F$18,Condition!$D$18,IF(FY35&gt;Condition!$E$19,Condition!$D$19,"")))))</f>
        <v>0</v>
      </c>
      <c r="FZ78" s="85">
        <f>IF(FZ35&lt;=Condition!$E$16,0,IF(FZ35&lt;=Condition!$F$16,Condition!$D$16,IF(FZ35&lt;=Condition!$F$17,Condition!$D$17,IF(FZ35&lt;=Condition!$F$18,Condition!$D$18,IF(FZ35&gt;Condition!$E$19,Condition!$D$19,"")))))</f>
        <v>0</v>
      </c>
      <c r="GA78" s="85">
        <f>IF(GA35&lt;=Condition!$E$16,0,IF(GA35&lt;=Condition!$F$16,Condition!$D$16,IF(GA35&lt;=Condition!$F$17,Condition!$D$17,IF(GA35&lt;=Condition!$F$18,Condition!$D$18,IF(GA35&gt;Condition!$E$19,Condition!$D$19,"")))))</f>
        <v>0</v>
      </c>
      <c r="GB78" s="85">
        <f>IF(GB35&lt;=Condition!$E$16,0,IF(GB35&lt;=Condition!$F$16,Condition!$D$16,IF(GB35&lt;=Condition!$F$17,Condition!$D$17,IF(GB35&lt;=Condition!$F$18,Condition!$D$18,IF(GB35&gt;Condition!$E$19,Condition!$D$19,"")))))</f>
        <v>0</v>
      </c>
      <c r="GC78" s="85">
        <f>IF(GC35&lt;=Condition!$E$16,0,IF(GC35&lt;=Condition!$F$16,Condition!$D$16,IF(GC35&lt;=Condition!$F$17,Condition!$D$17,IF(GC35&lt;=Condition!$F$18,Condition!$D$18,IF(GC35&gt;Condition!$E$19,Condition!$D$19,"")))))</f>
        <v>0</v>
      </c>
      <c r="GD78" s="85">
        <f>IF(GD35&lt;=Condition!$E$16,0,IF(GD35&lt;=Condition!$F$16,Condition!$D$16,IF(GD35&lt;=Condition!$F$17,Condition!$D$17,IF(GD35&lt;=Condition!$F$18,Condition!$D$18,IF(GD35&gt;Condition!$E$19,Condition!$D$19,"")))))</f>
        <v>0</v>
      </c>
      <c r="GE78" s="85">
        <f>IF(GE35&lt;=Condition!$E$16,0,IF(GE35&lt;=Condition!$F$16,Condition!$D$16,IF(GE35&lt;=Condition!$F$17,Condition!$D$17,IF(GE35&lt;=Condition!$F$18,Condition!$D$18,IF(GE35&gt;Condition!$E$19,Condition!$D$19,"")))))</f>
        <v>0</v>
      </c>
      <c r="GF78" s="85">
        <f>IF(GF35&lt;=Condition!$E$16,0,IF(GF35&lt;=Condition!$F$16,Condition!$D$16,IF(GF35&lt;=Condition!$F$17,Condition!$D$17,IF(GF35&lt;=Condition!$F$18,Condition!$D$18,IF(GF35&gt;Condition!$E$19,Condition!$D$19,"")))))</f>
        <v>0</v>
      </c>
      <c r="GG78" s="85">
        <f>IF(GG35&lt;=Condition!$E$16,0,IF(GG35&lt;=Condition!$F$16,Condition!$D$16,IF(GG35&lt;=Condition!$F$17,Condition!$D$17,IF(GG35&lt;=Condition!$F$18,Condition!$D$18,IF(GG35&gt;Condition!$E$19,Condition!$D$19,"")))))</f>
        <v>0</v>
      </c>
      <c r="GH78" s="85">
        <f>IF(GH35&lt;=Condition!$E$16,0,IF(GH35&lt;=Condition!$F$16,Condition!$D$16,IF(GH35&lt;=Condition!$F$17,Condition!$D$17,IF(GH35&lt;=Condition!$F$18,Condition!$D$18,IF(GH35&gt;Condition!$E$19,Condition!$D$19,"")))))</f>
        <v>0</v>
      </c>
      <c r="GI78" s="85">
        <f>IF(GI35&lt;=Condition!$E$16,0,IF(GI35&lt;=Condition!$F$16,Condition!$D$16,IF(GI35&lt;=Condition!$F$17,Condition!$D$17,IF(GI35&lt;=Condition!$F$18,Condition!$D$18,IF(GI35&gt;Condition!$E$19,Condition!$D$19,"")))))</f>
        <v>0</v>
      </c>
      <c r="GJ78" s="85">
        <f>IF(GJ35&lt;=Condition!$E$16,0,IF(GJ35&lt;=Condition!$F$16,Condition!$D$16,IF(GJ35&lt;=Condition!$F$17,Condition!$D$17,IF(GJ35&lt;=Condition!$F$18,Condition!$D$18,IF(GJ35&gt;Condition!$E$19,Condition!$D$19,"")))))</f>
        <v>0</v>
      </c>
      <c r="GK78" s="85">
        <f>IF(GK35&lt;=Condition!$E$16,0,IF(GK35&lt;=Condition!$F$16,Condition!$D$16,IF(GK35&lt;=Condition!$F$17,Condition!$D$17,IF(GK35&lt;=Condition!$F$18,Condition!$D$18,IF(GK35&gt;Condition!$E$19,Condition!$D$19,"")))))</f>
        <v>0</v>
      </c>
      <c r="GL78" s="85">
        <f>IF(GL35&lt;=Condition!$E$16,0,IF(GL35&lt;=Condition!$F$16,Condition!$D$16,IF(GL35&lt;=Condition!$F$17,Condition!$D$17,IF(GL35&lt;=Condition!$F$18,Condition!$D$18,IF(GL35&gt;Condition!$E$19,Condition!$D$19,"")))))</f>
        <v>0</v>
      </c>
      <c r="GM78" s="85">
        <f>IF(GM35&lt;=Condition!$E$16,0,IF(GM35&lt;=Condition!$F$16,Condition!$D$16,IF(GM35&lt;=Condition!$F$17,Condition!$D$17,IF(GM35&lt;=Condition!$F$18,Condition!$D$18,IF(GM35&gt;Condition!$E$19,Condition!$D$19,"")))))</f>
        <v>0</v>
      </c>
      <c r="GN78" s="85">
        <f>IF(GN35&lt;=Condition!$E$16,0,IF(GN35&lt;=Condition!$F$16,Condition!$D$16,IF(GN35&lt;=Condition!$F$17,Condition!$D$17,IF(GN35&lt;=Condition!$F$18,Condition!$D$18,IF(GN35&gt;Condition!$E$19,Condition!$D$19,"")))))</f>
        <v>0</v>
      </c>
      <c r="GO78" s="85">
        <f>IF(GO35&lt;=Condition!$E$16,0,IF(GO35&lt;=Condition!$F$16,Condition!$D$16,IF(GO35&lt;=Condition!$F$17,Condition!$D$17,IF(GO35&lt;=Condition!$F$18,Condition!$D$18,IF(GO35&gt;Condition!$E$19,Condition!$D$19,"")))))</f>
        <v>0</v>
      </c>
      <c r="GP78" s="85">
        <f>IF(GP35&lt;=Condition!$E$16,0,IF(GP35&lt;=Condition!$F$16,Condition!$D$16,IF(GP35&lt;=Condition!$F$17,Condition!$D$17,IF(GP35&lt;=Condition!$F$18,Condition!$D$18,IF(GP35&gt;Condition!$E$19,Condition!$D$19,"")))))</f>
        <v>0</v>
      </c>
      <c r="GQ78" s="85">
        <f>IF(GQ35&lt;=Condition!$E$16,0,IF(GQ35&lt;=Condition!$F$16,Condition!$D$16,IF(GQ35&lt;=Condition!$F$17,Condition!$D$17,IF(GQ35&lt;=Condition!$F$18,Condition!$D$18,IF(GQ35&gt;Condition!$E$19,Condition!$D$19,"")))))</f>
        <v>0</v>
      </c>
      <c r="GR78" s="85">
        <f>IF(GR35&lt;=Condition!$E$16,0,IF(GR35&lt;=Condition!$F$16,Condition!$D$16,IF(GR35&lt;=Condition!$F$17,Condition!$D$17,IF(GR35&lt;=Condition!$F$18,Condition!$D$18,IF(GR35&gt;Condition!$E$19,Condition!$D$19,"")))))</f>
        <v>0</v>
      </c>
      <c r="GS78" s="85">
        <f>IF(GS35&lt;=Condition!$E$16,0,IF(GS35&lt;=Condition!$F$16,Condition!$D$16,IF(GS35&lt;=Condition!$F$17,Condition!$D$17,IF(GS35&lt;=Condition!$F$18,Condition!$D$18,IF(GS35&gt;Condition!$E$19,Condition!$D$19,"")))))</f>
        <v>0</v>
      </c>
      <c r="GT78" s="85">
        <f>IF(GT35&lt;=Condition!$E$16,0,IF(GT35&lt;=Condition!$F$16,Condition!$D$16,IF(GT35&lt;=Condition!$F$17,Condition!$D$17,IF(GT35&lt;=Condition!$F$18,Condition!$D$18,IF(GT35&gt;Condition!$E$19,Condition!$D$19,"")))))</f>
        <v>0</v>
      </c>
      <c r="GU78" s="85">
        <f>IF(GU35&lt;=Condition!$E$16,0,IF(GU35&lt;=Condition!$F$16,Condition!$D$16,IF(GU35&lt;=Condition!$F$17,Condition!$D$17,IF(GU35&lt;=Condition!$F$18,Condition!$D$18,IF(GU35&gt;Condition!$E$19,Condition!$D$19,"")))))</f>
        <v>0</v>
      </c>
      <c r="GV78" s="85">
        <f>IF(GV35&lt;=Condition!$E$16,0,IF(GV35&lt;=Condition!$F$16,Condition!$D$16,IF(GV35&lt;=Condition!$F$17,Condition!$D$17,IF(GV35&lt;=Condition!$F$18,Condition!$D$18,IF(GV35&gt;Condition!$E$19,Condition!$D$19,"")))))</f>
        <v>0</v>
      </c>
      <c r="GW78" s="85">
        <f>IF(GW35&lt;=Condition!$E$16,0,IF(GW35&lt;=Condition!$F$16,Condition!$D$16,IF(GW35&lt;=Condition!$F$17,Condition!$D$17,IF(GW35&lt;=Condition!$F$18,Condition!$D$18,IF(GW35&gt;Condition!$E$19,Condition!$D$19,"")))))</f>
        <v>0</v>
      </c>
      <c r="GX78" s="85">
        <f>IF(GX35&lt;=Condition!$E$16,0,IF(GX35&lt;=Condition!$F$16,Condition!$D$16,IF(GX35&lt;=Condition!$F$17,Condition!$D$17,IF(GX35&lt;=Condition!$F$18,Condition!$D$18,IF(GX35&gt;Condition!$E$19,Condition!$D$19,"")))))</f>
        <v>0</v>
      </c>
      <c r="GY78" s="85">
        <f>IF(GY35&lt;=Condition!$E$16,0,IF(GY35&lt;=Condition!$F$16,Condition!$D$16,IF(GY35&lt;=Condition!$F$17,Condition!$D$17,IF(GY35&lt;=Condition!$F$18,Condition!$D$18,IF(GY35&gt;Condition!$E$19,Condition!$D$19,"")))))</f>
        <v>0</v>
      </c>
      <c r="GZ78" s="85">
        <f>IF(GZ35&lt;=Condition!$E$16,0,IF(GZ35&lt;=Condition!$F$16,Condition!$D$16,IF(GZ35&lt;=Condition!$F$17,Condition!$D$17,IF(GZ35&lt;=Condition!$F$18,Condition!$D$18,IF(GZ35&gt;Condition!$E$19,Condition!$D$19,"")))))</f>
        <v>0</v>
      </c>
      <c r="HA78" s="85">
        <f>IF(HA35&lt;=Condition!$E$16,0,IF(HA35&lt;=Condition!$F$16,Condition!$D$16,IF(HA35&lt;=Condition!$F$17,Condition!$D$17,IF(HA35&lt;=Condition!$F$18,Condition!$D$18,IF(HA35&gt;Condition!$E$19,Condition!$D$19,"")))))</f>
        <v>0</v>
      </c>
      <c r="HB78" s="85">
        <f>IF(HB35&lt;=Condition!$E$16,0,IF(HB35&lt;=Condition!$F$16,Condition!$D$16,IF(HB35&lt;=Condition!$F$17,Condition!$D$17,IF(HB35&lt;=Condition!$F$18,Condition!$D$18,IF(HB35&gt;Condition!$E$19,Condition!$D$19,"")))))</f>
        <v>0</v>
      </c>
      <c r="HC78" s="85">
        <f>IF(HC35&lt;=Condition!$E$16,0,IF(HC35&lt;=Condition!$F$16,Condition!$D$16,IF(HC35&lt;=Condition!$F$17,Condition!$D$17,IF(HC35&lt;=Condition!$F$18,Condition!$D$18,IF(HC35&gt;Condition!$E$19,Condition!$D$19,"")))))</f>
        <v>0</v>
      </c>
      <c r="HD78" s="85">
        <f>IF(HD35&lt;=Condition!$E$16,0,IF(HD35&lt;=Condition!$F$16,Condition!$D$16,IF(HD35&lt;=Condition!$F$17,Condition!$D$17,IF(HD35&lt;=Condition!$F$18,Condition!$D$18,IF(HD35&gt;Condition!$E$19,Condition!$D$19,"")))))</f>
        <v>0</v>
      </c>
      <c r="HE78" s="85">
        <f>IF(HE35&lt;=Condition!$E$16,0,IF(HE35&lt;=Condition!$F$16,Condition!$D$16,IF(HE35&lt;=Condition!$F$17,Condition!$D$17,IF(HE35&lt;=Condition!$F$18,Condition!$D$18,IF(HE35&gt;Condition!$E$19,Condition!$D$19,"")))))</f>
        <v>0</v>
      </c>
      <c r="HF78" s="85">
        <f>IF(HF35&lt;=Condition!$E$16,0,IF(HF35&lt;=Condition!$F$16,Condition!$D$16,IF(HF35&lt;=Condition!$F$17,Condition!$D$17,IF(HF35&lt;=Condition!$F$18,Condition!$D$18,IF(HF35&gt;Condition!$E$19,Condition!$D$19,"")))))</f>
        <v>0</v>
      </c>
      <c r="HG78" s="85">
        <f>IF(HG35&lt;=Condition!$E$16,0,IF(HG35&lt;=Condition!$F$16,Condition!$D$16,IF(HG35&lt;=Condition!$F$17,Condition!$D$17,IF(HG35&lt;=Condition!$F$18,Condition!$D$18,IF(HG35&gt;Condition!$E$19,Condition!$D$19,"")))))</f>
        <v>0</v>
      </c>
      <c r="HH78" s="85">
        <f>IF(HH35&lt;=Condition!$E$16,0,IF(HH35&lt;=Condition!$F$16,Condition!$D$16,IF(HH35&lt;=Condition!$F$17,Condition!$D$17,IF(HH35&lt;=Condition!$F$18,Condition!$D$18,IF(HH35&gt;Condition!$E$19,Condition!$D$19,"")))))</f>
        <v>0</v>
      </c>
      <c r="HI78" s="85">
        <f>IF(HI35&lt;=Condition!$E$16,0,IF(HI35&lt;=Condition!$F$16,Condition!$D$16,IF(HI35&lt;=Condition!$F$17,Condition!$D$17,IF(HI35&lt;=Condition!$F$18,Condition!$D$18,IF(HI35&gt;Condition!$E$19,Condition!$D$19,"")))))</f>
        <v>0</v>
      </c>
      <c r="HJ78" s="85">
        <f>IF(HJ35&lt;=Condition!$E$16,0,IF(HJ35&lt;=Condition!$F$16,Condition!$D$16,IF(HJ35&lt;=Condition!$F$17,Condition!$D$17,IF(HJ35&lt;=Condition!$F$18,Condition!$D$18,IF(HJ35&gt;Condition!$E$19,Condition!$D$19,"")))))</f>
        <v>0</v>
      </c>
      <c r="HK78" s="85">
        <f>IF(HK35&lt;=Condition!$E$16,0,IF(HK35&lt;=Condition!$F$16,Condition!$D$16,IF(HK35&lt;=Condition!$F$17,Condition!$D$17,IF(HK35&lt;=Condition!$F$18,Condition!$D$18,IF(HK35&gt;Condition!$E$19,Condition!$D$19,"")))))</f>
        <v>0</v>
      </c>
      <c r="HL78" s="85">
        <f>IF(HL35&lt;=Condition!$E$16,0,IF(HL35&lt;=Condition!$F$16,Condition!$D$16,IF(HL35&lt;=Condition!$F$17,Condition!$D$17,IF(HL35&lt;=Condition!$F$18,Condition!$D$18,IF(HL35&gt;Condition!$E$19,Condition!$D$19,"")))))</f>
        <v>0</v>
      </c>
      <c r="HM78" s="85">
        <f>IF(HM35&lt;=Condition!$E$16,0,IF(HM35&lt;=Condition!$F$16,Condition!$D$16,IF(HM35&lt;=Condition!$F$17,Condition!$D$17,IF(HM35&lt;=Condition!$F$18,Condition!$D$18,IF(HM35&gt;Condition!$E$19,Condition!$D$19,"")))))</f>
        <v>0</v>
      </c>
      <c r="HN78" s="85">
        <f>IF(HN35&lt;=Condition!$E$16,0,IF(HN35&lt;=Condition!$F$16,Condition!$D$16,IF(HN35&lt;=Condition!$F$17,Condition!$D$17,IF(HN35&lt;=Condition!$F$18,Condition!$D$18,IF(HN35&gt;Condition!$E$19,Condition!$D$19,"")))))</f>
        <v>0</v>
      </c>
      <c r="HO78" s="85">
        <f>IF(HO35&lt;=Condition!$E$16,0,IF(HO35&lt;=Condition!$F$16,Condition!$D$16,IF(HO35&lt;=Condition!$F$17,Condition!$D$17,IF(HO35&lt;=Condition!$F$18,Condition!$D$18,IF(HO35&gt;Condition!$E$19,Condition!$D$19,"")))))</f>
        <v>0</v>
      </c>
      <c r="HP78" s="85">
        <f>IF(HP35&lt;=Condition!$E$16,0,IF(HP35&lt;=Condition!$F$16,Condition!$D$16,IF(HP35&lt;=Condition!$F$17,Condition!$D$17,IF(HP35&lt;=Condition!$F$18,Condition!$D$18,IF(HP35&gt;Condition!$E$19,Condition!$D$19,"")))))</f>
        <v>0</v>
      </c>
      <c r="HQ78" s="85">
        <f>IF(HQ35&lt;=Condition!$E$16,0,IF(HQ35&lt;=Condition!$F$16,Condition!$D$16,IF(HQ35&lt;=Condition!$F$17,Condition!$D$17,IF(HQ35&lt;=Condition!$F$18,Condition!$D$18,IF(HQ35&gt;Condition!$E$19,Condition!$D$19,"")))))</f>
        <v>0</v>
      </c>
      <c r="HR78" s="85">
        <f>IF(HR35&lt;=Condition!$E$16,0,IF(HR35&lt;=Condition!$F$16,Condition!$D$16,IF(HR35&lt;=Condition!$F$17,Condition!$D$17,IF(HR35&lt;=Condition!$F$18,Condition!$D$18,IF(HR35&gt;Condition!$E$19,Condition!$D$19,"")))))</f>
        <v>0</v>
      </c>
      <c r="HS78" s="85">
        <f>IF(HS35&lt;=Condition!$E$16,0,IF(HS35&lt;=Condition!$F$16,Condition!$D$16,IF(HS35&lt;=Condition!$F$17,Condition!$D$17,IF(HS35&lt;=Condition!$F$18,Condition!$D$18,IF(HS35&gt;Condition!$E$19,Condition!$D$19,"")))))</f>
        <v>0</v>
      </c>
      <c r="HT78" s="85">
        <f>IF(HT35&lt;=Condition!$E$16,0,IF(HT35&lt;=Condition!$F$16,Condition!$D$16,IF(HT35&lt;=Condition!$F$17,Condition!$D$17,IF(HT35&lt;=Condition!$F$18,Condition!$D$18,IF(HT35&gt;Condition!$E$19,Condition!$D$19,"")))))</f>
        <v>0</v>
      </c>
      <c r="HU78" s="85">
        <f>IF(HU35&lt;=Condition!$E$16,0,IF(HU35&lt;=Condition!$F$16,Condition!$D$16,IF(HU35&lt;=Condition!$F$17,Condition!$D$17,IF(HU35&lt;=Condition!$F$18,Condition!$D$18,IF(HU35&gt;Condition!$E$19,Condition!$D$19,"")))))</f>
        <v>0</v>
      </c>
      <c r="HV78" s="85">
        <f>IF(HV35&lt;=Condition!$E$16,0,IF(HV35&lt;=Condition!$F$16,Condition!$D$16,IF(HV35&lt;=Condition!$F$17,Condition!$D$17,IF(HV35&lt;=Condition!$F$18,Condition!$D$18,IF(HV35&gt;Condition!$E$19,Condition!$D$19,"")))))</f>
        <v>0</v>
      </c>
      <c r="HW78" s="85">
        <f>IF(HW35&lt;=Condition!$E$16,0,IF(HW35&lt;=Condition!$F$16,Condition!$D$16,IF(HW35&lt;=Condition!$F$17,Condition!$D$17,IF(HW35&lt;=Condition!$F$18,Condition!$D$18,IF(HW35&gt;Condition!$E$19,Condition!$D$19,"")))))</f>
        <v>0</v>
      </c>
      <c r="HX78" s="85">
        <f>IF(HX35&lt;=Condition!$E$16,0,IF(HX35&lt;=Condition!$F$16,Condition!$D$16,IF(HX35&lt;=Condition!$F$17,Condition!$D$17,IF(HX35&lt;=Condition!$F$18,Condition!$D$18,IF(HX35&gt;Condition!$E$19,Condition!$D$19,"")))))</f>
        <v>0</v>
      </c>
      <c r="HY78" s="85">
        <f>IF(HY35&lt;=Condition!$E$16,0,IF(HY35&lt;=Condition!$F$16,Condition!$D$16,IF(HY35&lt;=Condition!$F$17,Condition!$D$17,IF(HY35&lt;=Condition!$F$18,Condition!$D$18,IF(HY35&gt;Condition!$E$19,Condition!$D$19,"")))))</f>
        <v>0</v>
      </c>
      <c r="HZ78" s="85">
        <f>IF(HZ35&lt;=Condition!$E$16,0,IF(HZ35&lt;=Condition!$F$16,Condition!$D$16,IF(HZ35&lt;=Condition!$F$17,Condition!$D$17,IF(HZ35&lt;=Condition!$F$18,Condition!$D$18,IF(HZ35&gt;Condition!$E$19,Condition!$D$19,"")))))</f>
        <v>0</v>
      </c>
      <c r="IA78" s="85">
        <f>IF(IA35&lt;=Condition!$E$16,0,IF(IA35&lt;=Condition!$F$16,Condition!$D$16,IF(IA35&lt;=Condition!$F$17,Condition!$D$17,IF(IA35&lt;=Condition!$F$18,Condition!$D$18,IF(IA35&gt;Condition!$E$19,Condition!$D$19,"")))))</f>
        <v>0</v>
      </c>
      <c r="IB78" s="85">
        <f>IF(IB35&lt;=Condition!$E$16,0,IF(IB35&lt;=Condition!$F$16,Condition!$D$16,IF(IB35&lt;=Condition!$F$17,Condition!$D$17,IF(IB35&lt;=Condition!$F$18,Condition!$D$18,IF(IB35&gt;Condition!$E$19,Condition!$D$19,"")))))</f>
        <v>0</v>
      </c>
      <c r="IC78" s="85">
        <f>IF(IC35&lt;=Condition!$E$16,0,IF(IC35&lt;=Condition!$F$16,Condition!$D$16,IF(IC35&lt;=Condition!$F$17,Condition!$D$17,IF(IC35&lt;=Condition!$F$18,Condition!$D$18,IF(IC35&gt;Condition!$E$19,Condition!$D$19,"")))))</f>
        <v>0</v>
      </c>
      <c r="ID78" s="85">
        <f>IF(ID35&lt;=Condition!$E$16,0,IF(ID35&lt;=Condition!$F$16,Condition!$D$16,IF(ID35&lt;=Condition!$F$17,Condition!$D$17,IF(ID35&lt;=Condition!$F$18,Condition!$D$18,IF(ID35&gt;Condition!$E$19,Condition!$D$19,"")))))</f>
        <v>0</v>
      </c>
      <c r="IE78" s="85">
        <f>IF(IE35&lt;=Condition!$E$16,0,IF(IE35&lt;=Condition!$F$16,Condition!$D$16,IF(IE35&lt;=Condition!$F$17,Condition!$D$17,IF(IE35&lt;=Condition!$F$18,Condition!$D$18,IF(IE35&gt;Condition!$E$19,Condition!$D$19,"")))))</f>
        <v>0</v>
      </c>
      <c r="IF78" s="85">
        <f>IF(IF35&lt;=Condition!$E$16,0,IF(IF35&lt;=Condition!$F$16,Condition!$D$16,IF(IF35&lt;=Condition!$F$17,Condition!$D$17,IF(IF35&lt;=Condition!$F$18,Condition!$D$18,IF(IF35&gt;Condition!$E$19,Condition!$D$19,"")))))</f>
        <v>0</v>
      </c>
      <c r="IG78" s="85">
        <f>IF(IG35&lt;=Condition!$E$16,0,IF(IG35&lt;=Condition!$F$16,Condition!$D$16,IF(IG35&lt;=Condition!$F$17,Condition!$D$17,IF(IG35&lt;=Condition!$F$18,Condition!$D$18,IF(IG35&gt;Condition!$E$19,Condition!$D$19,"")))))</f>
        <v>0</v>
      </c>
      <c r="IH78" s="85">
        <f>IF(IH35&lt;=Condition!$E$16,0,IF(IH35&lt;=Condition!$F$16,Condition!$D$16,IF(IH35&lt;=Condition!$F$17,Condition!$D$17,IF(IH35&lt;=Condition!$F$18,Condition!$D$18,IF(IH35&gt;Condition!$E$19,Condition!$D$19,"")))))</f>
        <v>0</v>
      </c>
      <c r="II78" s="85">
        <f>IF(II35&lt;=Condition!$E$16,0,IF(II35&lt;=Condition!$F$16,Condition!$D$16,IF(II35&lt;=Condition!$F$17,Condition!$D$17,IF(II35&lt;=Condition!$F$18,Condition!$D$18,IF(II35&gt;Condition!$E$19,Condition!$D$19,"")))))</f>
        <v>0</v>
      </c>
      <c r="IJ78" s="85">
        <f>IF(IJ35&lt;=Condition!$E$16,0,IF(IJ35&lt;=Condition!$F$16,Condition!$D$16,IF(IJ35&lt;=Condition!$F$17,Condition!$D$17,IF(IJ35&lt;=Condition!$F$18,Condition!$D$18,IF(IJ35&gt;Condition!$E$19,Condition!$D$19,"")))))</f>
        <v>0</v>
      </c>
      <c r="IK78" s="85">
        <f>IF(IK35&lt;=Condition!$E$16,0,IF(IK35&lt;=Condition!$F$16,Condition!$D$16,IF(IK35&lt;=Condition!$F$17,Condition!$D$17,IF(IK35&lt;=Condition!$F$18,Condition!$D$18,IF(IK35&gt;Condition!$E$19,Condition!$D$19,"")))))</f>
        <v>0</v>
      </c>
      <c r="IL78" s="85">
        <f>IF(IL35&lt;=Condition!$E$16,0,IF(IL35&lt;=Condition!$F$16,Condition!$D$16,IF(IL35&lt;=Condition!$F$17,Condition!$D$17,IF(IL35&lt;=Condition!$F$18,Condition!$D$18,IF(IL35&gt;Condition!$E$19,Condition!$D$19,"")))))</f>
        <v>0</v>
      </c>
      <c r="IM78" s="85">
        <f>IF(IM35&lt;=Condition!$E$16,0,IF(IM35&lt;=Condition!$F$16,Condition!$D$16,IF(IM35&lt;=Condition!$F$17,Condition!$D$17,IF(IM35&lt;=Condition!$F$18,Condition!$D$18,IF(IM35&gt;Condition!$E$19,Condition!$D$19,"")))))</f>
        <v>0</v>
      </c>
      <c r="IN78" s="85">
        <f>IF(IN35&lt;=Condition!$E$16,0,IF(IN35&lt;=Condition!$F$16,Condition!$D$16,IF(IN35&lt;=Condition!$F$17,Condition!$D$17,IF(IN35&lt;=Condition!$F$18,Condition!$D$18,IF(IN35&gt;Condition!$E$19,Condition!$D$19,"")))))</f>
        <v>0</v>
      </c>
      <c r="IO78" s="85">
        <f>IF(IO35&lt;=Condition!$E$16,0,IF(IO35&lt;=Condition!$F$16,Condition!$D$16,IF(IO35&lt;=Condition!$F$17,Condition!$D$17,IF(IO35&lt;=Condition!$F$18,Condition!$D$18,IF(IO35&gt;Condition!$E$19,Condition!$D$19,"")))))</f>
        <v>0</v>
      </c>
      <c r="IP78" s="85">
        <f>IF(IP35&lt;=Condition!$E$16,0,IF(IP35&lt;=Condition!$F$16,Condition!$D$16,IF(IP35&lt;=Condition!$F$17,Condition!$D$17,IF(IP35&lt;=Condition!$F$18,Condition!$D$18,IF(IP35&gt;Condition!$E$19,Condition!$D$19,"")))))</f>
        <v>0</v>
      </c>
      <c r="IQ78" s="85">
        <f>IF(IQ35&lt;=Condition!$E$16,0,IF(IQ35&lt;=Condition!$F$16,Condition!$D$16,IF(IQ35&lt;=Condition!$F$17,Condition!$D$17,IF(IQ35&lt;=Condition!$F$18,Condition!$D$18,IF(IQ35&gt;Condition!$E$19,Condition!$D$19,"")))))</f>
        <v>0</v>
      </c>
      <c r="IR78" s="85">
        <f>IF(IR35&lt;=Condition!$E$16,0,IF(IR35&lt;=Condition!$F$16,Condition!$D$16,IF(IR35&lt;=Condition!$F$17,Condition!$D$17,IF(IR35&lt;=Condition!$F$18,Condition!$D$18,IF(IR35&gt;Condition!$E$19,Condition!$D$19,"")))))</f>
        <v>0</v>
      </c>
      <c r="IS78" s="85">
        <f>IF(IS35&lt;=Condition!$E$16,0,IF(IS35&lt;=Condition!$F$16,Condition!$D$16,IF(IS35&lt;=Condition!$F$17,Condition!$D$17,IF(IS35&lt;=Condition!$F$18,Condition!$D$18,IF(IS35&gt;Condition!$E$19,Condition!$D$19,"")))))</f>
        <v>0</v>
      </c>
      <c r="IT78" s="85">
        <f>IF(IT35&lt;=Condition!$E$16,0,IF(IT35&lt;=Condition!$F$16,Condition!$D$16,IF(IT35&lt;=Condition!$F$17,Condition!$D$17,IF(IT35&lt;=Condition!$F$18,Condition!$D$18,IF(IT35&gt;Condition!$E$19,Condition!$D$19,"")))))</f>
        <v>0</v>
      </c>
      <c r="IU78" s="85">
        <f>IF(IU35&lt;=Condition!$E$16,0,IF(IU35&lt;=Condition!$F$16,Condition!$D$16,IF(IU35&lt;=Condition!$F$17,Condition!$D$17,IF(IU35&lt;=Condition!$F$18,Condition!$D$18,IF(IU35&gt;Condition!$E$19,Condition!$D$19,"")))))</f>
        <v>0</v>
      </c>
      <c r="IV78" s="85">
        <f>IF(IV35&lt;=Condition!$E$16,0,IF(IV35&lt;=Condition!$F$16,Condition!$D$16,IF(IV35&lt;=Condition!$F$17,Condition!$D$17,IF(IV35&lt;=Condition!$F$18,Condition!$D$18,IF(IV35&gt;Condition!$E$19,Condition!$D$19,"")))))</f>
        <v>0</v>
      </c>
      <c r="IW78" s="85">
        <f>IF(IW35&lt;=Condition!$E$16,0,IF(IW35&lt;=Condition!$F$16,Condition!$D$16,IF(IW35&lt;=Condition!$F$17,Condition!$D$17,IF(IW35&lt;=Condition!$F$18,Condition!$D$18,IF(IW35&gt;Condition!$E$19,Condition!$D$19,"")))))</f>
        <v>0</v>
      </c>
      <c r="IX78" s="85">
        <f>IF(IX35&lt;=Condition!$E$16,0,IF(IX35&lt;=Condition!$F$16,Condition!$D$16,IF(IX35&lt;=Condition!$F$17,Condition!$D$17,IF(IX35&lt;=Condition!$F$18,Condition!$D$18,IF(IX35&gt;Condition!$E$19,Condition!$D$19,"")))))</f>
        <v>0</v>
      </c>
      <c r="IY78" s="85">
        <f>IF(IY35&lt;=Condition!$E$16,0,IF(IY35&lt;=Condition!$F$16,Condition!$D$16,IF(IY35&lt;=Condition!$F$17,Condition!$D$17,IF(IY35&lt;=Condition!$F$18,Condition!$D$18,IF(IY35&gt;Condition!$E$19,Condition!$D$19,"")))))</f>
        <v>0</v>
      </c>
      <c r="IZ78" s="85">
        <f>IF(IZ35&lt;=Condition!$E$16,0,IF(IZ35&lt;=Condition!$F$16,Condition!$D$16,IF(IZ35&lt;=Condition!$F$17,Condition!$D$17,IF(IZ35&lt;=Condition!$F$18,Condition!$D$18,IF(IZ35&gt;Condition!$E$19,Condition!$D$19,"")))))</f>
        <v>0</v>
      </c>
      <c r="JA78" s="85">
        <f>IF(JA35&lt;=Condition!$E$16,0,IF(JA35&lt;=Condition!$F$16,Condition!$D$16,IF(JA35&lt;=Condition!$F$17,Condition!$D$17,IF(JA35&lt;=Condition!$F$18,Condition!$D$18,IF(JA35&gt;Condition!$E$19,Condition!$D$19,"")))))</f>
        <v>0</v>
      </c>
      <c r="JB78" s="85">
        <f>IF(JB35&lt;=Condition!$E$16,0,IF(JB35&lt;=Condition!$F$16,Condition!$D$16,IF(JB35&lt;=Condition!$F$17,Condition!$D$17,IF(JB35&lt;=Condition!$F$18,Condition!$D$18,IF(JB35&gt;Condition!$E$19,Condition!$D$19,"")))))</f>
        <v>0</v>
      </c>
      <c r="JC78" s="85">
        <f>IF(JC35&lt;=Condition!$E$16,0,IF(JC35&lt;=Condition!$F$16,Condition!$D$16,IF(JC35&lt;=Condition!$F$17,Condition!$D$17,IF(JC35&lt;=Condition!$F$18,Condition!$D$18,IF(JC35&gt;Condition!$E$19,Condition!$D$19,"")))))</f>
        <v>0</v>
      </c>
      <c r="JD78" s="85">
        <f>IF(JD35&lt;=Condition!$E$16,0,IF(JD35&lt;=Condition!$F$16,Condition!$D$16,IF(JD35&lt;=Condition!$F$17,Condition!$D$17,IF(JD35&lt;=Condition!$F$18,Condition!$D$18,IF(JD35&gt;Condition!$E$19,Condition!$D$19,"")))))</f>
        <v>0</v>
      </c>
      <c r="JE78" s="85">
        <f>IF(JE35&lt;=Condition!$E$16,0,IF(JE35&lt;=Condition!$F$16,Condition!$D$16,IF(JE35&lt;=Condition!$F$17,Condition!$D$17,IF(JE35&lt;=Condition!$F$18,Condition!$D$18,IF(JE35&gt;Condition!$E$19,Condition!$D$19,"")))))</f>
        <v>0</v>
      </c>
      <c r="JF78" s="85">
        <f>IF(JF35&lt;=Condition!$E$16,0,IF(JF35&lt;=Condition!$F$16,Condition!$D$16,IF(JF35&lt;=Condition!$F$17,Condition!$D$17,IF(JF35&lt;=Condition!$F$18,Condition!$D$18,IF(JF35&gt;Condition!$E$19,Condition!$D$19,"")))))</f>
        <v>0</v>
      </c>
      <c r="JG78" s="85">
        <f>IF(JG35&lt;=Condition!$E$16,0,IF(JG35&lt;=Condition!$F$16,Condition!$D$16,IF(JG35&lt;=Condition!$F$17,Condition!$D$17,IF(JG35&lt;=Condition!$F$18,Condition!$D$18,IF(JG35&gt;Condition!$E$19,Condition!$D$19,"")))))</f>
        <v>0</v>
      </c>
      <c r="JH78" s="85">
        <f>IF(JH35&lt;=Condition!$E$16,0,IF(JH35&lt;=Condition!$F$16,Condition!$D$16,IF(JH35&lt;=Condition!$F$17,Condition!$D$17,IF(JH35&lt;=Condition!$F$18,Condition!$D$18,IF(JH35&gt;Condition!$E$19,Condition!$D$19,"")))))</f>
        <v>0</v>
      </c>
      <c r="JI78" s="85">
        <f>IF(JI35&lt;=Condition!$E$16,0,IF(JI35&lt;=Condition!$F$16,Condition!$D$16,IF(JI35&lt;=Condition!$F$17,Condition!$D$17,IF(JI35&lt;=Condition!$F$18,Condition!$D$18,IF(JI35&gt;Condition!$E$19,Condition!$D$19,"")))))</f>
        <v>0</v>
      </c>
      <c r="JJ78" s="85">
        <f>IF(JJ35&lt;=Condition!$E$16,0,IF(JJ35&lt;=Condition!$F$16,Condition!$D$16,IF(JJ35&lt;=Condition!$F$17,Condition!$D$17,IF(JJ35&lt;=Condition!$F$18,Condition!$D$18,IF(JJ35&gt;Condition!$E$19,Condition!$D$19,"")))))</f>
        <v>0</v>
      </c>
      <c r="JK78" s="85">
        <f>IF(JK35&lt;=Condition!$E$16,0,IF(JK35&lt;=Condition!$F$16,Condition!$D$16,IF(JK35&lt;=Condition!$F$17,Condition!$D$17,IF(JK35&lt;=Condition!$F$18,Condition!$D$18,IF(JK35&gt;Condition!$E$19,Condition!$D$19,"")))))</f>
        <v>0</v>
      </c>
      <c r="JL78" s="85">
        <f>IF(JL35&lt;=Condition!$E$16,0,IF(JL35&lt;=Condition!$F$16,Condition!$D$16,IF(JL35&lt;=Condition!$F$17,Condition!$D$17,IF(JL35&lt;=Condition!$F$18,Condition!$D$18,IF(JL35&gt;Condition!$E$19,Condition!$D$19,"")))))</f>
        <v>0</v>
      </c>
      <c r="JM78" s="85">
        <f>IF(JM35&lt;=Condition!$E$16,0,IF(JM35&lt;=Condition!$F$16,Condition!$D$16,IF(JM35&lt;=Condition!$F$17,Condition!$D$17,IF(JM35&lt;=Condition!$F$18,Condition!$D$18,IF(JM35&gt;Condition!$E$19,Condition!$D$19,"")))))</f>
        <v>0</v>
      </c>
      <c r="JN78" s="85">
        <f>IF(JN35&lt;=Condition!$E$16,0,IF(JN35&lt;=Condition!$F$16,Condition!$D$16,IF(JN35&lt;=Condition!$F$17,Condition!$D$17,IF(JN35&lt;=Condition!$F$18,Condition!$D$18,IF(JN35&gt;Condition!$E$19,Condition!$D$19,"")))))</f>
        <v>0</v>
      </c>
      <c r="JO78" s="85">
        <f>IF(JO35&lt;=Condition!$E$16,0,IF(JO35&lt;=Condition!$F$16,Condition!$D$16,IF(JO35&lt;=Condition!$F$17,Condition!$D$17,IF(JO35&lt;=Condition!$F$18,Condition!$D$18,IF(JO35&gt;Condition!$E$19,Condition!$D$19,"")))))</f>
        <v>0</v>
      </c>
      <c r="JP78" s="85">
        <f>IF(JP35&lt;=Condition!$E$16,0,IF(JP35&lt;=Condition!$F$16,Condition!$D$16,IF(JP35&lt;=Condition!$F$17,Condition!$D$17,IF(JP35&lt;=Condition!$F$18,Condition!$D$18,IF(JP35&gt;Condition!$E$19,Condition!$D$19,"")))))</f>
        <v>0</v>
      </c>
      <c r="JQ78" s="85">
        <f>IF(JQ35&lt;=Condition!$E$16,0,IF(JQ35&lt;=Condition!$F$16,Condition!$D$16,IF(JQ35&lt;=Condition!$F$17,Condition!$D$17,IF(JQ35&lt;=Condition!$F$18,Condition!$D$18,IF(JQ35&gt;Condition!$E$19,Condition!$D$19,"")))))</f>
        <v>0</v>
      </c>
      <c r="JR78" s="85">
        <f>IF(JR35&lt;=Condition!$E$16,0,IF(JR35&lt;=Condition!$F$16,Condition!$D$16,IF(JR35&lt;=Condition!$F$17,Condition!$D$17,IF(JR35&lt;=Condition!$F$18,Condition!$D$18,IF(JR35&gt;Condition!$E$19,Condition!$D$19,"")))))</f>
        <v>0</v>
      </c>
      <c r="JS78" s="85">
        <f>IF(JS35&lt;=Condition!$E$16,0,IF(JS35&lt;=Condition!$F$16,Condition!$D$16,IF(JS35&lt;=Condition!$F$17,Condition!$D$17,IF(JS35&lt;=Condition!$F$18,Condition!$D$18,IF(JS35&gt;Condition!$E$19,Condition!$D$19,"")))))</f>
        <v>0</v>
      </c>
      <c r="JT78" s="85">
        <f>IF(JT35&lt;=Condition!$E$16,0,IF(JT35&lt;=Condition!$F$16,Condition!$D$16,IF(JT35&lt;=Condition!$F$17,Condition!$D$17,IF(JT35&lt;=Condition!$F$18,Condition!$D$18,IF(JT35&gt;Condition!$E$19,Condition!$D$19,"")))))</f>
        <v>0</v>
      </c>
      <c r="JU78" s="85">
        <f>IF(JU35&lt;=Condition!$E$16,0,IF(JU35&lt;=Condition!$F$16,Condition!$D$16,IF(JU35&lt;=Condition!$F$17,Condition!$D$17,IF(JU35&lt;=Condition!$F$18,Condition!$D$18,IF(JU35&gt;Condition!$E$19,Condition!$D$19,"")))))</f>
        <v>0</v>
      </c>
      <c r="JV78" s="85">
        <f>IF(JV35&lt;=Condition!$E$16,0,IF(JV35&lt;=Condition!$F$16,Condition!$D$16,IF(JV35&lt;=Condition!$F$17,Condition!$D$17,IF(JV35&lt;=Condition!$F$18,Condition!$D$18,IF(JV35&gt;Condition!$E$19,Condition!$D$19,"")))))</f>
        <v>0</v>
      </c>
      <c r="JW78" s="85">
        <f>IF(JW35&lt;=Condition!$E$16,0,IF(JW35&lt;=Condition!$F$16,Condition!$D$16,IF(JW35&lt;=Condition!$F$17,Condition!$D$17,IF(JW35&lt;=Condition!$F$18,Condition!$D$18,IF(JW35&gt;Condition!$E$19,Condition!$D$19,"")))))</f>
        <v>0</v>
      </c>
      <c r="JX78" s="85">
        <f>IF(JX35&lt;=Condition!$E$16,0,IF(JX35&lt;=Condition!$F$16,Condition!$D$16,IF(JX35&lt;=Condition!$F$17,Condition!$D$17,IF(JX35&lt;=Condition!$F$18,Condition!$D$18,IF(JX35&gt;Condition!$E$19,Condition!$D$19,"")))))</f>
        <v>0</v>
      </c>
      <c r="JY78" s="85">
        <f>IF(JY35&lt;=Condition!$E$16,0,IF(JY35&lt;=Condition!$F$16,Condition!$D$16,IF(JY35&lt;=Condition!$F$17,Condition!$D$17,IF(JY35&lt;=Condition!$F$18,Condition!$D$18,IF(JY35&gt;Condition!$E$19,Condition!$D$19,"")))))</f>
        <v>0</v>
      </c>
      <c r="JZ78" s="85">
        <f>IF(JZ35&lt;=Condition!$E$16,0,IF(JZ35&lt;=Condition!$F$16,Condition!$D$16,IF(JZ35&lt;=Condition!$F$17,Condition!$D$17,IF(JZ35&lt;=Condition!$F$18,Condition!$D$18,IF(JZ35&gt;Condition!$E$19,Condition!$D$19,"")))))</f>
        <v>0</v>
      </c>
      <c r="KA78" s="85">
        <f>IF(KA35&lt;=Condition!$E$16,0,IF(KA35&lt;=Condition!$F$16,Condition!$D$16,IF(KA35&lt;=Condition!$F$17,Condition!$D$17,IF(KA35&lt;=Condition!$F$18,Condition!$D$18,IF(KA35&gt;Condition!$E$19,Condition!$D$19,"")))))</f>
        <v>0</v>
      </c>
      <c r="KB78" s="85">
        <f>IF(KB35&lt;=Condition!$E$16,0,IF(KB35&lt;=Condition!$F$16,Condition!$D$16,IF(KB35&lt;=Condition!$F$17,Condition!$D$17,IF(KB35&lt;=Condition!$F$18,Condition!$D$18,IF(KB35&gt;Condition!$E$19,Condition!$D$19,"")))))</f>
        <v>0</v>
      </c>
      <c r="KC78" s="85">
        <f>IF(KC35&lt;=Condition!$E$16,0,IF(KC35&lt;=Condition!$F$16,Condition!$D$16,IF(KC35&lt;=Condition!$F$17,Condition!$D$17,IF(KC35&lt;=Condition!$F$18,Condition!$D$18,IF(KC35&gt;Condition!$E$19,Condition!$D$19,"")))))</f>
        <v>0</v>
      </c>
      <c r="KD78" s="85">
        <f>IF(KD35&lt;=Condition!$E$16,0,IF(KD35&lt;=Condition!$F$16,Condition!$D$16,IF(KD35&lt;=Condition!$F$17,Condition!$D$17,IF(KD35&lt;=Condition!$F$18,Condition!$D$18,IF(KD35&gt;Condition!$E$19,Condition!$D$19,"")))))</f>
        <v>0</v>
      </c>
      <c r="KE78" s="85">
        <f>IF(KE35&lt;=Condition!$E$16,0,IF(KE35&lt;=Condition!$F$16,Condition!$D$16,IF(KE35&lt;=Condition!$F$17,Condition!$D$17,IF(KE35&lt;=Condition!$F$18,Condition!$D$18,IF(KE35&gt;Condition!$E$19,Condition!$D$19,"")))))</f>
        <v>0</v>
      </c>
      <c r="KF78" s="85">
        <f>IF(KF35&lt;=Condition!$E$16,0,IF(KF35&lt;=Condition!$F$16,Condition!$D$16,IF(KF35&lt;=Condition!$F$17,Condition!$D$17,IF(KF35&lt;=Condition!$F$18,Condition!$D$18,IF(KF35&gt;Condition!$E$19,Condition!$D$19,"")))))</f>
        <v>0</v>
      </c>
      <c r="KG78" s="85">
        <f>IF(KG35&lt;=Condition!$E$16,0,IF(KG35&lt;=Condition!$F$16,Condition!$D$16,IF(KG35&lt;=Condition!$F$17,Condition!$D$17,IF(KG35&lt;=Condition!$F$18,Condition!$D$18,IF(KG35&gt;Condition!$E$19,Condition!$D$19,"")))))</f>
        <v>0</v>
      </c>
      <c r="KH78" s="85">
        <f>IF(KH35&lt;=Condition!$E$16,0,IF(KH35&lt;=Condition!$F$16,Condition!$D$16,IF(KH35&lt;=Condition!$F$17,Condition!$D$17,IF(KH35&lt;=Condition!$F$18,Condition!$D$18,IF(KH35&gt;Condition!$E$19,Condition!$D$19,"")))))</f>
        <v>0</v>
      </c>
      <c r="KI78" s="85">
        <f>IF(KI35&lt;=Condition!$E$16,0,IF(KI35&lt;=Condition!$F$16,Condition!$D$16,IF(KI35&lt;=Condition!$F$17,Condition!$D$17,IF(KI35&lt;=Condition!$F$18,Condition!$D$18,IF(KI35&gt;Condition!$E$19,Condition!$D$19,"")))))</f>
        <v>0</v>
      </c>
    </row>
    <row r="79" spans="2:295" x14ac:dyDescent="0.25">
      <c r="B79" s="15">
        <f t="shared" ref="B79:E79" si="34">B36</f>
        <v>0</v>
      </c>
      <c r="C79" s="25">
        <f t="shared" si="34"/>
        <v>0</v>
      </c>
      <c r="D79" s="25">
        <f t="shared" si="34"/>
        <v>0</v>
      </c>
      <c r="E79" s="26">
        <f t="shared" si="34"/>
        <v>0</v>
      </c>
      <c r="F79" s="112">
        <f t="shared" si="4"/>
        <v>0</v>
      </c>
      <c r="G79" s="112">
        <f t="shared" si="5"/>
        <v>0</v>
      </c>
      <c r="H79" s="85">
        <f>IF(H36&lt;=Condition!$E$16,0,IF(H36&lt;=Condition!$F$16,Condition!$D$16,IF(H36&lt;=Condition!$F$17,Condition!$D$17,IF(H36&lt;=Condition!$F$18,Condition!$D$18,IF(H36&gt;Condition!$E$19,Condition!$D$19,"")))))</f>
        <v>0</v>
      </c>
      <c r="I79" s="85">
        <f>IF(I36&lt;=Condition!$E$16,0,IF(I36&lt;=Condition!$F$16,Condition!$D$16,IF(I36&lt;=Condition!$F$17,Condition!$D$17,IF(I36&lt;=Condition!$F$18,Condition!$D$18,IF(I36&gt;Condition!$E$19,Condition!$D$19,"")))))</f>
        <v>0</v>
      </c>
      <c r="J79" s="85">
        <f>IF(J36&lt;=Condition!$E$16,0,IF(J36&lt;=Condition!$F$16,Condition!$D$16,IF(J36&lt;=Condition!$F$17,Condition!$D$17,IF(J36&lt;=Condition!$F$18,Condition!$D$18,IF(J36&gt;Condition!$E$19,Condition!$D$19,"")))))</f>
        <v>0</v>
      </c>
      <c r="K79" s="85">
        <f>IF(K36&lt;=Condition!$E$16,0,IF(K36&lt;=Condition!$F$16,Condition!$D$16,IF(K36&lt;=Condition!$F$17,Condition!$D$17,IF(K36&lt;=Condition!$F$18,Condition!$D$18,IF(K36&gt;Condition!$E$19,Condition!$D$19,"")))))</f>
        <v>0</v>
      </c>
      <c r="L79" s="85">
        <f>IF(L36&lt;=Condition!$E$16,0,IF(L36&lt;=Condition!$F$16,Condition!$D$16,IF(L36&lt;=Condition!$F$17,Condition!$D$17,IF(L36&lt;=Condition!$F$18,Condition!$D$18,IF(L36&gt;Condition!$E$19,Condition!$D$19,"")))))</f>
        <v>0</v>
      </c>
      <c r="M79" s="85">
        <f>IF(M36&lt;=Condition!$E$16,0,IF(M36&lt;=Condition!$F$16,Condition!$D$16,IF(M36&lt;=Condition!$F$17,Condition!$D$17,IF(M36&lt;=Condition!$F$18,Condition!$D$18,IF(M36&gt;Condition!$E$19,Condition!$D$19,"")))))</f>
        <v>0</v>
      </c>
      <c r="N79" s="85">
        <f>IF(N36&lt;=Condition!$E$16,0,IF(N36&lt;=Condition!$F$16,Condition!$D$16,IF(N36&lt;=Condition!$F$17,Condition!$D$17,IF(N36&lt;=Condition!$F$18,Condition!$D$18,IF(N36&gt;Condition!$E$19,Condition!$D$19,"")))))</f>
        <v>0</v>
      </c>
      <c r="O79" s="85">
        <f>IF(O36&lt;=Condition!$E$16,0,IF(O36&lt;=Condition!$F$16,Condition!$D$16,IF(O36&lt;=Condition!$F$17,Condition!$D$17,IF(O36&lt;=Condition!$F$18,Condition!$D$18,IF(O36&gt;Condition!$E$19,Condition!$D$19,"")))))</f>
        <v>0</v>
      </c>
      <c r="P79" s="85">
        <f>IF(P36&lt;=Condition!$E$16,0,IF(P36&lt;=Condition!$F$16,Condition!$D$16,IF(P36&lt;=Condition!$F$17,Condition!$D$17,IF(P36&lt;=Condition!$F$18,Condition!$D$18,IF(P36&gt;Condition!$E$19,Condition!$D$19,"")))))</f>
        <v>0</v>
      </c>
      <c r="Q79" s="85">
        <f>IF(Q36&lt;=Condition!$E$16,0,IF(Q36&lt;=Condition!$F$16,Condition!$D$16,IF(Q36&lt;=Condition!$F$17,Condition!$D$17,IF(Q36&lt;=Condition!$F$18,Condition!$D$18,IF(Q36&gt;Condition!$E$19,Condition!$D$19,"")))))</f>
        <v>0</v>
      </c>
      <c r="R79" s="85">
        <f>IF(R36&lt;=Condition!$E$16,0,IF(R36&lt;=Condition!$F$16,Condition!$D$16,IF(R36&lt;=Condition!$F$17,Condition!$D$17,IF(R36&lt;=Condition!$F$18,Condition!$D$18,IF(R36&gt;Condition!$E$19,Condition!$D$19,"")))))</f>
        <v>0</v>
      </c>
      <c r="S79" s="85">
        <f>IF(S36&lt;=Condition!$E$16,0,IF(S36&lt;=Condition!$F$16,Condition!$D$16,IF(S36&lt;=Condition!$F$17,Condition!$D$17,IF(S36&lt;=Condition!$F$18,Condition!$D$18,IF(S36&gt;Condition!$E$19,Condition!$D$19,"")))))</f>
        <v>0</v>
      </c>
      <c r="T79" s="85">
        <f>IF(T36&lt;=Condition!$E$16,0,IF(T36&lt;=Condition!$F$16,Condition!$D$16,IF(T36&lt;=Condition!$F$17,Condition!$D$17,IF(T36&lt;=Condition!$F$18,Condition!$D$18,IF(T36&gt;Condition!$E$19,Condition!$D$19,"")))))</f>
        <v>0</v>
      </c>
      <c r="U79" s="85">
        <f>IF(U36&lt;=Condition!$E$16,0,IF(U36&lt;=Condition!$F$16,Condition!$D$16,IF(U36&lt;=Condition!$F$17,Condition!$D$17,IF(U36&lt;=Condition!$F$18,Condition!$D$18,IF(U36&gt;Condition!$E$19,Condition!$D$19,"")))))</f>
        <v>0</v>
      </c>
      <c r="V79" s="85">
        <f>IF(V36&lt;=Condition!$E$16,0,IF(V36&lt;=Condition!$F$16,Condition!$D$16,IF(V36&lt;=Condition!$F$17,Condition!$D$17,IF(V36&lt;=Condition!$F$18,Condition!$D$18,IF(V36&gt;Condition!$E$19,Condition!$D$19,"")))))</f>
        <v>0</v>
      </c>
      <c r="W79" s="85">
        <f>IF(W36&lt;=Condition!$E$16,0,IF(W36&lt;=Condition!$F$16,Condition!$D$16,IF(W36&lt;=Condition!$F$17,Condition!$D$17,IF(W36&lt;=Condition!$F$18,Condition!$D$18,IF(W36&gt;Condition!$E$19,Condition!$D$19,"")))))</f>
        <v>0</v>
      </c>
      <c r="X79" s="85">
        <f>IF(X36&lt;=Condition!$E$16,0,IF(X36&lt;=Condition!$F$16,Condition!$D$16,IF(X36&lt;=Condition!$F$17,Condition!$D$17,IF(X36&lt;=Condition!$F$18,Condition!$D$18,IF(X36&gt;Condition!$E$19,Condition!$D$19,"")))))</f>
        <v>0</v>
      </c>
      <c r="Y79" s="85">
        <f>IF(Y36&lt;=Condition!$E$16,0,IF(Y36&lt;=Condition!$F$16,Condition!$D$16,IF(Y36&lt;=Condition!$F$17,Condition!$D$17,IF(Y36&lt;=Condition!$F$18,Condition!$D$18,IF(Y36&gt;Condition!$E$19,Condition!$D$19,"")))))</f>
        <v>0</v>
      </c>
      <c r="Z79" s="85">
        <f>IF(Z36&lt;=Condition!$E$16,0,IF(Z36&lt;=Condition!$F$16,Condition!$D$16,IF(Z36&lt;=Condition!$F$17,Condition!$D$17,IF(Z36&lt;=Condition!$F$18,Condition!$D$18,IF(Z36&gt;Condition!$E$19,Condition!$D$19,"")))))</f>
        <v>0</v>
      </c>
      <c r="AA79" s="85">
        <f>IF(AA36&lt;=Condition!$E$16,0,IF(AA36&lt;=Condition!$F$16,Condition!$D$16,IF(AA36&lt;=Condition!$F$17,Condition!$D$17,IF(AA36&lt;=Condition!$F$18,Condition!$D$18,IF(AA36&gt;Condition!$E$19,Condition!$D$19,"")))))</f>
        <v>0</v>
      </c>
      <c r="AB79" s="85">
        <f>IF(AB36&lt;=Condition!$E$16,0,IF(AB36&lt;=Condition!$F$16,Condition!$D$16,IF(AB36&lt;=Condition!$F$17,Condition!$D$17,IF(AB36&lt;=Condition!$F$18,Condition!$D$18,IF(AB36&gt;Condition!$E$19,Condition!$D$19,"")))))</f>
        <v>0</v>
      </c>
      <c r="AC79" s="85">
        <f>IF(AC36&lt;=Condition!$E$16,0,IF(AC36&lt;=Condition!$F$16,Condition!$D$16,IF(AC36&lt;=Condition!$F$17,Condition!$D$17,IF(AC36&lt;=Condition!$F$18,Condition!$D$18,IF(AC36&gt;Condition!$E$19,Condition!$D$19,"")))))</f>
        <v>0</v>
      </c>
      <c r="AD79" s="85">
        <f>IF(AD36&lt;=Condition!$E$16,0,IF(AD36&lt;=Condition!$F$16,Condition!$D$16,IF(AD36&lt;=Condition!$F$17,Condition!$D$17,IF(AD36&lt;=Condition!$F$18,Condition!$D$18,IF(AD36&gt;Condition!$E$19,Condition!$D$19,"")))))</f>
        <v>0</v>
      </c>
      <c r="AE79" s="85">
        <f>IF(AE36&lt;=Condition!$E$16,0,IF(AE36&lt;=Condition!$F$16,Condition!$D$16,IF(AE36&lt;=Condition!$F$17,Condition!$D$17,IF(AE36&lt;=Condition!$F$18,Condition!$D$18,IF(AE36&gt;Condition!$E$19,Condition!$D$19,"")))))</f>
        <v>0</v>
      </c>
      <c r="AF79" s="85">
        <f>IF(AF36&lt;=Condition!$E$16,0,IF(AF36&lt;=Condition!$F$16,Condition!$D$16,IF(AF36&lt;=Condition!$F$17,Condition!$D$17,IF(AF36&lt;=Condition!$F$18,Condition!$D$18,IF(AF36&gt;Condition!$E$19,Condition!$D$19,"")))))</f>
        <v>0</v>
      </c>
      <c r="AG79" s="85">
        <f>IF(AG36&lt;=Condition!$E$16,0,IF(AG36&lt;=Condition!$F$16,Condition!$D$16,IF(AG36&lt;=Condition!$F$17,Condition!$D$17,IF(AG36&lt;=Condition!$F$18,Condition!$D$18,IF(AG36&gt;Condition!$E$19,Condition!$D$19,"")))))</f>
        <v>0</v>
      </c>
      <c r="AH79" s="85">
        <f>IF(AH36&lt;=Condition!$E$16,0,IF(AH36&lt;=Condition!$F$16,Condition!$D$16,IF(AH36&lt;=Condition!$F$17,Condition!$D$17,IF(AH36&lt;=Condition!$F$18,Condition!$D$18,IF(AH36&gt;Condition!$E$19,Condition!$D$19,"")))))</f>
        <v>0</v>
      </c>
      <c r="AI79" s="85">
        <f>IF(AI36&lt;=Condition!$E$16,0,IF(AI36&lt;=Condition!$F$16,Condition!$D$16,IF(AI36&lt;=Condition!$F$17,Condition!$D$17,IF(AI36&lt;=Condition!$F$18,Condition!$D$18,IF(AI36&gt;Condition!$E$19,Condition!$D$19,"")))))</f>
        <v>0</v>
      </c>
      <c r="AJ79" s="85">
        <f>IF(AJ36&lt;=Condition!$E$16,0,IF(AJ36&lt;=Condition!$F$16,Condition!$D$16,IF(AJ36&lt;=Condition!$F$17,Condition!$D$17,IF(AJ36&lt;=Condition!$F$18,Condition!$D$18,IF(AJ36&gt;Condition!$E$19,Condition!$D$19,"")))))</f>
        <v>0</v>
      </c>
      <c r="AK79" s="85">
        <f>IF(AK36&lt;=Condition!$E$16,0,IF(AK36&lt;=Condition!$F$16,Condition!$D$16,IF(AK36&lt;=Condition!$F$17,Condition!$D$17,IF(AK36&lt;=Condition!$F$18,Condition!$D$18,IF(AK36&gt;Condition!$E$19,Condition!$D$19,"")))))</f>
        <v>0</v>
      </c>
      <c r="AL79" s="85">
        <f>IF(AL36&lt;=Condition!$E$16,0,IF(AL36&lt;=Condition!$F$16,Condition!$D$16,IF(AL36&lt;=Condition!$F$17,Condition!$D$17,IF(AL36&lt;=Condition!$F$18,Condition!$D$18,IF(AL36&gt;Condition!$E$19,Condition!$D$19,"")))))</f>
        <v>0</v>
      </c>
      <c r="AM79" s="85">
        <f>IF(AM36&lt;=Condition!$E$16,0,IF(AM36&lt;=Condition!$F$16,Condition!$D$16,IF(AM36&lt;=Condition!$F$17,Condition!$D$17,IF(AM36&lt;=Condition!$F$18,Condition!$D$18,IF(AM36&gt;Condition!$E$19,Condition!$D$19,"")))))</f>
        <v>0</v>
      </c>
      <c r="AN79" s="85">
        <f>IF(AN36&lt;=Condition!$E$16,0,IF(AN36&lt;=Condition!$F$16,Condition!$D$16,IF(AN36&lt;=Condition!$F$17,Condition!$D$17,IF(AN36&lt;=Condition!$F$18,Condition!$D$18,IF(AN36&gt;Condition!$E$19,Condition!$D$19,"")))))</f>
        <v>0</v>
      </c>
      <c r="AO79" s="85">
        <f>IF(AO36&lt;=Condition!$E$16,0,IF(AO36&lt;=Condition!$F$16,Condition!$D$16,IF(AO36&lt;=Condition!$F$17,Condition!$D$17,IF(AO36&lt;=Condition!$F$18,Condition!$D$18,IF(AO36&gt;Condition!$E$19,Condition!$D$19,"")))))</f>
        <v>0</v>
      </c>
      <c r="AP79" s="85">
        <f>IF(AP36&lt;=Condition!$E$16,0,IF(AP36&lt;=Condition!$F$16,Condition!$D$16,IF(AP36&lt;=Condition!$F$17,Condition!$D$17,IF(AP36&lt;=Condition!$F$18,Condition!$D$18,IF(AP36&gt;Condition!$E$19,Condition!$D$19,"")))))</f>
        <v>0</v>
      </c>
      <c r="AQ79" s="85">
        <f>IF(AQ36&lt;=Condition!$E$16,0,IF(AQ36&lt;=Condition!$F$16,Condition!$D$16,IF(AQ36&lt;=Condition!$F$17,Condition!$D$17,IF(AQ36&lt;=Condition!$F$18,Condition!$D$18,IF(AQ36&gt;Condition!$E$19,Condition!$D$19,"")))))</f>
        <v>0</v>
      </c>
      <c r="AR79" s="85">
        <f>IF(AR36&lt;=Condition!$E$16,0,IF(AR36&lt;=Condition!$F$16,Condition!$D$16,IF(AR36&lt;=Condition!$F$17,Condition!$D$17,IF(AR36&lt;=Condition!$F$18,Condition!$D$18,IF(AR36&gt;Condition!$E$19,Condition!$D$19,"")))))</f>
        <v>0</v>
      </c>
      <c r="AS79" s="85">
        <f>IF(AS36&lt;=Condition!$E$16,0,IF(AS36&lt;=Condition!$F$16,Condition!$D$16,IF(AS36&lt;=Condition!$F$17,Condition!$D$17,IF(AS36&lt;=Condition!$F$18,Condition!$D$18,IF(AS36&gt;Condition!$E$19,Condition!$D$19,"")))))</f>
        <v>0</v>
      </c>
      <c r="AT79" s="85">
        <f>IF(AT36&lt;=Condition!$E$16,0,IF(AT36&lt;=Condition!$F$16,Condition!$D$16,IF(AT36&lt;=Condition!$F$17,Condition!$D$17,IF(AT36&lt;=Condition!$F$18,Condition!$D$18,IF(AT36&gt;Condition!$E$19,Condition!$D$19,"")))))</f>
        <v>0</v>
      </c>
      <c r="AU79" s="85">
        <f>IF(AU36&lt;=Condition!$E$16,0,IF(AU36&lt;=Condition!$F$16,Condition!$D$16,IF(AU36&lt;=Condition!$F$17,Condition!$D$17,IF(AU36&lt;=Condition!$F$18,Condition!$D$18,IF(AU36&gt;Condition!$E$19,Condition!$D$19,"")))))</f>
        <v>0</v>
      </c>
      <c r="AV79" s="85">
        <f>IF(AV36&lt;=Condition!$E$16,0,IF(AV36&lt;=Condition!$F$16,Condition!$D$16,IF(AV36&lt;=Condition!$F$17,Condition!$D$17,IF(AV36&lt;=Condition!$F$18,Condition!$D$18,IF(AV36&gt;Condition!$E$19,Condition!$D$19,"")))))</f>
        <v>0</v>
      </c>
      <c r="AW79" s="85">
        <f>IF(AW36&lt;=Condition!$E$16,0,IF(AW36&lt;=Condition!$F$16,Condition!$D$16,IF(AW36&lt;=Condition!$F$17,Condition!$D$17,IF(AW36&lt;=Condition!$F$18,Condition!$D$18,IF(AW36&gt;Condition!$E$19,Condition!$D$19,"")))))</f>
        <v>0</v>
      </c>
      <c r="AX79" s="85">
        <f>IF(AX36&lt;=Condition!$E$16,0,IF(AX36&lt;=Condition!$F$16,Condition!$D$16,IF(AX36&lt;=Condition!$F$17,Condition!$D$17,IF(AX36&lt;=Condition!$F$18,Condition!$D$18,IF(AX36&gt;Condition!$E$19,Condition!$D$19,"")))))</f>
        <v>0</v>
      </c>
      <c r="AY79" s="85">
        <f>IF(AY36&lt;=Condition!$E$16,0,IF(AY36&lt;=Condition!$F$16,Condition!$D$16,IF(AY36&lt;=Condition!$F$17,Condition!$D$17,IF(AY36&lt;=Condition!$F$18,Condition!$D$18,IF(AY36&gt;Condition!$E$19,Condition!$D$19,"")))))</f>
        <v>0</v>
      </c>
      <c r="AZ79" s="85">
        <f>IF(AZ36&lt;=Condition!$E$16,0,IF(AZ36&lt;=Condition!$F$16,Condition!$D$16,IF(AZ36&lt;=Condition!$F$17,Condition!$D$17,IF(AZ36&lt;=Condition!$F$18,Condition!$D$18,IF(AZ36&gt;Condition!$E$19,Condition!$D$19,"")))))</f>
        <v>0</v>
      </c>
      <c r="BA79" s="85">
        <f>IF(BA36&lt;=Condition!$E$16,0,IF(BA36&lt;=Condition!$F$16,Condition!$D$16,IF(BA36&lt;=Condition!$F$17,Condition!$D$17,IF(BA36&lt;=Condition!$F$18,Condition!$D$18,IF(BA36&gt;Condition!$E$19,Condition!$D$19,"")))))</f>
        <v>0</v>
      </c>
      <c r="BB79" s="85">
        <f>IF(BB36&lt;=Condition!$E$16,0,IF(BB36&lt;=Condition!$F$16,Condition!$D$16,IF(BB36&lt;=Condition!$F$17,Condition!$D$17,IF(BB36&lt;=Condition!$F$18,Condition!$D$18,IF(BB36&gt;Condition!$E$19,Condition!$D$19,"")))))</f>
        <v>0</v>
      </c>
      <c r="BC79" s="85">
        <f>IF(BC36&lt;=Condition!$E$16,0,IF(BC36&lt;=Condition!$F$16,Condition!$D$16,IF(BC36&lt;=Condition!$F$17,Condition!$D$17,IF(BC36&lt;=Condition!$F$18,Condition!$D$18,IF(BC36&gt;Condition!$E$19,Condition!$D$19,"")))))</f>
        <v>0</v>
      </c>
      <c r="BD79" s="85">
        <f>IF(BD36&lt;=Condition!$E$16,0,IF(BD36&lt;=Condition!$F$16,Condition!$D$16,IF(BD36&lt;=Condition!$F$17,Condition!$D$17,IF(BD36&lt;=Condition!$F$18,Condition!$D$18,IF(BD36&gt;Condition!$E$19,Condition!$D$19,"")))))</f>
        <v>0</v>
      </c>
      <c r="BE79" s="85">
        <f>IF(BE36&lt;=Condition!$E$16,0,IF(BE36&lt;=Condition!$F$16,Condition!$D$16,IF(BE36&lt;=Condition!$F$17,Condition!$D$17,IF(BE36&lt;=Condition!$F$18,Condition!$D$18,IF(BE36&gt;Condition!$E$19,Condition!$D$19,"")))))</f>
        <v>0</v>
      </c>
      <c r="BF79" s="85">
        <f>IF(BF36&lt;=Condition!$E$16,0,IF(BF36&lt;=Condition!$F$16,Condition!$D$16,IF(BF36&lt;=Condition!$F$17,Condition!$D$17,IF(BF36&lt;=Condition!$F$18,Condition!$D$18,IF(BF36&gt;Condition!$E$19,Condition!$D$19,"")))))</f>
        <v>0</v>
      </c>
      <c r="BG79" s="85">
        <f>IF(BG36&lt;=Condition!$E$16,0,IF(BG36&lt;=Condition!$F$16,Condition!$D$16,IF(BG36&lt;=Condition!$F$17,Condition!$D$17,IF(BG36&lt;=Condition!$F$18,Condition!$D$18,IF(BG36&gt;Condition!$E$19,Condition!$D$19,"")))))</f>
        <v>0</v>
      </c>
      <c r="BH79" s="85">
        <f>IF(BH36&lt;=Condition!$E$16,0,IF(BH36&lt;=Condition!$F$16,Condition!$D$16,IF(BH36&lt;=Condition!$F$17,Condition!$D$17,IF(BH36&lt;=Condition!$F$18,Condition!$D$18,IF(BH36&gt;Condition!$E$19,Condition!$D$19,"")))))</f>
        <v>0</v>
      </c>
      <c r="BI79" s="85">
        <f>IF(BI36&lt;=Condition!$E$16,0,IF(BI36&lt;=Condition!$F$16,Condition!$D$16,IF(BI36&lt;=Condition!$F$17,Condition!$D$17,IF(BI36&lt;=Condition!$F$18,Condition!$D$18,IF(BI36&gt;Condition!$E$19,Condition!$D$19,"")))))</f>
        <v>0</v>
      </c>
      <c r="BJ79" s="85">
        <f>IF(BJ36&lt;=Condition!$E$16,0,IF(BJ36&lt;=Condition!$F$16,Condition!$D$16,IF(BJ36&lt;=Condition!$F$17,Condition!$D$17,IF(BJ36&lt;=Condition!$F$18,Condition!$D$18,IF(BJ36&gt;Condition!$E$19,Condition!$D$19,"")))))</f>
        <v>0</v>
      </c>
      <c r="BK79" s="85">
        <f>IF(BK36&lt;=Condition!$E$16,0,IF(BK36&lt;=Condition!$F$16,Condition!$D$16,IF(BK36&lt;=Condition!$F$17,Condition!$D$17,IF(BK36&lt;=Condition!$F$18,Condition!$D$18,IF(BK36&gt;Condition!$E$19,Condition!$D$19,"")))))</f>
        <v>0</v>
      </c>
      <c r="BL79" s="85">
        <f>IF(BL36&lt;=Condition!$E$16,0,IF(BL36&lt;=Condition!$F$16,Condition!$D$16,IF(BL36&lt;=Condition!$F$17,Condition!$D$17,IF(BL36&lt;=Condition!$F$18,Condition!$D$18,IF(BL36&gt;Condition!$E$19,Condition!$D$19,"")))))</f>
        <v>0</v>
      </c>
      <c r="BM79" s="85">
        <f>IF(BM36&lt;=Condition!$E$16,0,IF(BM36&lt;=Condition!$F$16,Condition!$D$16,IF(BM36&lt;=Condition!$F$17,Condition!$D$17,IF(BM36&lt;=Condition!$F$18,Condition!$D$18,IF(BM36&gt;Condition!$E$19,Condition!$D$19,"")))))</f>
        <v>0</v>
      </c>
      <c r="BN79" s="85">
        <f>IF(BN36&lt;=Condition!$E$16,0,IF(BN36&lt;=Condition!$F$16,Condition!$D$16,IF(BN36&lt;=Condition!$F$17,Condition!$D$17,IF(BN36&lt;=Condition!$F$18,Condition!$D$18,IF(BN36&gt;Condition!$E$19,Condition!$D$19,"")))))</f>
        <v>0</v>
      </c>
      <c r="BO79" s="85">
        <f>IF(BO36&lt;=Condition!$E$16,0,IF(BO36&lt;=Condition!$F$16,Condition!$D$16,IF(BO36&lt;=Condition!$F$17,Condition!$D$17,IF(BO36&lt;=Condition!$F$18,Condition!$D$18,IF(BO36&gt;Condition!$E$19,Condition!$D$19,"")))))</f>
        <v>0</v>
      </c>
      <c r="BP79" s="85">
        <f>IF(BP36&lt;=Condition!$E$16,0,IF(BP36&lt;=Condition!$F$16,Condition!$D$16,IF(BP36&lt;=Condition!$F$17,Condition!$D$17,IF(BP36&lt;=Condition!$F$18,Condition!$D$18,IF(BP36&gt;Condition!$E$19,Condition!$D$19,"")))))</f>
        <v>0</v>
      </c>
      <c r="BQ79" s="85">
        <f>IF(BQ36&lt;=Condition!$E$16,0,IF(BQ36&lt;=Condition!$F$16,Condition!$D$16,IF(BQ36&lt;=Condition!$F$17,Condition!$D$17,IF(BQ36&lt;=Condition!$F$18,Condition!$D$18,IF(BQ36&gt;Condition!$E$19,Condition!$D$19,"")))))</f>
        <v>0</v>
      </c>
      <c r="BR79" s="85">
        <f>IF(BR36&lt;=Condition!$E$16,0,IF(BR36&lt;=Condition!$F$16,Condition!$D$16,IF(BR36&lt;=Condition!$F$17,Condition!$D$17,IF(BR36&lt;=Condition!$F$18,Condition!$D$18,IF(BR36&gt;Condition!$E$19,Condition!$D$19,"")))))</f>
        <v>0</v>
      </c>
      <c r="BS79" s="85">
        <f>IF(BS36&lt;=Condition!$E$16,0,IF(BS36&lt;=Condition!$F$16,Condition!$D$16,IF(BS36&lt;=Condition!$F$17,Condition!$D$17,IF(BS36&lt;=Condition!$F$18,Condition!$D$18,IF(BS36&gt;Condition!$E$19,Condition!$D$19,"")))))</f>
        <v>0</v>
      </c>
      <c r="BT79" s="85">
        <f>IF(BT36&lt;=Condition!$E$16,0,IF(BT36&lt;=Condition!$F$16,Condition!$D$16,IF(BT36&lt;=Condition!$F$17,Condition!$D$17,IF(BT36&lt;=Condition!$F$18,Condition!$D$18,IF(BT36&gt;Condition!$E$19,Condition!$D$19,"")))))</f>
        <v>0</v>
      </c>
      <c r="BU79" s="85">
        <f>IF(BU36&lt;=Condition!$E$16,0,IF(BU36&lt;=Condition!$F$16,Condition!$D$16,IF(BU36&lt;=Condition!$F$17,Condition!$D$17,IF(BU36&lt;=Condition!$F$18,Condition!$D$18,IF(BU36&gt;Condition!$E$19,Condition!$D$19,"")))))</f>
        <v>0</v>
      </c>
      <c r="BV79" s="85">
        <f>IF(BV36&lt;=Condition!$E$16,0,IF(BV36&lt;=Condition!$F$16,Condition!$D$16,IF(BV36&lt;=Condition!$F$17,Condition!$D$17,IF(BV36&lt;=Condition!$F$18,Condition!$D$18,IF(BV36&gt;Condition!$E$19,Condition!$D$19,"")))))</f>
        <v>0</v>
      </c>
      <c r="BW79" s="85">
        <f>IF(BW36&lt;=Condition!$E$16,0,IF(BW36&lt;=Condition!$F$16,Condition!$D$16,IF(BW36&lt;=Condition!$F$17,Condition!$D$17,IF(BW36&lt;=Condition!$F$18,Condition!$D$18,IF(BW36&gt;Condition!$E$19,Condition!$D$19,"")))))</f>
        <v>0</v>
      </c>
      <c r="BX79" s="85">
        <f>IF(BX36&lt;=Condition!$E$16,0,IF(BX36&lt;=Condition!$F$16,Condition!$D$16,IF(BX36&lt;=Condition!$F$17,Condition!$D$17,IF(BX36&lt;=Condition!$F$18,Condition!$D$18,IF(BX36&gt;Condition!$E$19,Condition!$D$19,"")))))</f>
        <v>0</v>
      </c>
      <c r="BY79" s="85">
        <f>IF(BY36&lt;=Condition!$E$16,0,IF(BY36&lt;=Condition!$F$16,Condition!$D$16,IF(BY36&lt;=Condition!$F$17,Condition!$D$17,IF(BY36&lt;=Condition!$F$18,Condition!$D$18,IF(BY36&gt;Condition!$E$19,Condition!$D$19,"")))))</f>
        <v>0</v>
      </c>
      <c r="BZ79" s="85">
        <f>IF(BZ36&lt;=Condition!$E$16,0,IF(BZ36&lt;=Condition!$F$16,Condition!$D$16,IF(BZ36&lt;=Condition!$F$17,Condition!$D$17,IF(BZ36&lt;=Condition!$F$18,Condition!$D$18,IF(BZ36&gt;Condition!$E$19,Condition!$D$19,"")))))</f>
        <v>0</v>
      </c>
      <c r="CA79" s="85">
        <f>IF(CA36&lt;=Condition!$E$16,0,IF(CA36&lt;=Condition!$F$16,Condition!$D$16,IF(CA36&lt;=Condition!$F$17,Condition!$D$17,IF(CA36&lt;=Condition!$F$18,Condition!$D$18,IF(CA36&gt;Condition!$E$19,Condition!$D$19,"")))))</f>
        <v>0</v>
      </c>
      <c r="CB79" s="85">
        <f>IF(CB36&lt;=Condition!$E$16,0,IF(CB36&lt;=Condition!$F$16,Condition!$D$16,IF(CB36&lt;=Condition!$F$17,Condition!$D$17,IF(CB36&lt;=Condition!$F$18,Condition!$D$18,IF(CB36&gt;Condition!$E$19,Condition!$D$19,"")))))</f>
        <v>0</v>
      </c>
      <c r="CC79" s="85">
        <f>IF(CC36&lt;=Condition!$E$16,0,IF(CC36&lt;=Condition!$F$16,Condition!$D$16,IF(CC36&lt;=Condition!$F$17,Condition!$D$17,IF(CC36&lt;=Condition!$F$18,Condition!$D$18,IF(CC36&gt;Condition!$E$19,Condition!$D$19,"")))))</f>
        <v>0</v>
      </c>
      <c r="CD79" s="85">
        <f>IF(CD36&lt;=Condition!$E$16,0,IF(CD36&lt;=Condition!$F$16,Condition!$D$16,IF(CD36&lt;=Condition!$F$17,Condition!$D$17,IF(CD36&lt;=Condition!$F$18,Condition!$D$18,IF(CD36&gt;Condition!$E$19,Condition!$D$19,"")))))</f>
        <v>0</v>
      </c>
      <c r="CE79" s="85">
        <f>IF(CE36&lt;=Condition!$E$16,0,IF(CE36&lt;=Condition!$F$16,Condition!$D$16,IF(CE36&lt;=Condition!$F$17,Condition!$D$17,IF(CE36&lt;=Condition!$F$18,Condition!$D$18,IF(CE36&gt;Condition!$E$19,Condition!$D$19,"")))))</f>
        <v>0</v>
      </c>
      <c r="CF79" s="85">
        <f>IF(CF36&lt;=Condition!$E$16,0,IF(CF36&lt;=Condition!$F$16,Condition!$D$16,IF(CF36&lt;=Condition!$F$17,Condition!$D$17,IF(CF36&lt;=Condition!$F$18,Condition!$D$18,IF(CF36&gt;Condition!$E$19,Condition!$D$19,"")))))</f>
        <v>0</v>
      </c>
      <c r="CG79" s="85">
        <f>IF(CG36&lt;=Condition!$E$16,0,IF(CG36&lt;=Condition!$F$16,Condition!$D$16,IF(CG36&lt;=Condition!$F$17,Condition!$D$17,IF(CG36&lt;=Condition!$F$18,Condition!$D$18,IF(CG36&gt;Condition!$E$19,Condition!$D$19,"")))))</f>
        <v>0</v>
      </c>
      <c r="CH79" s="85">
        <f>IF(CH36&lt;=Condition!$E$16,0,IF(CH36&lt;=Condition!$F$16,Condition!$D$16,IF(CH36&lt;=Condition!$F$17,Condition!$D$17,IF(CH36&lt;=Condition!$F$18,Condition!$D$18,IF(CH36&gt;Condition!$E$19,Condition!$D$19,"")))))</f>
        <v>0</v>
      </c>
      <c r="CI79" s="85">
        <f>IF(CI36&lt;=Condition!$E$16,0,IF(CI36&lt;=Condition!$F$16,Condition!$D$16,IF(CI36&lt;=Condition!$F$17,Condition!$D$17,IF(CI36&lt;=Condition!$F$18,Condition!$D$18,IF(CI36&gt;Condition!$E$19,Condition!$D$19,"")))))</f>
        <v>0</v>
      </c>
      <c r="CJ79" s="85">
        <f>IF(CJ36&lt;=Condition!$E$16,0,IF(CJ36&lt;=Condition!$F$16,Condition!$D$16,IF(CJ36&lt;=Condition!$F$17,Condition!$D$17,IF(CJ36&lt;=Condition!$F$18,Condition!$D$18,IF(CJ36&gt;Condition!$E$19,Condition!$D$19,"")))))</f>
        <v>0</v>
      </c>
      <c r="CK79" s="85">
        <f>IF(CK36&lt;=Condition!$E$16,0,IF(CK36&lt;=Condition!$F$16,Condition!$D$16,IF(CK36&lt;=Condition!$F$17,Condition!$D$17,IF(CK36&lt;=Condition!$F$18,Condition!$D$18,IF(CK36&gt;Condition!$E$19,Condition!$D$19,"")))))</f>
        <v>0</v>
      </c>
      <c r="CL79" s="85">
        <f>IF(CL36&lt;=Condition!$E$16,0,IF(CL36&lt;=Condition!$F$16,Condition!$D$16,IF(CL36&lt;=Condition!$F$17,Condition!$D$17,IF(CL36&lt;=Condition!$F$18,Condition!$D$18,IF(CL36&gt;Condition!$E$19,Condition!$D$19,"")))))</f>
        <v>0</v>
      </c>
      <c r="CM79" s="85">
        <f>IF(CM36&lt;=Condition!$E$16,0,IF(CM36&lt;=Condition!$F$16,Condition!$D$16,IF(CM36&lt;=Condition!$F$17,Condition!$D$17,IF(CM36&lt;=Condition!$F$18,Condition!$D$18,IF(CM36&gt;Condition!$E$19,Condition!$D$19,"")))))</f>
        <v>0</v>
      </c>
      <c r="CN79" s="85">
        <f>IF(CN36&lt;=Condition!$E$16,0,IF(CN36&lt;=Condition!$F$16,Condition!$D$16,IF(CN36&lt;=Condition!$F$17,Condition!$D$17,IF(CN36&lt;=Condition!$F$18,Condition!$D$18,IF(CN36&gt;Condition!$E$19,Condition!$D$19,"")))))</f>
        <v>0</v>
      </c>
      <c r="CO79" s="85">
        <f>IF(CO36&lt;=Condition!$E$16,0,IF(CO36&lt;=Condition!$F$16,Condition!$D$16,IF(CO36&lt;=Condition!$F$17,Condition!$D$17,IF(CO36&lt;=Condition!$F$18,Condition!$D$18,IF(CO36&gt;Condition!$E$19,Condition!$D$19,"")))))</f>
        <v>0</v>
      </c>
      <c r="CP79" s="85">
        <f>IF(CP36&lt;=Condition!$E$16,0,IF(CP36&lt;=Condition!$F$16,Condition!$D$16,IF(CP36&lt;=Condition!$F$17,Condition!$D$17,IF(CP36&lt;=Condition!$F$18,Condition!$D$18,IF(CP36&gt;Condition!$E$19,Condition!$D$19,"")))))</f>
        <v>0</v>
      </c>
      <c r="CQ79" s="85">
        <f>IF(CQ36&lt;=Condition!$E$16,0,IF(CQ36&lt;=Condition!$F$16,Condition!$D$16,IF(CQ36&lt;=Condition!$F$17,Condition!$D$17,IF(CQ36&lt;=Condition!$F$18,Condition!$D$18,IF(CQ36&gt;Condition!$E$19,Condition!$D$19,"")))))</f>
        <v>0</v>
      </c>
      <c r="CR79" s="85">
        <f>IF(CR36&lt;=Condition!$E$16,0,IF(CR36&lt;=Condition!$F$16,Condition!$D$16,IF(CR36&lt;=Condition!$F$17,Condition!$D$17,IF(CR36&lt;=Condition!$F$18,Condition!$D$18,IF(CR36&gt;Condition!$E$19,Condition!$D$19,"")))))</f>
        <v>0</v>
      </c>
      <c r="CS79" s="85">
        <f>IF(CS36&lt;=Condition!$E$16,0,IF(CS36&lt;=Condition!$F$16,Condition!$D$16,IF(CS36&lt;=Condition!$F$17,Condition!$D$17,IF(CS36&lt;=Condition!$F$18,Condition!$D$18,IF(CS36&gt;Condition!$E$19,Condition!$D$19,"")))))</f>
        <v>0</v>
      </c>
      <c r="CT79" s="85">
        <f>IF(CT36&lt;=Condition!$E$16,0,IF(CT36&lt;=Condition!$F$16,Condition!$D$16,IF(CT36&lt;=Condition!$F$17,Condition!$D$17,IF(CT36&lt;=Condition!$F$18,Condition!$D$18,IF(CT36&gt;Condition!$E$19,Condition!$D$19,"")))))</f>
        <v>0</v>
      </c>
      <c r="CU79" s="85">
        <f>IF(CU36&lt;=Condition!$E$16,0,IF(CU36&lt;=Condition!$F$16,Condition!$D$16,IF(CU36&lt;=Condition!$F$17,Condition!$D$17,IF(CU36&lt;=Condition!$F$18,Condition!$D$18,IF(CU36&gt;Condition!$E$19,Condition!$D$19,"")))))</f>
        <v>0</v>
      </c>
      <c r="CV79" s="85">
        <f>IF(CV36&lt;=Condition!$E$16,0,IF(CV36&lt;=Condition!$F$16,Condition!$D$16,IF(CV36&lt;=Condition!$F$17,Condition!$D$17,IF(CV36&lt;=Condition!$F$18,Condition!$D$18,IF(CV36&gt;Condition!$E$19,Condition!$D$19,"")))))</f>
        <v>0</v>
      </c>
      <c r="CW79" s="85">
        <f>IF(CW36&lt;=Condition!$E$16,0,IF(CW36&lt;=Condition!$F$16,Condition!$D$16,IF(CW36&lt;=Condition!$F$17,Condition!$D$17,IF(CW36&lt;=Condition!$F$18,Condition!$D$18,IF(CW36&gt;Condition!$E$19,Condition!$D$19,"")))))</f>
        <v>0</v>
      </c>
      <c r="CX79" s="85">
        <f>IF(CX36&lt;=Condition!$E$16,0,IF(CX36&lt;=Condition!$F$16,Condition!$D$16,IF(CX36&lt;=Condition!$F$17,Condition!$D$17,IF(CX36&lt;=Condition!$F$18,Condition!$D$18,IF(CX36&gt;Condition!$E$19,Condition!$D$19,"")))))</f>
        <v>0</v>
      </c>
      <c r="CY79" s="85">
        <f>IF(CY36&lt;=Condition!$E$16,0,IF(CY36&lt;=Condition!$F$16,Condition!$D$16,IF(CY36&lt;=Condition!$F$17,Condition!$D$17,IF(CY36&lt;=Condition!$F$18,Condition!$D$18,IF(CY36&gt;Condition!$E$19,Condition!$D$19,"")))))</f>
        <v>0</v>
      </c>
      <c r="CZ79" s="85">
        <f>IF(CZ36&lt;=Condition!$E$16,0,IF(CZ36&lt;=Condition!$F$16,Condition!$D$16,IF(CZ36&lt;=Condition!$F$17,Condition!$D$17,IF(CZ36&lt;=Condition!$F$18,Condition!$D$18,IF(CZ36&gt;Condition!$E$19,Condition!$D$19,"")))))</f>
        <v>0</v>
      </c>
      <c r="DA79" s="85">
        <f>IF(DA36&lt;=Condition!$E$16,0,IF(DA36&lt;=Condition!$F$16,Condition!$D$16,IF(DA36&lt;=Condition!$F$17,Condition!$D$17,IF(DA36&lt;=Condition!$F$18,Condition!$D$18,IF(DA36&gt;Condition!$E$19,Condition!$D$19,"")))))</f>
        <v>0</v>
      </c>
      <c r="DB79" s="85">
        <f>IF(DB36&lt;=Condition!$E$16,0,IF(DB36&lt;=Condition!$F$16,Condition!$D$16,IF(DB36&lt;=Condition!$F$17,Condition!$D$17,IF(DB36&lt;=Condition!$F$18,Condition!$D$18,IF(DB36&gt;Condition!$E$19,Condition!$D$19,"")))))</f>
        <v>0</v>
      </c>
      <c r="DC79" s="85">
        <f>IF(DC36&lt;=Condition!$E$16,0,IF(DC36&lt;=Condition!$F$16,Condition!$D$16,IF(DC36&lt;=Condition!$F$17,Condition!$D$17,IF(DC36&lt;=Condition!$F$18,Condition!$D$18,IF(DC36&gt;Condition!$E$19,Condition!$D$19,"")))))</f>
        <v>0</v>
      </c>
      <c r="DD79" s="85">
        <f>IF(DD36&lt;=Condition!$E$16,0,IF(DD36&lt;=Condition!$F$16,Condition!$D$16,IF(DD36&lt;=Condition!$F$17,Condition!$D$17,IF(DD36&lt;=Condition!$F$18,Condition!$D$18,IF(DD36&gt;Condition!$E$19,Condition!$D$19,"")))))</f>
        <v>0</v>
      </c>
      <c r="DE79" s="85">
        <f>IF(DE36&lt;=Condition!$E$16,0,IF(DE36&lt;=Condition!$F$16,Condition!$D$16,IF(DE36&lt;=Condition!$F$17,Condition!$D$17,IF(DE36&lt;=Condition!$F$18,Condition!$D$18,IF(DE36&gt;Condition!$E$19,Condition!$D$19,"")))))</f>
        <v>0</v>
      </c>
      <c r="DF79" s="85">
        <f>IF(DF36&lt;=Condition!$E$16,0,IF(DF36&lt;=Condition!$F$16,Condition!$D$16,IF(DF36&lt;=Condition!$F$17,Condition!$D$17,IF(DF36&lt;=Condition!$F$18,Condition!$D$18,IF(DF36&gt;Condition!$E$19,Condition!$D$19,"")))))</f>
        <v>0</v>
      </c>
      <c r="DG79" s="85">
        <f>IF(DG36&lt;=Condition!$E$16,0,IF(DG36&lt;=Condition!$F$16,Condition!$D$16,IF(DG36&lt;=Condition!$F$17,Condition!$D$17,IF(DG36&lt;=Condition!$F$18,Condition!$D$18,IF(DG36&gt;Condition!$E$19,Condition!$D$19,"")))))</f>
        <v>0</v>
      </c>
      <c r="DH79" s="85">
        <f>IF(DH36&lt;=Condition!$E$16,0,IF(DH36&lt;=Condition!$F$16,Condition!$D$16,IF(DH36&lt;=Condition!$F$17,Condition!$D$17,IF(DH36&lt;=Condition!$F$18,Condition!$D$18,IF(DH36&gt;Condition!$E$19,Condition!$D$19,"")))))</f>
        <v>0</v>
      </c>
      <c r="DI79" s="85">
        <f>IF(DI36&lt;=Condition!$E$16,0,IF(DI36&lt;=Condition!$F$16,Condition!$D$16,IF(DI36&lt;=Condition!$F$17,Condition!$D$17,IF(DI36&lt;=Condition!$F$18,Condition!$D$18,IF(DI36&gt;Condition!$E$19,Condition!$D$19,"")))))</f>
        <v>0</v>
      </c>
      <c r="DJ79" s="85">
        <f>IF(DJ36&lt;=Condition!$E$16,0,IF(DJ36&lt;=Condition!$F$16,Condition!$D$16,IF(DJ36&lt;=Condition!$F$17,Condition!$D$17,IF(DJ36&lt;=Condition!$F$18,Condition!$D$18,IF(DJ36&gt;Condition!$E$19,Condition!$D$19,"")))))</f>
        <v>0</v>
      </c>
      <c r="DK79" s="85">
        <f>IF(DK36&lt;=Condition!$E$16,0,IF(DK36&lt;=Condition!$F$16,Condition!$D$16,IF(DK36&lt;=Condition!$F$17,Condition!$D$17,IF(DK36&lt;=Condition!$F$18,Condition!$D$18,IF(DK36&gt;Condition!$E$19,Condition!$D$19,"")))))</f>
        <v>0</v>
      </c>
      <c r="DL79" s="85">
        <f>IF(DL36&lt;=Condition!$E$16,0,IF(DL36&lt;=Condition!$F$16,Condition!$D$16,IF(DL36&lt;=Condition!$F$17,Condition!$D$17,IF(DL36&lt;=Condition!$F$18,Condition!$D$18,IF(DL36&gt;Condition!$E$19,Condition!$D$19,"")))))</f>
        <v>0</v>
      </c>
      <c r="DM79" s="85">
        <f>IF(DM36&lt;=Condition!$E$16,0,IF(DM36&lt;=Condition!$F$16,Condition!$D$16,IF(DM36&lt;=Condition!$F$17,Condition!$D$17,IF(DM36&lt;=Condition!$F$18,Condition!$D$18,IF(DM36&gt;Condition!$E$19,Condition!$D$19,"")))))</f>
        <v>0</v>
      </c>
      <c r="DN79" s="85">
        <f>IF(DN36&lt;=Condition!$E$16,0,IF(DN36&lt;=Condition!$F$16,Condition!$D$16,IF(DN36&lt;=Condition!$F$17,Condition!$D$17,IF(DN36&lt;=Condition!$F$18,Condition!$D$18,IF(DN36&gt;Condition!$E$19,Condition!$D$19,"")))))</f>
        <v>0</v>
      </c>
      <c r="DO79" s="85">
        <f>IF(DO36&lt;=Condition!$E$16,0,IF(DO36&lt;=Condition!$F$16,Condition!$D$16,IF(DO36&lt;=Condition!$F$17,Condition!$D$17,IF(DO36&lt;=Condition!$F$18,Condition!$D$18,IF(DO36&gt;Condition!$E$19,Condition!$D$19,"")))))</f>
        <v>0</v>
      </c>
      <c r="DP79" s="85">
        <f>IF(DP36&lt;=Condition!$E$16,0,IF(DP36&lt;=Condition!$F$16,Condition!$D$16,IF(DP36&lt;=Condition!$F$17,Condition!$D$17,IF(DP36&lt;=Condition!$F$18,Condition!$D$18,IF(DP36&gt;Condition!$E$19,Condition!$D$19,"")))))</f>
        <v>0</v>
      </c>
      <c r="DQ79" s="85">
        <f>IF(DQ36&lt;=Condition!$E$16,0,IF(DQ36&lt;=Condition!$F$16,Condition!$D$16,IF(DQ36&lt;=Condition!$F$17,Condition!$D$17,IF(DQ36&lt;=Condition!$F$18,Condition!$D$18,IF(DQ36&gt;Condition!$E$19,Condition!$D$19,"")))))</f>
        <v>0</v>
      </c>
      <c r="DR79" s="85">
        <f>IF(DR36&lt;=Condition!$E$16,0,IF(DR36&lt;=Condition!$F$16,Condition!$D$16,IF(DR36&lt;=Condition!$F$17,Condition!$D$17,IF(DR36&lt;=Condition!$F$18,Condition!$D$18,IF(DR36&gt;Condition!$E$19,Condition!$D$19,"")))))</f>
        <v>0</v>
      </c>
      <c r="DS79" s="85">
        <f>IF(DS36&lt;=Condition!$E$16,0,IF(DS36&lt;=Condition!$F$16,Condition!$D$16,IF(DS36&lt;=Condition!$F$17,Condition!$D$17,IF(DS36&lt;=Condition!$F$18,Condition!$D$18,IF(DS36&gt;Condition!$E$19,Condition!$D$19,"")))))</f>
        <v>0</v>
      </c>
      <c r="DT79" s="85">
        <f>IF(DT36&lt;=Condition!$E$16,0,IF(DT36&lt;=Condition!$F$16,Condition!$D$16,IF(DT36&lt;=Condition!$F$17,Condition!$D$17,IF(DT36&lt;=Condition!$F$18,Condition!$D$18,IF(DT36&gt;Condition!$E$19,Condition!$D$19,"")))))</f>
        <v>0</v>
      </c>
      <c r="DU79" s="85">
        <f>IF(DU36&lt;=Condition!$E$16,0,IF(DU36&lt;=Condition!$F$16,Condition!$D$16,IF(DU36&lt;=Condition!$F$17,Condition!$D$17,IF(DU36&lt;=Condition!$F$18,Condition!$D$18,IF(DU36&gt;Condition!$E$19,Condition!$D$19,"")))))</f>
        <v>0</v>
      </c>
      <c r="DV79" s="85">
        <f>IF(DV36&lt;=Condition!$E$16,0,IF(DV36&lt;=Condition!$F$16,Condition!$D$16,IF(DV36&lt;=Condition!$F$17,Condition!$D$17,IF(DV36&lt;=Condition!$F$18,Condition!$D$18,IF(DV36&gt;Condition!$E$19,Condition!$D$19,"")))))</f>
        <v>0</v>
      </c>
      <c r="DW79" s="85">
        <f>IF(DW36&lt;=Condition!$E$16,0,IF(DW36&lt;=Condition!$F$16,Condition!$D$16,IF(DW36&lt;=Condition!$F$17,Condition!$D$17,IF(DW36&lt;=Condition!$F$18,Condition!$D$18,IF(DW36&gt;Condition!$E$19,Condition!$D$19,"")))))</f>
        <v>0</v>
      </c>
      <c r="DX79" s="85">
        <f>IF(DX36&lt;=Condition!$E$16,0,IF(DX36&lt;=Condition!$F$16,Condition!$D$16,IF(DX36&lt;=Condition!$F$17,Condition!$D$17,IF(DX36&lt;=Condition!$F$18,Condition!$D$18,IF(DX36&gt;Condition!$E$19,Condition!$D$19,"")))))</f>
        <v>0</v>
      </c>
      <c r="DY79" s="85">
        <f>IF(DY36&lt;=Condition!$E$16,0,IF(DY36&lt;=Condition!$F$16,Condition!$D$16,IF(DY36&lt;=Condition!$F$17,Condition!$D$17,IF(DY36&lt;=Condition!$F$18,Condition!$D$18,IF(DY36&gt;Condition!$E$19,Condition!$D$19,"")))))</f>
        <v>0</v>
      </c>
      <c r="DZ79" s="85">
        <f>IF(DZ36&lt;=Condition!$E$16,0,IF(DZ36&lt;=Condition!$F$16,Condition!$D$16,IF(DZ36&lt;=Condition!$F$17,Condition!$D$17,IF(DZ36&lt;=Condition!$F$18,Condition!$D$18,IF(DZ36&gt;Condition!$E$19,Condition!$D$19,"")))))</f>
        <v>0</v>
      </c>
      <c r="EA79" s="85">
        <f>IF(EA36&lt;=Condition!$E$16,0,IF(EA36&lt;=Condition!$F$16,Condition!$D$16,IF(EA36&lt;=Condition!$F$17,Condition!$D$17,IF(EA36&lt;=Condition!$F$18,Condition!$D$18,IF(EA36&gt;Condition!$E$19,Condition!$D$19,"")))))</f>
        <v>0</v>
      </c>
      <c r="EB79" s="85">
        <f>IF(EB36&lt;=Condition!$E$16,0,IF(EB36&lt;=Condition!$F$16,Condition!$D$16,IF(EB36&lt;=Condition!$F$17,Condition!$D$17,IF(EB36&lt;=Condition!$F$18,Condition!$D$18,IF(EB36&gt;Condition!$E$19,Condition!$D$19,"")))))</f>
        <v>0</v>
      </c>
      <c r="EC79" s="85">
        <f>IF(EC36&lt;=Condition!$E$16,0,IF(EC36&lt;=Condition!$F$16,Condition!$D$16,IF(EC36&lt;=Condition!$F$17,Condition!$D$17,IF(EC36&lt;=Condition!$F$18,Condition!$D$18,IF(EC36&gt;Condition!$E$19,Condition!$D$19,"")))))</f>
        <v>0</v>
      </c>
      <c r="ED79" s="85">
        <f>IF(ED36&lt;=Condition!$E$16,0,IF(ED36&lt;=Condition!$F$16,Condition!$D$16,IF(ED36&lt;=Condition!$F$17,Condition!$D$17,IF(ED36&lt;=Condition!$F$18,Condition!$D$18,IF(ED36&gt;Condition!$E$19,Condition!$D$19,"")))))</f>
        <v>0</v>
      </c>
      <c r="EE79" s="85">
        <f>IF(EE36&lt;=Condition!$E$16,0,IF(EE36&lt;=Condition!$F$16,Condition!$D$16,IF(EE36&lt;=Condition!$F$17,Condition!$D$17,IF(EE36&lt;=Condition!$F$18,Condition!$D$18,IF(EE36&gt;Condition!$E$19,Condition!$D$19,"")))))</f>
        <v>0</v>
      </c>
      <c r="EF79" s="85">
        <f>IF(EF36&lt;=Condition!$E$16,0,IF(EF36&lt;=Condition!$F$16,Condition!$D$16,IF(EF36&lt;=Condition!$F$17,Condition!$D$17,IF(EF36&lt;=Condition!$F$18,Condition!$D$18,IF(EF36&gt;Condition!$E$19,Condition!$D$19,"")))))</f>
        <v>0</v>
      </c>
      <c r="EG79" s="85">
        <f>IF(EG36&lt;=Condition!$E$16,0,IF(EG36&lt;=Condition!$F$16,Condition!$D$16,IF(EG36&lt;=Condition!$F$17,Condition!$D$17,IF(EG36&lt;=Condition!$F$18,Condition!$D$18,IF(EG36&gt;Condition!$E$19,Condition!$D$19,"")))))</f>
        <v>0</v>
      </c>
      <c r="EH79" s="85">
        <f>IF(EH36&lt;=Condition!$E$16,0,IF(EH36&lt;=Condition!$F$16,Condition!$D$16,IF(EH36&lt;=Condition!$F$17,Condition!$D$17,IF(EH36&lt;=Condition!$F$18,Condition!$D$18,IF(EH36&gt;Condition!$E$19,Condition!$D$19,"")))))</f>
        <v>0</v>
      </c>
      <c r="EI79" s="85">
        <f>IF(EI36&lt;=Condition!$E$16,0,IF(EI36&lt;=Condition!$F$16,Condition!$D$16,IF(EI36&lt;=Condition!$F$17,Condition!$D$17,IF(EI36&lt;=Condition!$F$18,Condition!$D$18,IF(EI36&gt;Condition!$E$19,Condition!$D$19,"")))))</f>
        <v>0</v>
      </c>
      <c r="EJ79" s="85">
        <f>IF(EJ36&lt;=Condition!$E$16,0,IF(EJ36&lt;=Condition!$F$16,Condition!$D$16,IF(EJ36&lt;=Condition!$F$17,Condition!$D$17,IF(EJ36&lt;=Condition!$F$18,Condition!$D$18,IF(EJ36&gt;Condition!$E$19,Condition!$D$19,"")))))</f>
        <v>0</v>
      </c>
      <c r="EK79" s="85">
        <f>IF(EK36&lt;=Condition!$E$16,0,IF(EK36&lt;=Condition!$F$16,Condition!$D$16,IF(EK36&lt;=Condition!$F$17,Condition!$D$17,IF(EK36&lt;=Condition!$F$18,Condition!$D$18,IF(EK36&gt;Condition!$E$19,Condition!$D$19,"")))))</f>
        <v>0</v>
      </c>
      <c r="EL79" s="85">
        <f>IF(EL36&lt;=Condition!$E$16,0,IF(EL36&lt;=Condition!$F$16,Condition!$D$16,IF(EL36&lt;=Condition!$F$17,Condition!$D$17,IF(EL36&lt;=Condition!$F$18,Condition!$D$18,IF(EL36&gt;Condition!$E$19,Condition!$D$19,"")))))</f>
        <v>0</v>
      </c>
      <c r="EM79" s="85">
        <f>IF(EM36&lt;=Condition!$E$16,0,IF(EM36&lt;=Condition!$F$16,Condition!$D$16,IF(EM36&lt;=Condition!$F$17,Condition!$D$17,IF(EM36&lt;=Condition!$F$18,Condition!$D$18,IF(EM36&gt;Condition!$E$19,Condition!$D$19,"")))))</f>
        <v>0</v>
      </c>
      <c r="EN79" s="85">
        <f>IF(EN36&lt;=Condition!$E$16,0,IF(EN36&lt;=Condition!$F$16,Condition!$D$16,IF(EN36&lt;=Condition!$F$17,Condition!$D$17,IF(EN36&lt;=Condition!$F$18,Condition!$D$18,IF(EN36&gt;Condition!$E$19,Condition!$D$19,"")))))</f>
        <v>0</v>
      </c>
      <c r="EO79" s="85">
        <f>IF(EO36&lt;=Condition!$E$16,0,IF(EO36&lt;=Condition!$F$16,Condition!$D$16,IF(EO36&lt;=Condition!$F$17,Condition!$D$17,IF(EO36&lt;=Condition!$F$18,Condition!$D$18,IF(EO36&gt;Condition!$E$19,Condition!$D$19,"")))))</f>
        <v>0</v>
      </c>
      <c r="EP79" s="85">
        <f>IF(EP36&lt;=Condition!$E$16,0,IF(EP36&lt;=Condition!$F$16,Condition!$D$16,IF(EP36&lt;=Condition!$F$17,Condition!$D$17,IF(EP36&lt;=Condition!$F$18,Condition!$D$18,IF(EP36&gt;Condition!$E$19,Condition!$D$19,"")))))</f>
        <v>0</v>
      </c>
      <c r="EQ79" s="85">
        <f>IF(EQ36&lt;=Condition!$E$16,0,IF(EQ36&lt;=Condition!$F$16,Condition!$D$16,IF(EQ36&lt;=Condition!$F$17,Condition!$D$17,IF(EQ36&lt;=Condition!$F$18,Condition!$D$18,IF(EQ36&gt;Condition!$E$19,Condition!$D$19,"")))))</f>
        <v>0</v>
      </c>
      <c r="ER79" s="85">
        <f>IF(ER36&lt;=Condition!$E$16,0,IF(ER36&lt;=Condition!$F$16,Condition!$D$16,IF(ER36&lt;=Condition!$F$17,Condition!$D$17,IF(ER36&lt;=Condition!$F$18,Condition!$D$18,IF(ER36&gt;Condition!$E$19,Condition!$D$19,"")))))</f>
        <v>0</v>
      </c>
      <c r="ES79" s="85">
        <f>IF(ES36&lt;=Condition!$E$16,0,IF(ES36&lt;=Condition!$F$16,Condition!$D$16,IF(ES36&lt;=Condition!$F$17,Condition!$D$17,IF(ES36&lt;=Condition!$F$18,Condition!$D$18,IF(ES36&gt;Condition!$E$19,Condition!$D$19,"")))))</f>
        <v>0</v>
      </c>
      <c r="ET79" s="85">
        <f>IF(ET36&lt;=Condition!$E$16,0,IF(ET36&lt;=Condition!$F$16,Condition!$D$16,IF(ET36&lt;=Condition!$F$17,Condition!$D$17,IF(ET36&lt;=Condition!$F$18,Condition!$D$18,IF(ET36&gt;Condition!$E$19,Condition!$D$19,"")))))</f>
        <v>0</v>
      </c>
      <c r="EU79" s="85">
        <f>IF(EU36&lt;=Condition!$E$16,0,IF(EU36&lt;=Condition!$F$16,Condition!$D$16,IF(EU36&lt;=Condition!$F$17,Condition!$D$17,IF(EU36&lt;=Condition!$F$18,Condition!$D$18,IF(EU36&gt;Condition!$E$19,Condition!$D$19,"")))))</f>
        <v>0</v>
      </c>
      <c r="EV79" s="85">
        <f>IF(EV36&lt;=Condition!$E$16,0,IF(EV36&lt;=Condition!$F$16,Condition!$D$16,IF(EV36&lt;=Condition!$F$17,Condition!$D$17,IF(EV36&lt;=Condition!$F$18,Condition!$D$18,IF(EV36&gt;Condition!$E$19,Condition!$D$19,"")))))</f>
        <v>0</v>
      </c>
      <c r="EW79" s="85">
        <f>IF(EW36&lt;=Condition!$E$16,0,IF(EW36&lt;=Condition!$F$16,Condition!$D$16,IF(EW36&lt;=Condition!$F$17,Condition!$D$17,IF(EW36&lt;=Condition!$F$18,Condition!$D$18,IF(EW36&gt;Condition!$E$19,Condition!$D$19,"")))))</f>
        <v>0</v>
      </c>
      <c r="EX79" s="85">
        <f>IF(EX36&lt;=Condition!$E$16,0,IF(EX36&lt;=Condition!$F$16,Condition!$D$16,IF(EX36&lt;=Condition!$F$17,Condition!$D$17,IF(EX36&lt;=Condition!$F$18,Condition!$D$18,IF(EX36&gt;Condition!$E$19,Condition!$D$19,"")))))</f>
        <v>0</v>
      </c>
      <c r="EY79" s="85">
        <f>IF(EY36&lt;=Condition!$E$16,0,IF(EY36&lt;=Condition!$F$16,Condition!$D$16,IF(EY36&lt;=Condition!$F$17,Condition!$D$17,IF(EY36&lt;=Condition!$F$18,Condition!$D$18,IF(EY36&gt;Condition!$E$19,Condition!$D$19,"")))))</f>
        <v>0</v>
      </c>
      <c r="EZ79" s="85">
        <f>IF(EZ36&lt;=Condition!$E$16,0,IF(EZ36&lt;=Condition!$F$16,Condition!$D$16,IF(EZ36&lt;=Condition!$F$17,Condition!$D$17,IF(EZ36&lt;=Condition!$F$18,Condition!$D$18,IF(EZ36&gt;Condition!$E$19,Condition!$D$19,"")))))</f>
        <v>0</v>
      </c>
      <c r="FA79" s="85">
        <f>IF(FA36&lt;=Condition!$E$16,0,IF(FA36&lt;=Condition!$F$16,Condition!$D$16,IF(FA36&lt;=Condition!$F$17,Condition!$D$17,IF(FA36&lt;=Condition!$F$18,Condition!$D$18,IF(FA36&gt;Condition!$E$19,Condition!$D$19,"")))))</f>
        <v>0</v>
      </c>
      <c r="FB79" s="85">
        <f>IF(FB36&lt;=Condition!$E$16,0,IF(FB36&lt;=Condition!$F$16,Condition!$D$16,IF(FB36&lt;=Condition!$F$17,Condition!$D$17,IF(FB36&lt;=Condition!$F$18,Condition!$D$18,IF(FB36&gt;Condition!$E$19,Condition!$D$19,"")))))</f>
        <v>0</v>
      </c>
      <c r="FC79" s="85">
        <f>IF(FC36&lt;=Condition!$E$16,0,IF(FC36&lt;=Condition!$F$16,Condition!$D$16,IF(FC36&lt;=Condition!$F$17,Condition!$D$17,IF(FC36&lt;=Condition!$F$18,Condition!$D$18,IF(FC36&gt;Condition!$E$19,Condition!$D$19,"")))))</f>
        <v>0</v>
      </c>
      <c r="FD79" s="85">
        <f>IF(FD36&lt;=Condition!$E$16,0,IF(FD36&lt;=Condition!$F$16,Condition!$D$16,IF(FD36&lt;=Condition!$F$17,Condition!$D$17,IF(FD36&lt;=Condition!$F$18,Condition!$D$18,IF(FD36&gt;Condition!$E$19,Condition!$D$19,"")))))</f>
        <v>0</v>
      </c>
      <c r="FE79" s="85">
        <f>IF(FE36&lt;=Condition!$E$16,0,IF(FE36&lt;=Condition!$F$16,Condition!$D$16,IF(FE36&lt;=Condition!$F$17,Condition!$D$17,IF(FE36&lt;=Condition!$F$18,Condition!$D$18,IF(FE36&gt;Condition!$E$19,Condition!$D$19,"")))))</f>
        <v>0</v>
      </c>
      <c r="FF79" s="85">
        <f>IF(FF36&lt;=Condition!$E$16,0,IF(FF36&lt;=Condition!$F$16,Condition!$D$16,IF(FF36&lt;=Condition!$F$17,Condition!$D$17,IF(FF36&lt;=Condition!$F$18,Condition!$D$18,IF(FF36&gt;Condition!$E$19,Condition!$D$19,"")))))</f>
        <v>0</v>
      </c>
      <c r="FG79" s="85">
        <f>IF(FG36&lt;=Condition!$E$16,0,IF(FG36&lt;=Condition!$F$16,Condition!$D$16,IF(FG36&lt;=Condition!$F$17,Condition!$D$17,IF(FG36&lt;=Condition!$F$18,Condition!$D$18,IF(FG36&gt;Condition!$E$19,Condition!$D$19,"")))))</f>
        <v>0</v>
      </c>
      <c r="FH79" s="85">
        <f>IF(FH36&lt;=Condition!$E$16,0,IF(FH36&lt;=Condition!$F$16,Condition!$D$16,IF(FH36&lt;=Condition!$F$17,Condition!$D$17,IF(FH36&lt;=Condition!$F$18,Condition!$D$18,IF(FH36&gt;Condition!$E$19,Condition!$D$19,"")))))</f>
        <v>0</v>
      </c>
      <c r="FI79" s="85">
        <f>IF(FI36&lt;=Condition!$E$16,0,IF(FI36&lt;=Condition!$F$16,Condition!$D$16,IF(FI36&lt;=Condition!$F$17,Condition!$D$17,IF(FI36&lt;=Condition!$F$18,Condition!$D$18,IF(FI36&gt;Condition!$E$19,Condition!$D$19,"")))))</f>
        <v>0</v>
      </c>
      <c r="FJ79" s="85">
        <f>IF(FJ36&lt;=Condition!$E$16,0,IF(FJ36&lt;=Condition!$F$16,Condition!$D$16,IF(FJ36&lt;=Condition!$F$17,Condition!$D$17,IF(FJ36&lt;=Condition!$F$18,Condition!$D$18,IF(FJ36&gt;Condition!$E$19,Condition!$D$19,"")))))</f>
        <v>0</v>
      </c>
      <c r="FK79" s="85">
        <f>IF(FK36&lt;=Condition!$E$16,0,IF(FK36&lt;=Condition!$F$16,Condition!$D$16,IF(FK36&lt;=Condition!$F$17,Condition!$D$17,IF(FK36&lt;=Condition!$F$18,Condition!$D$18,IF(FK36&gt;Condition!$E$19,Condition!$D$19,"")))))</f>
        <v>0</v>
      </c>
      <c r="FL79" s="85">
        <f>IF(FL36&lt;=Condition!$E$16,0,IF(FL36&lt;=Condition!$F$16,Condition!$D$16,IF(FL36&lt;=Condition!$F$17,Condition!$D$17,IF(FL36&lt;=Condition!$F$18,Condition!$D$18,IF(FL36&gt;Condition!$E$19,Condition!$D$19,"")))))</f>
        <v>0</v>
      </c>
      <c r="FM79" s="85">
        <f>IF(FM36&lt;=Condition!$E$16,0,IF(FM36&lt;=Condition!$F$16,Condition!$D$16,IF(FM36&lt;=Condition!$F$17,Condition!$D$17,IF(FM36&lt;=Condition!$F$18,Condition!$D$18,IF(FM36&gt;Condition!$E$19,Condition!$D$19,"")))))</f>
        <v>0</v>
      </c>
      <c r="FN79" s="85">
        <f>IF(FN36&lt;=Condition!$E$16,0,IF(FN36&lt;=Condition!$F$16,Condition!$D$16,IF(FN36&lt;=Condition!$F$17,Condition!$D$17,IF(FN36&lt;=Condition!$F$18,Condition!$D$18,IF(FN36&gt;Condition!$E$19,Condition!$D$19,"")))))</f>
        <v>0</v>
      </c>
      <c r="FO79" s="85">
        <f>IF(FO36&lt;=Condition!$E$16,0,IF(FO36&lt;=Condition!$F$16,Condition!$D$16,IF(FO36&lt;=Condition!$F$17,Condition!$D$17,IF(FO36&lt;=Condition!$F$18,Condition!$D$18,IF(FO36&gt;Condition!$E$19,Condition!$D$19,"")))))</f>
        <v>0</v>
      </c>
      <c r="FP79" s="85">
        <f>IF(FP36&lt;=Condition!$E$16,0,IF(FP36&lt;=Condition!$F$16,Condition!$D$16,IF(FP36&lt;=Condition!$F$17,Condition!$D$17,IF(FP36&lt;=Condition!$F$18,Condition!$D$18,IF(FP36&gt;Condition!$E$19,Condition!$D$19,"")))))</f>
        <v>0</v>
      </c>
      <c r="FQ79" s="85">
        <f>IF(FQ36&lt;=Condition!$E$16,0,IF(FQ36&lt;=Condition!$F$16,Condition!$D$16,IF(FQ36&lt;=Condition!$F$17,Condition!$D$17,IF(FQ36&lt;=Condition!$F$18,Condition!$D$18,IF(FQ36&gt;Condition!$E$19,Condition!$D$19,"")))))</f>
        <v>0</v>
      </c>
      <c r="FR79" s="85">
        <f>IF(FR36&lt;=Condition!$E$16,0,IF(FR36&lt;=Condition!$F$16,Condition!$D$16,IF(FR36&lt;=Condition!$F$17,Condition!$D$17,IF(FR36&lt;=Condition!$F$18,Condition!$D$18,IF(FR36&gt;Condition!$E$19,Condition!$D$19,"")))))</f>
        <v>0</v>
      </c>
      <c r="FS79" s="85">
        <f>IF(FS36&lt;=Condition!$E$16,0,IF(FS36&lt;=Condition!$F$16,Condition!$D$16,IF(FS36&lt;=Condition!$F$17,Condition!$D$17,IF(FS36&lt;=Condition!$F$18,Condition!$D$18,IF(FS36&gt;Condition!$E$19,Condition!$D$19,"")))))</f>
        <v>0</v>
      </c>
      <c r="FT79" s="85">
        <f>IF(FT36&lt;=Condition!$E$16,0,IF(FT36&lt;=Condition!$F$16,Condition!$D$16,IF(FT36&lt;=Condition!$F$17,Condition!$D$17,IF(FT36&lt;=Condition!$F$18,Condition!$D$18,IF(FT36&gt;Condition!$E$19,Condition!$D$19,"")))))</f>
        <v>0</v>
      </c>
      <c r="FU79" s="85">
        <f>IF(FU36&lt;=Condition!$E$16,0,IF(FU36&lt;=Condition!$F$16,Condition!$D$16,IF(FU36&lt;=Condition!$F$17,Condition!$D$17,IF(FU36&lt;=Condition!$F$18,Condition!$D$18,IF(FU36&gt;Condition!$E$19,Condition!$D$19,"")))))</f>
        <v>0</v>
      </c>
      <c r="FV79" s="85">
        <f>IF(FV36&lt;=Condition!$E$16,0,IF(FV36&lt;=Condition!$F$16,Condition!$D$16,IF(FV36&lt;=Condition!$F$17,Condition!$D$17,IF(FV36&lt;=Condition!$F$18,Condition!$D$18,IF(FV36&gt;Condition!$E$19,Condition!$D$19,"")))))</f>
        <v>0</v>
      </c>
      <c r="FW79" s="85">
        <f>IF(FW36&lt;=Condition!$E$16,0,IF(FW36&lt;=Condition!$F$16,Condition!$D$16,IF(FW36&lt;=Condition!$F$17,Condition!$D$17,IF(FW36&lt;=Condition!$F$18,Condition!$D$18,IF(FW36&gt;Condition!$E$19,Condition!$D$19,"")))))</f>
        <v>0</v>
      </c>
      <c r="FX79" s="85">
        <f>IF(FX36&lt;=Condition!$E$16,0,IF(FX36&lt;=Condition!$F$16,Condition!$D$16,IF(FX36&lt;=Condition!$F$17,Condition!$D$17,IF(FX36&lt;=Condition!$F$18,Condition!$D$18,IF(FX36&gt;Condition!$E$19,Condition!$D$19,"")))))</f>
        <v>0</v>
      </c>
      <c r="FY79" s="85">
        <f>IF(FY36&lt;=Condition!$E$16,0,IF(FY36&lt;=Condition!$F$16,Condition!$D$16,IF(FY36&lt;=Condition!$F$17,Condition!$D$17,IF(FY36&lt;=Condition!$F$18,Condition!$D$18,IF(FY36&gt;Condition!$E$19,Condition!$D$19,"")))))</f>
        <v>0</v>
      </c>
      <c r="FZ79" s="85">
        <f>IF(FZ36&lt;=Condition!$E$16,0,IF(FZ36&lt;=Condition!$F$16,Condition!$D$16,IF(FZ36&lt;=Condition!$F$17,Condition!$D$17,IF(FZ36&lt;=Condition!$F$18,Condition!$D$18,IF(FZ36&gt;Condition!$E$19,Condition!$D$19,"")))))</f>
        <v>0</v>
      </c>
      <c r="GA79" s="85">
        <f>IF(GA36&lt;=Condition!$E$16,0,IF(GA36&lt;=Condition!$F$16,Condition!$D$16,IF(GA36&lt;=Condition!$F$17,Condition!$D$17,IF(GA36&lt;=Condition!$F$18,Condition!$D$18,IF(GA36&gt;Condition!$E$19,Condition!$D$19,"")))))</f>
        <v>0</v>
      </c>
      <c r="GB79" s="85">
        <f>IF(GB36&lt;=Condition!$E$16,0,IF(GB36&lt;=Condition!$F$16,Condition!$D$16,IF(GB36&lt;=Condition!$F$17,Condition!$D$17,IF(GB36&lt;=Condition!$F$18,Condition!$D$18,IF(GB36&gt;Condition!$E$19,Condition!$D$19,"")))))</f>
        <v>0</v>
      </c>
      <c r="GC79" s="85">
        <f>IF(GC36&lt;=Condition!$E$16,0,IF(GC36&lt;=Condition!$F$16,Condition!$D$16,IF(GC36&lt;=Condition!$F$17,Condition!$D$17,IF(GC36&lt;=Condition!$F$18,Condition!$D$18,IF(GC36&gt;Condition!$E$19,Condition!$D$19,"")))))</f>
        <v>0</v>
      </c>
      <c r="GD79" s="85">
        <f>IF(GD36&lt;=Condition!$E$16,0,IF(GD36&lt;=Condition!$F$16,Condition!$D$16,IF(GD36&lt;=Condition!$F$17,Condition!$D$17,IF(GD36&lt;=Condition!$F$18,Condition!$D$18,IF(GD36&gt;Condition!$E$19,Condition!$D$19,"")))))</f>
        <v>0</v>
      </c>
      <c r="GE79" s="85">
        <f>IF(GE36&lt;=Condition!$E$16,0,IF(GE36&lt;=Condition!$F$16,Condition!$D$16,IF(GE36&lt;=Condition!$F$17,Condition!$D$17,IF(GE36&lt;=Condition!$F$18,Condition!$D$18,IF(GE36&gt;Condition!$E$19,Condition!$D$19,"")))))</f>
        <v>0</v>
      </c>
      <c r="GF79" s="85">
        <f>IF(GF36&lt;=Condition!$E$16,0,IF(GF36&lt;=Condition!$F$16,Condition!$D$16,IF(GF36&lt;=Condition!$F$17,Condition!$D$17,IF(GF36&lt;=Condition!$F$18,Condition!$D$18,IF(GF36&gt;Condition!$E$19,Condition!$D$19,"")))))</f>
        <v>0</v>
      </c>
      <c r="GG79" s="85">
        <f>IF(GG36&lt;=Condition!$E$16,0,IF(GG36&lt;=Condition!$F$16,Condition!$D$16,IF(GG36&lt;=Condition!$F$17,Condition!$D$17,IF(GG36&lt;=Condition!$F$18,Condition!$D$18,IF(GG36&gt;Condition!$E$19,Condition!$D$19,"")))))</f>
        <v>0</v>
      </c>
      <c r="GH79" s="85">
        <f>IF(GH36&lt;=Condition!$E$16,0,IF(GH36&lt;=Condition!$F$16,Condition!$D$16,IF(GH36&lt;=Condition!$F$17,Condition!$D$17,IF(GH36&lt;=Condition!$F$18,Condition!$D$18,IF(GH36&gt;Condition!$E$19,Condition!$D$19,"")))))</f>
        <v>0</v>
      </c>
      <c r="GI79" s="85">
        <f>IF(GI36&lt;=Condition!$E$16,0,IF(GI36&lt;=Condition!$F$16,Condition!$D$16,IF(GI36&lt;=Condition!$F$17,Condition!$D$17,IF(GI36&lt;=Condition!$F$18,Condition!$D$18,IF(GI36&gt;Condition!$E$19,Condition!$D$19,"")))))</f>
        <v>0</v>
      </c>
      <c r="GJ79" s="85">
        <f>IF(GJ36&lt;=Condition!$E$16,0,IF(GJ36&lt;=Condition!$F$16,Condition!$D$16,IF(GJ36&lt;=Condition!$F$17,Condition!$D$17,IF(GJ36&lt;=Condition!$F$18,Condition!$D$18,IF(GJ36&gt;Condition!$E$19,Condition!$D$19,"")))))</f>
        <v>0</v>
      </c>
      <c r="GK79" s="85">
        <f>IF(GK36&lt;=Condition!$E$16,0,IF(GK36&lt;=Condition!$F$16,Condition!$D$16,IF(GK36&lt;=Condition!$F$17,Condition!$D$17,IF(GK36&lt;=Condition!$F$18,Condition!$D$18,IF(GK36&gt;Condition!$E$19,Condition!$D$19,"")))))</f>
        <v>0</v>
      </c>
      <c r="GL79" s="85">
        <f>IF(GL36&lt;=Condition!$E$16,0,IF(GL36&lt;=Condition!$F$16,Condition!$D$16,IF(GL36&lt;=Condition!$F$17,Condition!$D$17,IF(GL36&lt;=Condition!$F$18,Condition!$D$18,IF(GL36&gt;Condition!$E$19,Condition!$D$19,"")))))</f>
        <v>0</v>
      </c>
      <c r="GM79" s="85">
        <f>IF(GM36&lt;=Condition!$E$16,0,IF(GM36&lt;=Condition!$F$16,Condition!$D$16,IF(GM36&lt;=Condition!$F$17,Condition!$D$17,IF(GM36&lt;=Condition!$F$18,Condition!$D$18,IF(GM36&gt;Condition!$E$19,Condition!$D$19,"")))))</f>
        <v>0</v>
      </c>
      <c r="GN79" s="85">
        <f>IF(GN36&lt;=Condition!$E$16,0,IF(GN36&lt;=Condition!$F$16,Condition!$D$16,IF(GN36&lt;=Condition!$F$17,Condition!$D$17,IF(GN36&lt;=Condition!$F$18,Condition!$D$18,IF(GN36&gt;Condition!$E$19,Condition!$D$19,"")))))</f>
        <v>0</v>
      </c>
      <c r="GO79" s="85">
        <f>IF(GO36&lt;=Condition!$E$16,0,IF(GO36&lt;=Condition!$F$16,Condition!$D$16,IF(GO36&lt;=Condition!$F$17,Condition!$D$17,IF(GO36&lt;=Condition!$F$18,Condition!$D$18,IF(GO36&gt;Condition!$E$19,Condition!$D$19,"")))))</f>
        <v>0</v>
      </c>
      <c r="GP79" s="85">
        <f>IF(GP36&lt;=Condition!$E$16,0,IF(GP36&lt;=Condition!$F$16,Condition!$D$16,IF(GP36&lt;=Condition!$F$17,Condition!$D$17,IF(GP36&lt;=Condition!$F$18,Condition!$D$18,IF(GP36&gt;Condition!$E$19,Condition!$D$19,"")))))</f>
        <v>0</v>
      </c>
      <c r="GQ79" s="85">
        <f>IF(GQ36&lt;=Condition!$E$16,0,IF(GQ36&lt;=Condition!$F$16,Condition!$D$16,IF(GQ36&lt;=Condition!$F$17,Condition!$D$17,IF(GQ36&lt;=Condition!$F$18,Condition!$D$18,IF(GQ36&gt;Condition!$E$19,Condition!$D$19,"")))))</f>
        <v>0</v>
      </c>
      <c r="GR79" s="85">
        <f>IF(GR36&lt;=Condition!$E$16,0,IF(GR36&lt;=Condition!$F$16,Condition!$D$16,IF(GR36&lt;=Condition!$F$17,Condition!$D$17,IF(GR36&lt;=Condition!$F$18,Condition!$D$18,IF(GR36&gt;Condition!$E$19,Condition!$D$19,"")))))</f>
        <v>0</v>
      </c>
      <c r="GS79" s="85">
        <f>IF(GS36&lt;=Condition!$E$16,0,IF(GS36&lt;=Condition!$F$16,Condition!$D$16,IF(GS36&lt;=Condition!$F$17,Condition!$D$17,IF(GS36&lt;=Condition!$F$18,Condition!$D$18,IF(GS36&gt;Condition!$E$19,Condition!$D$19,"")))))</f>
        <v>0</v>
      </c>
      <c r="GT79" s="85">
        <f>IF(GT36&lt;=Condition!$E$16,0,IF(GT36&lt;=Condition!$F$16,Condition!$D$16,IF(GT36&lt;=Condition!$F$17,Condition!$D$17,IF(GT36&lt;=Condition!$F$18,Condition!$D$18,IF(GT36&gt;Condition!$E$19,Condition!$D$19,"")))))</f>
        <v>0</v>
      </c>
      <c r="GU79" s="85">
        <f>IF(GU36&lt;=Condition!$E$16,0,IF(GU36&lt;=Condition!$F$16,Condition!$D$16,IF(GU36&lt;=Condition!$F$17,Condition!$D$17,IF(GU36&lt;=Condition!$F$18,Condition!$D$18,IF(GU36&gt;Condition!$E$19,Condition!$D$19,"")))))</f>
        <v>0</v>
      </c>
      <c r="GV79" s="85">
        <f>IF(GV36&lt;=Condition!$E$16,0,IF(GV36&lt;=Condition!$F$16,Condition!$D$16,IF(GV36&lt;=Condition!$F$17,Condition!$D$17,IF(GV36&lt;=Condition!$F$18,Condition!$D$18,IF(GV36&gt;Condition!$E$19,Condition!$D$19,"")))))</f>
        <v>0</v>
      </c>
      <c r="GW79" s="85">
        <f>IF(GW36&lt;=Condition!$E$16,0,IF(GW36&lt;=Condition!$F$16,Condition!$D$16,IF(GW36&lt;=Condition!$F$17,Condition!$D$17,IF(GW36&lt;=Condition!$F$18,Condition!$D$18,IF(GW36&gt;Condition!$E$19,Condition!$D$19,"")))))</f>
        <v>0</v>
      </c>
      <c r="GX79" s="85">
        <f>IF(GX36&lt;=Condition!$E$16,0,IF(GX36&lt;=Condition!$F$16,Condition!$D$16,IF(GX36&lt;=Condition!$F$17,Condition!$D$17,IF(GX36&lt;=Condition!$F$18,Condition!$D$18,IF(GX36&gt;Condition!$E$19,Condition!$D$19,"")))))</f>
        <v>0</v>
      </c>
      <c r="GY79" s="85">
        <f>IF(GY36&lt;=Condition!$E$16,0,IF(GY36&lt;=Condition!$F$16,Condition!$D$16,IF(GY36&lt;=Condition!$F$17,Condition!$D$17,IF(GY36&lt;=Condition!$F$18,Condition!$D$18,IF(GY36&gt;Condition!$E$19,Condition!$D$19,"")))))</f>
        <v>0</v>
      </c>
      <c r="GZ79" s="85">
        <f>IF(GZ36&lt;=Condition!$E$16,0,IF(GZ36&lt;=Condition!$F$16,Condition!$D$16,IF(GZ36&lt;=Condition!$F$17,Condition!$D$17,IF(GZ36&lt;=Condition!$F$18,Condition!$D$18,IF(GZ36&gt;Condition!$E$19,Condition!$D$19,"")))))</f>
        <v>0</v>
      </c>
      <c r="HA79" s="85">
        <f>IF(HA36&lt;=Condition!$E$16,0,IF(HA36&lt;=Condition!$F$16,Condition!$D$16,IF(HA36&lt;=Condition!$F$17,Condition!$D$17,IF(HA36&lt;=Condition!$F$18,Condition!$D$18,IF(HA36&gt;Condition!$E$19,Condition!$D$19,"")))))</f>
        <v>0</v>
      </c>
      <c r="HB79" s="85">
        <f>IF(HB36&lt;=Condition!$E$16,0,IF(HB36&lt;=Condition!$F$16,Condition!$D$16,IF(HB36&lt;=Condition!$F$17,Condition!$D$17,IF(HB36&lt;=Condition!$F$18,Condition!$D$18,IF(HB36&gt;Condition!$E$19,Condition!$D$19,"")))))</f>
        <v>0</v>
      </c>
      <c r="HC79" s="85">
        <f>IF(HC36&lt;=Condition!$E$16,0,IF(HC36&lt;=Condition!$F$16,Condition!$D$16,IF(HC36&lt;=Condition!$F$17,Condition!$D$17,IF(HC36&lt;=Condition!$F$18,Condition!$D$18,IF(HC36&gt;Condition!$E$19,Condition!$D$19,"")))))</f>
        <v>0</v>
      </c>
      <c r="HD79" s="85">
        <f>IF(HD36&lt;=Condition!$E$16,0,IF(HD36&lt;=Condition!$F$16,Condition!$D$16,IF(HD36&lt;=Condition!$F$17,Condition!$D$17,IF(HD36&lt;=Condition!$F$18,Condition!$D$18,IF(HD36&gt;Condition!$E$19,Condition!$D$19,"")))))</f>
        <v>0</v>
      </c>
      <c r="HE79" s="85">
        <f>IF(HE36&lt;=Condition!$E$16,0,IF(HE36&lt;=Condition!$F$16,Condition!$D$16,IF(HE36&lt;=Condition!$F$17,Condition!$D$17,IF(HE36&lt;=Condition!$F$18,Condition!$D$18,IF(HE36&gt;Condition!$E$19,Condition!$D$19,"")))))</f>
        <v>0</v>
      </c>
      <c r="HF79" s="85">
        <f>IF(HF36&lt;=Condition!$E$16,0,IF(HF36&lt;=Condition!$F$16,Condition!$D$16,IF(HF36&lt;=Condition!$F$17,Condition!$D$17,IF(HF36&lt;=Condition!$F$18,Condition!$D$18,IF(HF36&gt;Condition!$E$19,Condition!$D$19,"")))))</f>
        <v>0</v>
      </c>
      <c r="HG79" s="85">
        <f>IF(HG36&lt;=Condition!$E$16,0,IF(HG36&lt;=Condition!$F$16,Condition!$D$16,IF(HG36&lt;=Condition!$F$17,Condition!$D$17,IF(HG36&lt;=Condition!$F$18,Condition!$D$18,IF(HG36&gt;Condition!$E$19,Condition!$D$19,"")))))</f>
        <v>0</v>
      </c>
      <c r="HH79" s="85">
        <f>IF(HH36&lt;=Condition!$E$16,0,IF(HH36&lt;=Condition!$F$16,Condition!$D$16,IF(HH36&lt;=Condition!$F$17,Condition!$D$17,IF(HH36&lt;=Condition!$F$18,Condition!$D$18,IF(HH36&gt;Condition!$E$19,Condition!$D$19,"")))))</f>
        <v>0</v>
      </c>
      <c r="HI79" s="85">
        <f>IF(HI36&lt;=Condition!$E$16,0,IF(HI36&lt;=Condition!$F$16,Condition!$D$16,IF(HI36&lt;=Condition!$F$17,Condition!$D$17,IF(HI36&lt;=Condition!$F$18,Condition!$D$18,IF(HI36&gt;Condition!$E$19,Condition!$D$19,"")))))</f>
        <v>0</v>
      </c>
      <c r="HJ79" s="85">
        <f>IF(HJ36&lt;=Condition!$E$16,0,IF(HJ36&lt;=Condition!$F$16,Condition!$D$16,IF(HJ36&lt;=Condition!$F$17,Condition!$D$17,IF(HJ36&lt;=Condition!$F$18,Condition!$D$18,IF(HJ36&gt;Condition!$E$19,Condition!$D$19,"")))))</f>
        <v>0</v>
      </c>
      <c r="HK79" s="85">
        <f>IF(HK36&lt;=Condition!$E$16,0,IF(HK36&lt;=Condition!$F$16,Condition!$D$16,IF(HK36&lt;=Condition!$F$17,Condition!$D$17,IF(HK36&lt;=Condition!$F$18,Condition!$D$18,IF(HK36&gt;Condition!$E$19,Condition!$D$19,"")))))</f>
        <v>0</v>
      </c>
      <c r="HL79" s="85">
        <f>IF(HL36&lt;=Condition!$E$16,0,IF(HL36&lt;=Condition!$F$16,Condition!$D$16,IF(HL36&lt;=Condition!$F$17,Condition!$D$17,IF(HL36&lt;=Condition!$F$18,Condition!$D$18,IF(HL36&gt;Condition!$E$19,Condition!$D$19,"")))))</f>
        <v>0</v>
      </c>
      <c r="HM79" s="85">
        <f>IF(HM36&lt;=Condition!$E$16,0,IF(HM36&lt;=Condition!$F$16,Condition!$D$16,IF(HM36&lt;=Condition!$F$17,Condition!$D$17,IF(HM36&lt;=Condition!$F$18,Condition!$D$18,IF(HM36&gt;Condition!$E$19,Condition!$D$19,"")))))</f>
        <v>0</v>
      </c>
      <c r="HN79" s="85">
        <f>IF(HN36&lt;=Condition!$E$16,0,IF(HN36&lt;=Condition!$F$16,Condition!$D$16,IF(HN36&lt;=Condition!$F$17,Condition!$D$17,IF(HN36&lt;=Condition!$F$18,Condition!$D$18,IF(HN36&gt;Condition!$E$19,Condition!$D$19,"")))))</f>
        <v>0</v>
      </c>
      <c r="HO79" s="85">
        <f>IF(HO36&lt;=Condition!$E$16,0,IF(HO36&lt;=Condition!$F$16,Condition!$D$16,IF(HO36&lt;=Condition!$F$17,Condition!$D$17,IF(HO36&lt;=Condition!$F$18,Condition!$D$18,IF(HO36&gt;Condition!$E$19,Condition!$D$19,"")))))</f>
        <v>0</v>
      </c>
      <c r="HP79" s="85">
        <f>IF(HP36&lt;=Condition!$E$16,0,IF(HP36&lt;=Condition!$F$16,Condition!$D$16,IF(HP36&lt;=Condition!$F$17,Condition!$D$17,IF(HP36&lt;=Condition!$F$18,Condition!$D$18,IF(HP36&gt;Condition!$E$19,Condition!$D$19,"")))))</f>
        <v>0</v>
      </c>
      <c r="HQ79" s="85">
        <f>IF(HQ36&lt;=Condition!$E$16,0,IF(HQ36&lt;=Condition!$F$16,Condition!$D$16,IF(HQ36&lt;=Condition!$F$17,Condition!$D$17,IF(HQ36&lt;=Condition!$F$18,Condition!$D$18,IF(HQ36&gt;Condition!$E$19,Condition!$D$19,"")))))</f>
        <v>0</v>
      </c>
      <c r="HR79" s="85">
        <f>IF(HR36&lt;=Condition!$E$16,0,IF(HR36&lt;=Condition!$F$16,Condition!$D$16,IF(HR36&lt;=Condition!$F$17,Condition!$D$17,IF(HR36&lt;=Condition!$F$18,Condition!$D$18,IF(HR36&gt;Condition!$E$19,Condition!$D$19,"")))))</f>
        <v>0</v>
      </c>
      <c r="HS79" s="85">
        <f>IF(HS36&lt;=Condition!$E$16,0,IF(HS36&lt;=Condition!$F$16,Condition!$D$16,IF(HS36&lt;=Condition!$F$17,Condition!$D$17,IF(HS36&lt;=Condition!$F$18,Condition!$D$18,IF(HS36&gt;Condition!$E$19,Condition!$D$19,"")))))</f>
        <v>0</v>
      </c>
      <c r="HT79" s="85">
        <f>IF(HT36&lt;=Condition!$E$16,0,IF(HT36&lt;=Condition!$F$16,Condition!$D$16,IF(HT36&lt;=Condition!$F$17,Condition!$D$17,IF(HT36&lt;=Condition!$F$18,Condition!$D$18,IF(HT36&gt;Condition!$E$19,Condition!$D$19,"")))))</f>
        <v>0</v>
      </c>
      <c r="HU79" s="85">
        <f>IF(HU36&lt;=Condition!$E$16,0,IF(HU36&lt;=Condition!$F$16,Condition!$D$16,IF(HU36&lt;=Condition!$F$17,Condition!$D$17,IF(HU36&lt;=Condition!$F$18,Condition!$D$18,IF(HU36&gt;Condition!$E$19,Condition!$D$19,"")))))</f>
        <v>0</v>
      </c>
      <c r="HV79" s="85">
        <f>IF(HV36&lt;=Condition!$E$16,0,IF(HV36&lt;=Condition!$F$16,Condition!$D$16,IF(HV36&lt;=Condition!$F$17,Condition!$D$17,IF(HV36&lt;=Condition!$F$18,Condition!$D$18,IF(HV36&gt;Condition!$E$19,Condition!$D$19,"")))))</f>
        <v>0</v>
      </c>
      <c r="HW79" s="85">
        <f>IF(HW36&lt;=Condition!$E$16,0,IF(HW36&lt;=Condition!$F$16,Condition!$D$16,IF(HW36&lt;=Condition!$F$17,Condition!$D$17,IF(HW36&lt;=Condition!$F$18,Condition!$D$18,IF(HW36&gt;Condition!$E$19,Condition!$D$19,"")))))</f>
        <v>0</v>
      </c>
      <c r="HX79" s="85">
        <f>IF(HX36&lt;=Condition!$E$16,0,IF(HX36&lt;=Condition!$F$16,Condition!$D$16,IF(HX36&lt;=Condition!$F$17,Condition!$D$17,IF(HX36&lt;=Condition!$F$18,Condition!$D$18,IF(HX36&gt;Condition!$E$19,Condition!$D$19,"")))))</f>
        <v>0</v>
      </c>
      <c r="HY79" s="85">
        <f>IF(HY36&lt;=Condition!$E$16,0,IF(HY36&lt;=Condition!$F$16,Condition!$D$16,IF(HY36&lt;=Condition!$F$17,Condition!$D$17,IF(HY36&lt;=Condition!$F$18,Condition!$D$18,IF(HY36&gt;Condition!$E$19,Condition!$D$19,"")))))</f>
        <v>0</v>
      </c>
      <c r="HZ79" s="85">
        <f>IF(HZ36&lt;=Condition!$E$16,0,IF(HZ36&lt;=Condition!$F$16,Condition!$D$16,IF(HZ36&lt;=Condition!$F$17,Condition!$D$17,IF(HZ36&lt;=Condition!$F$18,Condition!$D$18,IF(HZ36&gt;Condition!$E$19,Condition!$D$19,"")))))</f>
        <v>0</v>
      </c>
      <c r="IA79" s="85">
        <f>IF(IA36&lt;=Condition!$E$16,0,IF(IA36&lt;=Condition!$F$16,Condition!$D$16,IF(IA36&lt;=Condition!$F$17,Condition!$D$17,IF(IA36&lt;=Condition!$F$18,Condition!$D$18,IF(IA36&gt;Condition!$E$19,Condition!$D$19,"")))))</f>
        <v>0</v>
      </c>
      <c r="IB79" s="85">
        <f>IF(IB36&lt;=Condition!$E$16,0,IF(IB36&lt;=Condition!$F$16,Condition!$D$16,IF(IB36&lt;=Condition!$F$17,Condition!$D$17,IF(IB36&lt;=Condition!$F$18,Condition!$D$18,IF(IB36&gt;Condition!$E$19,Condition!$D$19,"")))))</f>
        <v>0</v>
      </c>
      <c r="IC79" s="85">
        <f>IF(IC36&lt;=Condition!$E$16,0,IF(IC36&lt;=Condition!$F$16,Condition!$D$16,IF(IC36&lt;=Condition!$F$17,Condition!$D$17,IF(IC36&lt;=Condition!$F$18,Condition!$D$18,IF(IC36&gt;Condition!$E$19,Condition!$D$19,"")))))</f>
        <v>0</v>
      </c>
      <c r="ID79" s="85">
        <f>IF(ID36&lt;=Condition!$E$16,0,IF(ID36&lt;=Condition!$F$16,Condition!$D$16,IF(ID36&lt;=Condition!$F$17,Condition!$D$17,IF(ID36&lt;=Condition!$F$18,Condition!$D$18,IF(ID36&gt;Condition!$E$19,Condition!$D$19,"")))))</f>
        <v>0</v>
      </c>
      <c r="IE79" s="85">
        <f>IF(IE36&lt;=Condition!$E$16,0,IF(IE36&lt;=Condition!$F$16,Condition!$D$16,IF(IE36&lt;=Condition!$F$17,Condition!$D$17,IF(IE36&lt;=Condition!$F$18,Condition!$D$18,IF(IE36&gt;Condition!$E$19,Condition!$D$19,"")))))</f>
        <v>0</v>
      </c>
      <c r="IF79" s="85">
        <f>IF(IF36&lt;=Condition!$E$16,0,IF(IF36&lt;=Condition!$F$16,Condition!$D$16,IF(IF36&lt;=Condition!$F$17,Condition!$D$17,IF(IF36&lt;=Condition!$F$18,Condition!$D$18,IF(IF36&gt;Condition!$E$19,Condition!$D$19,"")))))</f>
        <v>0</v>
      </c>
      <c r="IG79" s="85">
        <f>IF(IG36&lt;=Condition!$E$16,0,IF(IG36&lt;=Condition!$F$16,Condition!$D$16,IF(IG36&lt;=Condition!$F$17,Condition!$D$17,IF(IG36&lt;=Condition!$F$18,Condition!$D$18,IF(IG36&gt;Condition!$E$19,Condition!$D$19,"")))))</f>
        <v>0</v>
      </c>
      <c r="IH79" s="85">
        <f>IF(IH36&lt;=Condition!$E$16,0,IF(IH36&lt;=Condition!$F$16,Condition!$D$16,IF(IH36&lt;=Condition!$F$17,Condition!$D$17,IF(IH36&lt;=Condition!$F$18,Condition!$D$18,IF(IH36&gt;Condition!$E$19,Condition!$D$19,"")))))</f>
        <v>0</v>
      </c>
      <c r="II79" s="85">
        <f>IF(II36&lt;=Condition!$E$16,0,IF(II36&lt;=Condition!$F$16,Condition!$D$16,IF(II36&lt;=Condition!$F$17,Condition!$D$17,IF(II36&lt;=Condition!$F$18,Condition!$D$18,IF(II36&gt;Condition!$E$19,Condition!$D$19,"")))))</f>
        <v>0</v>
      </c>
      <c r="IJ79" s="85">
        <f>IF(IJ36&lt;=Condition!$E$16,0,IF(IJ36&lt;=Condition!$F$16,Condition!$D$16,IF(IJ36&lt;=Condition!$F$17,Condition!$D$17,IF(IJ36&lt;=Condition!$F$18,Condition!$D$18,IF(IJ36&gt;Condition!$E$19,Condition!$D$19,"")))))</f>
        <v>0</v>
      </c>
      <c r="IK79" s="85">
        <f>IF(IK36&lt;=Condition!$E$16,0,IF(IK36&lt;=Condition!$F$16,Condition!$D$16,IF(IK36&lt;=Condition!$F$17,Condition!$D$17,IF(IK36&lt;=Condition!$F$18,Condition!$D$18,IF(IK36&gt;Condition!$E$19,Condition!$D$19,"")))))</f>
        <v>0</v>
      </c>
      <c r="IL79" s="85">
        <f>IF(IL36&lt;=Condition!$E$16,0,IF(IL36&lt;=Condition!$F$16,Condition!$D$16,IF(IL36&lt;=Condition!$F$17,Condition!$D$17,IF(IL36&lt;=Condition!$F$18,Condition!$D$18,IF(IL36&gt;Condition!$E$19,Condition!$D$19,"")))))</f>
        <v>0</v>
      </c>
      <c r="IM79" s="85">
        <f>IF(IM36&lt;=Condition!$E$16,0,IF(IM36&lt;=Condition!$F$16,Condition!$D$16,IF(IM36&lt;=Condition!$F$17,Condition!$D$17,IF(IM36&lt;=Condition!$F$18,Condition!$D$18,IF(IM36&gt;Condition!$E$19,Condition!$D$19,"")))))</f>
        <v>0</v>
      </c>
      <c r="IN79" s="85">
        <f>IF(IN36&lt;=Condition!$E$16,0,IF(IN36&lt;=Condition!$F$16,Condition!$D$16,IF(IN36&lt;=Condition!$F$17,Condition!$D$17,IF(IN36&lt;=Condition!$F$18,Condition!$D$18,IF(IN36&gt;Condition!$E$19,Condition!$D$19,"")))))</f>
        <v>0</v>
      </c>
      <c r="IO79" s="85">
        <f>IF(IO36&lt;=Condition!$E$16,0,IF(IO36&lt;=Condition!$F$16,Condition!$D$16,IF(IO36&lt;=Condition!$F$17,Condition!$D$17,IF(IO36&lt;=Condition!$F$18,Condition!$D$18,IF(IO36&gt;Condition!$E$19,Condition!$D$19,"")))))</f>
        <v>0</v>
      </c>
      <c r="IP79" s="85">
        <f>IF(IP36&lt;=Condition!$E$16,0,IF(IP36&lt;=Condition!$F$16,Condition!$D$16,IF(IP36&lt;=Condition!$F$17,Condition!$D$17,IF(IP36&lt;=Condition!$F$18,Condition!$D$18,IF(IP36&gt;Condition!$E$19,Condition!$D$19,"")))))</f>
        <v>0</v>
      </c>
      <c r="IQ79" s="85">
        <f>IF(IQ36&lt;=Condition!$E$16,0,IF(IQ36&lt;=Condition!$F$16,Condition!$D$16,IF(IQ36&lt;=Condition!$F$17,Condition!$D$17,IF(IQ36&lt;=Condition!$F$18,Condition!$D$18,IF(IQ36&gt;Condition!$E$19,Condition!$D$19,"")))))</f>
        <v>0</v>
      </c>
      <c r="IR79" s="85">
        <f>IF(IR36&lt;=Condition!$E$16,0,IF(IR36&lt;=Condition!$F$16,Condition!$D$16,IF(IR36&lt;=Condition!$F$17,Condition!$D$17,IF(IR36&lt;=Condition!$F$18,Condition!$D$18,IF(IR36&gt;Condition!$E$19,Condition!$D$19,"")))))</f>
        <v>0</v>
      </c>
      <c r="IS79" s="85">
        <f>IF(IS36&lt;=Condition!$E$16,0,IF(IS36&lt;=Condition!$F$16,Condition!$D$16,IF(IS36&lt;=Condition!$F$17,Condition!$D$17,IF(IS36&lt;=Condition!$F$18,Condition!$D$18,IF(IS36&gt;Condition!$E$19,Condition!$D$19,"")))))</f>
        <v>0</v>
      </c>
      <c r="IT79" s="85">
        <f>IF(IT36&lt;=Condition!$E$16,0,IF(IT36&lt;=Condition!$F$16,Condition!$D$16,IF(IT36&lt;=Condition!$F$17,Condition!$D$17,IF(IT36&lt;=Condition!$F$18,Condition!$D$18,IF(IT36&gt;Condition!$E$19,Condition!$D$19,"")))))</f>
        <v>0</v>
      </c>
      <c r="IU79" s="85">
        <f>IF(IU36&lt;=Condition!$E$16,0,IF(IU36&lt;=Condition!$F$16,Condition!$D$16,IF(IU36&lt;=Condition!$F$17,Condition!$D$17,IF(IU36&lt;=Condition!$F$18,Condition!$D$18,IF(IU36&gt;Condition!$E$19,Condition!$D$19,"")))))</f>
        <v>0</v>
      </c>
      <c r="IV79" s="85">
        <f>IF(IV36&lt;=Condition!$E$16,0,IF(IV36&lt;=Condition!$F$16,Condition!$D$16,IF(IV36&lt;=Condition!$F$17,Condition!$D$17,IF(IV36&lt;=Condition!$F$18,Condition!$D$18,IF(IV36&gt;Condition!$E$19,Condition!$D$19,"")))))</f>
        <v>0</v>
      </c>
      <c r="IW79" s="85">
        <f>IF(IW36&lt;=Condition!$E$16,0,IF(IW36&lt;=Condition!$F$16,Condition!$D$16,IF(IW36&lt;=Condition!$F$17,Condition!$D$17,IF(IW36&lt;=Condition!$F$18,Condition!$D$18,IF(IW36&gt;Condition!$E$19,Condition!$D$19,"")))))</f>
        <v>0</v>
      </c>
      <c r="IX79" s="85">
        <f>IF(IX36&lt;=Condition!$E$16,0,IF(IX36&lt;=Condition!$F$16,Condition!$D$16,IF(IX36&lt;=Condition!$F$17,Condition!$D$17,IF(IX36&lt;=Condition!$F$18,Condition!$D$18,IF(IX36&gt;Condition!$E$19,Condition!$D$19,"")))))</f>
        <v>0</v>
      </c>
      <c r="IY79" s="85">
        <f>IF(IY36&lt;=Condition!$E$16,0,IF(IY36&lt;=Condition!$F$16,Condition!$D$16,IF(IY36&lt;=Condition!$F$17,Condition!$D$17,IF(IY36&lt;=Condition!$F$18,Condition!$D$18,IF(IY36&gt;Condition!$E$19,Condition!$D$19,"")))))</f>
        <v>0</v>
      </c>
      <c r="IZ79" s="85">
        <f>IF(IZ36&lt;=Condition!$E$16,0,IF(IZ36&lt;=Condition!$F$16,Condition!$D$16,IF(IZ36&lt;=Condition!$F$17,Condition!$D$17,IF(IZ36&lt;=Condition!$F$18,Condition!$D$18,IF(IZ36&gt;Condition!$E$19,Condition!$D$19,"")))))</f>
        <v>0</v>
      </c>
      <c r="JA79" s="85">
        <f>IF(JA36&lt;=Condition!$E$16,0,IF(JA36&lt;=Condition!$F$16,Condition!$D$16,IF(JA36&lt;=Condition!$F$17,Condition!$D$17,IF(JA36&lt;=Condition!$F$18,Condition!$D$18,IF(JA36&gt;Condition!$E$19,Condition!$D$19,"")))))</f>
        <v>0</v>
      </c>
      <c r="JB79" s="85">
        <f>IF(JB36&lt;=Condition!$E$16,0,IF(JB36&lt;=Condition!$F$16,Condition!$D$16,IF(JB36&lt;=Condition!$F$17,Condition!$D$17,IF(JB36&lt;=Condition!$F$18,Condition!$D$18,IF(JB36&gt;Condition!$E$19,Condition!$D$19,"")))))</f>
        <v>0</v>
      </c>
      <c r="JC79" s="85">
        <f>IF(JC36&lt;=Condition!$E$16,0,IF(JC36&lt;=Condition!$F$16,Condition!$D$16,IF(JC36&lt;=Condition!$F$17,Condition!$D$17,IF(JC36&lt;=Condition!$F$18,Condition!$D$18,IF(JC36&gt;Condition!$E$19,Condition!$D$19,"")))))</f>
        <v>0</v>
      </c>
      <c r="JD79" s="85">
        <f>IF(JD36&lt;=Condition!$E$16,0,IF(JD36&lt;=Condition!$F$16,Condition!$D$16,IF(JD36&lt;=Condition!$F$17,Condition!$D$17,IF(JD36&lt;=Condition!$F$18,Condition!$D$18,IF(JD36&gt;Condition!$E$19,Condition!$D$19,"")))))</f>
        <v>0</v>
      </c>
      <c r="JE79" s="85">
        <f>IF(JE36&lt;=Condition!$E$16,0,IF(JE36&lt;=Condition!$F$16,Condition!$D$16,IF(JE36&lt;=Condition!$F$17,Condition!$D$17,IF(JE36&lt;=Condition!$F$18,Condition!$D$18,IF(JE36&gt;Condition!$E$19,Condition!$D$19,"")))))</f>
        <v>0</v>
      </c>
      <c r="JF79" s="85">
        <f>IF(JF36&lt;=Condition!$E$16,0,IF(JF36&lt;=Condition!$F$16,Condition!$D$16,IF(JF36&lt;=Condition!$F$17,Condition!$D$17,IF(JF36&lt;=Condition!$F$18,Condition!$D$18,IF(JF36&gt;Condition!$E$19,Condition!$D$19,"")))))</f>
        <v>0</v>
      </c>
      <c r="JG79" s="85">
        <f>IF(JG36&lt;=Condition!$E$16,0,IF(JG36&lt;=Condition!$F$16,Condition!$D$16,IF(JG36&lt;=Condition!$F$17,Condition!$D$17,IF(JG36&lt;=Condition!$F$18,Condition!$D$18,IF(JG36&gt;Condition!$E$19,Condition!$D$19,"")))))</f>
        <v>0</v>
      </c>
      <c r="JH79" s="85">
        <f>IF(JH36&lt;=Condition!$E$16,0,IF(JH36&lt;=Condition!$F$16,Condition!$D$16,IF(JH36&lt;=Condition!$F$17,Condition!$D$17,IF(JH36&lt;=Condition!$F$18,Condition!$D$18,IF(JH36&gt;Condition!$E$19,Condition!$D$19,"")))))</f>
        <v>0</v>
      </c>
      <c r="JI79" s="85">
        <f>IF(JI36&lt;=Condition!$E$16,0,IF(JI36&lt;=Condition!$F$16,Condition!$D$16,IF(JI36&lt;=Condition!$F$17,Condition!$D$17,IF(JI36&lt;=Condition!$F$18,Condition!$D$18,IF(JI36&gt;Condition!$E$19,Condition!$D$19,"")))))</f>
        <v>0</v>
      </c>
      <c r="JJ79" s="85">
        <f>IF(JJ36&lt;=Condition!$E$16,0,IF(JJ36&lt;=Condition!$F$16,Condition!$D$16,IF(JJ36&lt;=Condition!$F$17,Condition!$D$17,IF(JJ36&lt;=Condition!$F$18,Condition!$D$18,IF(JJ36&gt;Condition!$E$19,Condition!$D$19,"")))))</f>
        <v>0</v>
      </c>
      <c r="JK79" s="85">
        <f>IF(JK36&lt;=Condition!$E$16,0,IF(JK36&lt;=Condition!$F$16,Condition!$D$16,IF(JK36&lt;=Condition!$F$17,Condition!$D$17,IF(JK36&lt;=Condition!$F$18,Condition!$D$18,IF(JK36&gt;Condition!$E$19,Condition!$D$19,"")))))</f>
        <v>0</v>
      </c>
      <c r="JL79" s="85">
        <f>IF(JL36&lt;=Condition!$E$16,0,IF(JL36&lt;=Condition!$F$16,Condition!$D$16,IF(JL36&lt;=Condition!$F$17,Condition!$D$17,IF(JL36&lt;=Condition!$F$18,Condition!$D$18,IF(JL36&gt;Condition!$E$19,Condition!$D$19,"")))))</f>
        <v>0</v>
      </c>
      <c r="JM79" s="85">
        <f>IF(JM36&lt;=Condition!$E$16,0,IF(JM36&lt;=Condition!$F$16,Condition!$D$16,IF(JM36&lt;=Condition!$F$17,Condition!$D$17,IF(JM36&lt;=Condition!$F$18,Condition!$D$18,IF(JM36&gt;Condition!$E$19,Condition!$D$19,"")))))</f>
        <v>0</v>
      </c>
      <c r="JN79" s="85">
        <f>IF(JN36&lt;=Condition!$E$16,0,IF(JN36&lt;=Condition!$F$16,Condition!$D$16,IF(JN36&lt;=Condition!$F$17,Condition!$D$17,IF(JN36&lt;=Condition!$F$18,Condition!$D$18,IF(JN36&gt;Condition!$E$19,Condition!$D$19,"")))))</f>
        <v>0</v>
      </c>
      <c r="JO79" s="85">
        <f>IF(JO36&lt;=Condition!$E$16,0,IF(JO36&lt;=Condition!$F$16,Condition!$D$16,IF(JO36&lt;=Condition!$F$17,Condition!$D$17,IF(JO36&lt;=Condition!$F$18,Condition!$D$18,IF(JO36&gt;Condition!$E$19,Condition!$D$19,"")))))</f>
        <v>0</v>
      </c>
      <c r="JP79" s="85">
        <f>IF(JP36&lt;=Condition!$E$16,0,IF(JP36&lt;=Condition!$F$16,Condition!$D$16,IF(JP36&lt;=Condition!$F$17,Condition!$D$17,IF(JP36&lt;=Condition!$F$18,Condition!$D$18,IF(JP36&gt;Condition!$E$19,Condition!$D$19,"")))))</f>
        <v>0</v>
      </c>
      <c r="JQ79" s="85">
        <f>IF(JQ36&lt;=Condition!$E$16,0,IF(JQ36&lt;=Condition!$F$16,Condition!$D$16,IF(JQ36&lt;=Condition!$F$17,Condition!$D$17,IF(JQ36&lt;=Condition!$F$18,Condition!$D$18,IF(JQ36&gt;Condition!$E$19,Condition!$D$19,"")))))</f>
        <v>0</v>
      </c>
      <c r="JR79" s="85">
        <f>IF(JR36&lt;=Condition!$E$16,0,IF(JR36&lt;=Condition!$F$16,Condition!$D$16,IF(JR36&lt;=Condition!$F$17,Condition!$D$17,IF(JR36&lt;=Condition!$F$18,Condition!$D$18,IF(JR36&gt;Condition!$E$19,Condition!$D$19,"")))))</f>
        <v>0</v>
      </c>
      <c r="JS79" s="85">
        <f>IF(JS36&lt;=Condition!$E$16,0,IF(JS36&lt;=Condition!$F$16,Condition!$D$16,IF(JS36&lt;=Condition!$F$17,Condition!$D$17,IF(JS36&lt;=Condition!$F$18,Condition!$D$18,IF(JS36&gt;Condition!$E$19,Condition!$D$19,"")))))</f>
        <v>0</v>
      </c>
      <c r="JT79" s="85">
        <f>IF(JT36&lt;=Condition!$E$16,0,IF(JT36&lt;=Condition!$F$16,Condition!$D$16,IF(JT36&lt;=Condition!$F$17,Condition!$D$17,IF(JT36&lt;=Condition!$F$18,Condition!$D$18,IF(JT36&gt;Condition!$E$19,Condition!$D$19,"")))))</f>
        <v>0</v>
      </c>
      <c r="JU79" s="85">
        <f>IF(JU36&lt;=Condition!$E$16,0,IF(JU36&lt;=Condition!$F$16,Condition!$D$16,IF(JU36&lt;=Condition!$F$17,Condition!$D$17,IF(JU36&lt;=Condition!$F$18,Condition!$D$18,IF(JU36&gt;Condition!$E$19,Condition!$D$19,"")))))</f>
        <v>0</v>
      </c>
      <c r="JV79" s="85">
        <f>IF(JV36&lt;=Condition!$E$16,0,IF(JV36&lt;=Condition!$F$16,Condition!$D$16,IF(JV36&lt;=Condition!$F$17,Condition!$D$17,IF(JV36&lt;=Condition!$F$18,Condition!$D$18,IF(JV36&gt;Condition!$E$19,Condition!$D$19,"")))))</f>
        <v>0</v>
      </c>
      <c r="JW79" s="85">
        <f>IF(JW36&lt;=Condition!$E$16,0,IF(JW36&lt;=Condition!$F$16,Condition!$D$16,IF(JW36&lt;=Condition!$F$17,Condition!$D$17,IF(JW36&lt;=Condition!$F$18,Condition!$D$18,IF(JW36&gt;Condition!$E$19,Condition!$D$19,"")))))</f>
        <v>0</v>
      </c>
      <c r="JX79" s="85">
        <f>IF(JX36&lt;=Condition!$E$16,0,IF(JX36&lt;=Condition!$F$16,Condition!$D$16,IF(JX36&lt;=Condition!$F$17,Condition!$D$17,IF(JX36&lt;=Condition!$F$18,Condition!$D$18,IF(JX36&gt;Condition!$E$19,Condition!$D$19,"")))))</f>
        <v>0</v>
      </c>
      <c r="JY79" s="85">
        <f>IF(JY36&lt;=Condition!$E$16,0,IF(JY36&lt;=Condition!$F$16,Condition!$D$16,IF(JY36&lt;=Condition!$F$17,Condition!$D$17,IF(JY36&lt;=Condition!$F$18,Condition!$D$18,IF(JY36&gt;Condition!$E$19,Condition!$D$19,"")))))</f>
        <v>0</v>
      </c>
      <c r="JZ79" s="85">
        <f>IF(JZ36&lt;=Condition!$E$16,0,IF(JZ36&lt;=Condition!$F$16,Condition!$D$16,IF(JZ36&lt;=Condition!$F$17,Condition!$D$17,IF(JZ36&lt;=Condition!$F$18,Condition!$D$18,IF(JZ36&gt;Condition!$E$19,Condition!$D$19,"")))))</f>
        <v>0</v>
      </c>
      <c r="KA79" s="85">
        <f>IF(KA36&lt;=Condition!$E$16,0,IF(KA36&lt;=Condition!$F$16,Condition!$D$16,IF(KA36&lt;=Condition!$F$17,Condition!$D$17,IF(KA36&lt;=Condition!$F$18,Condition!$D$18,IF(KA36&gt;Condition!$E$19,Condition!$D$19,"")))))</f>
        <v>0</v>
      </c>
      <c r="KB79" s="85">
        <f>IF(KB36&lt;=Condition!$E$16,0,IF(KB36&lt;=Condition!$F$16,Condition!$D$16,IF(KB36&lt;=Condition!$F$17,Condition!$D$17,IF(KB36&lt;=Condition!$F$18,Condition!$D$18,IF(KB36&gt;Condition!$E$19,Condition!$D$19,"")))))</f>
        <v>0</v>
      </c>
      <c r="KC79" s="85">
        <f>IF(KC36&lt;=Condition!$E$16,0,IF(KC36&lt;=Condition!$F$16,Condition!$D$16,IF(KC36&lt;=Condition!$F$17,Condition!$D$17,IF(KC36&lt;=Condition!$F$18,Condition!$D$18,IF(KC36&gt;Condition!$E$19,Condition!$D$19,"")))))</f>
        <v>0</v>
      </c>
      <c r="KD79" s="85">
        <f>IF(KD36&lt;=Condition!$E$16,0,IF(KD36&lt;=Condition!$F$16,Condition!$D$16,IF(KD36&lt;=Condition!$F$17,Condition!$D$17,IF(KD36&lt;=Condition!$F$18,Condition!$D$18,IF(KD36&gt;Condition!$E$19,Condition!$D$19,"")))))</f>
        <v>0</v>
      </c>
      <c r="KE79" s="85">
        <f>IF(KE36&lt;=Condition!$E$16,0,IF(KE36&lt;=Condition!$F$16,Condition!$D$16,IF(KE36&lt;=Condition!$F$17,Condition!$D$17,IF(KE36&lt;=Condition!$F$18,Condition!$D$18,IF(KE36&gt;Condition!$E$19,Condition!$D$19,"")))))</f>
        <v>0</v>
      </c>
      <c r="KF79" s="85">
        <f>IF(KF36&lt;=Condition!$E$16,0,IF(KF36&lt;=Condition!$F$16,Condition!$D$16,IF(KF36&lt;=Condition!$F$17,Condition!$D$17,IF(KF36&lt;=Condition!$F$18,Condition!$D$18,IF(KF36&gt;Condition!$E$19,Condition!$D$19,"")))))</f>
        <v>0</v>
      </c>
      <c r="KG79" s="85">
        <f>IF(KG36&lt;=Condition!$E$16,0,IF(KG36&lt;=Condition!$F$16,Condition!$D$16,IF(KG36&lt;=Condition!$F$17,Condition!$D$17,IF(KG36&lt;=Condition!$F$18,Condition!$D$18,IF(KG36&gt;Condition!$E$19,Condition!$D$19,"")))))</f>
        <v>0</v>
      </c>
      <c r="KH79" s="85">
        <f>IF(KH36&lt;=Condition!$E$16,0,IF(KH36&lt;=Condition!$F$16,Condition!$D$16,IF(KH36&lt;=Condition!$F$17,Condition!$D$17,IF(KH36&lt;=Condition!$F$18,Condition!$D$18,IF(KH36&gt;Condition!$E$19,Condition!$D$19,"")))))</f>
        <v>0</v>
      </c>
      <c r="KI79" s="85">
        <f>IF(KI36&lt;=Condition!$E$16,0,IF(KI36&lt;=Condition!$F$16,Condition!$D$16,IF(KI36&lt;=Condition!$F$17,Condition!$D$17,IF(KI36&lt;=Condition!$F$18,Condition!$D$18,IF(KI36&gt;Condition!$E$19,Condition!$D$19,"")))))</f>
        <v>0</v>
      </c>
    </row>
  </sheetData>
  <mergeCells count="3">
    <mergeCell ref="B47:E47"/>
    <mergeCell ref="B46:E46"/>
    <mergeCell ref="B4:E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AX36"/>
  <sheetViews>
    <sheetView showGridLines="0" topLeftCell="A13" zoomScaleNormal="100" workbookViewId="0">
      <pane xSplit="5" topLeftCell="F1" activePane="topRight" state="frozen"/>
      <selection pane="topRight" activeCell="AE23" sqref="AE23"/>
    </sheetView>
  </sheetViews>
  <sheetFormatPr defaultRowHeight="15" x14ac:dyDescent="0.25"/>
  <cols>
    <col min="1" max="1" width="1.5703125" customWidth="1"/>
    <col min="4" max="4" width="22.28515625" bestFit="1" customWidth="1"/>
    <col min="6" max="6" width="13.7109375" customWidth="1"/>
    <col min="7" max="31" width="16.42578125" customWidth="1"/>
  </cols>
  <sheetData>
    <row r="2" spans="2:50" ht="15.75" x14ac:dyDescent="0.25">
      <c r="B2" s="23" t="str">
        <f>'ASE Ach (Service)(Input)'!B2</f>
        <v>Month</v>
      </c>
      <c r="C2" s="24" t="str">
        <f>'ASE Ach (Service)(Input)'!C2</f>
        <v>Jul</v>
      </c>
      <c r="D2" s="11" t="str">
        <f>'ASE Ach (Service)(Input)'!D2</f>
        <v>&lt;&lt;&lt; No input</v>
      </c>
    </row>
    <row r="4" spans="2:50" s="119" customFormat="1" ht="18.75" x14ac:dyDescent="0.25">
      <c r="B4" s="200" t="s">
        <v>110</v>
      </c>
      <c r="C4" s="201"/>
      <c r="D4" s="201"/>
      <c r="E4" s="202"/>
      <c r="F4" s="118" t="s">
        <v>147</v>
      </c>
      <c r="G4" s="118" t="s">
        <v>147</v>
      </c>
      <c r="H4" s="118" t="s">
        <v>147</v>
      </c>
      <c r="I4" s="118" t="s">
        <v>147</v>
      </c>
      <c r="J4" s="118" t="s">
        <v>147</v>
      </c>
      <c r="K4" s="118" t="s">
        <v>147</v>
      </c>
      <c r="L4" s="118" t="s">
        <v>147</v>
      </c>
      <c r="M4" s="118" t="s">
        <v>147</v>
      </c>
      <c r="N4" s="118" t="s">
        <v>147</v>
      </c>
      <c r="O4" s="118" t="s">
        <v>147</v>
      </c>
      <c r="P4" s="118" t="s">
        <v>147</v>
      </c>
      <c r="Q4" s="118" t="s">
        <v>147</v>
      </c>
      <c r="R4" s="118" t="s">
        <v>147</v>
      </c>
      <c r="S4" s="118" t="s">
        <v>147</v>
      </c>
      <c r="T4" s="118" t="s">
        <v>147</v>
      </c>
      <c r="U4" s="118" t="s">
        <v>147</v>
      </c>
      <c r="V4" s="118" t="s">
        <v>147</v>
      </c>
      <c r="W4" s="118" t="s">
        <v>147</v>
      </c>
      <c r="X4" s="118" t="s">
        <v>147</v>
      </c>
      <c r="Y4" s="118" t="s">
        <v>147</v>
      </c>
      <c r="Z4" s="118" t="s">
        <v>147</v>
      </c>
      <c r="AA4" s="118" t="s">
        <v>147</v>
      </c>
      <c r="AB4" s="118" t="s">
        <v>147</v>
      </c>
      <c r="AC4" s="118" t="s">
        <v>147</v>
      </c>
    </row>
    <row r="5" spans="2:50" x14ac:dyDescent="0.25">
      <c r="B5" s="205" t="str">
        <f>'ASE Target (Spares), FY 21-22'!A5</f>
        <v>Sl.</v>
      </c>
      <c r="C5" s="206" t="str">
        <f>'ASE Target (Spares), FY 21-22'!B5</f>
        <v>Wing</v>
      </c>
      <c r="D5" s="206" t="str">
        <f>'ASE Target (Spares), FY 21-22'!C5</f>
        <v>Name</v>
      </c>
      <c r="E5" s="205" t="str">
        <f>'ASE Target (Spares), FY 21-22'!D5</f>
        <v>ID</v>
      </c>
      <c r="F5" s="204" t="s">
        <v>47</v>
      </c>
      <c r="G5" s="204"/>
      <c r="H5" s="204" t="s">
        <v>48</v>
      </c>
      <c r="I5" s="204"/>
      <c r="J5" s="204" t="s">
        <v>49</v>
      </c>
      <c r="K5" s="204"/>
      <c r="L5" s="204" t="s">
        <v>50</v>
      </c>
      <c r="M5" s="204"/>
      <c r="N5" s="204" t="s">
        <v>51</v>
      </c>
      <c r="O5" s="204"/>
      <c r="P5" s="204" t="s">
        <v>52</v>
      </c>
      <c r="Q5" s="204"/>
      <c r="R5" s="204" t="s">
        <v>53</v>
      </c>
      <c r="S5" s="204"/>
      <c r="T5" s="204" t="s">
        <v>54</v>
      </c>
      <c r="U5" s="204"/>
      <c r="V5" s="204" t="s">
        <v>55</v>
      </c>
      <c r="W5" s="204"/>
      <c r="X5" s="204" t="s">
        <v>56</v>
      </c>
      <c r="Y5" s="204"/>
      <c r="Z5" s="204" t="s">
        <v>57</v>
      </c>
      <c r="AA5" s="204"/>
      <c r="AB5" s="204" t="s">
        <v>58</v>
      </c>
      <c r="AC5" s="204"/>
      <c r="AD5" s="204" t="s">
        <v>63</v>
      </c>
      <c r="AE5" s="204"/>
    </row>
    <row r="6" spans="2:50" ht="34.5" customHeight="1" x14ac:dyDescent="0.25">
      <c r="B6" s="205"/>
      <c r="C6" s="206"/>
      <c r="D6" s="206"/>
      <c r="E6" s="205"/>
      <c r="F6" s="83" t="s">
        <v>112</v>
      </c>
      <c r="G6" s="84" t="s">
        <v>113</v>
      </c>
      <c r="H6" s="83" t="s">
        <v>112</v>
      </c>
      <c r="I6" s="84" t="s">
        <v>113</v>
      </c>
      <c r="J6" s="83" t="s">
        <v>112</v>
      </c>
      <c r="K6" s="84" t="s">
        <v>113</v>
      </c>
      <c r="L6" s="83" t="s">
        <v>112</v>
      </c>
      <c r="M6" s="84" t="s">
        <v>113</v>
      </c>
      <c r="N6" s="83" t="s">
        <v>112</v>
      </c>
      <c r="O6" s="84" t="s">
        <v>113</v>
      </c>
      <c r="P6" s="83" t="s">
        <v>112</v>
      </c>
      <c r="Q6" s="84" t="s">
        <v>113</v>
      </c>
      <c r="R6" s="83" t="s">
        <v>112</v>
      </c>
      <c r="S6" s="84" t="s">
        <v>113</v>
      </c>
      <c r="T6" s="83" t="s">
        <v>112</v>
      </c>
      <c r="U6" s="84" t="s">
        <v>113</v>
      </c>
      <c r="V6" s="83" t="s">
        <v>112</v>
      </c>
      <c r="W6" s="84" t="s">
        <v>113</v>
      </c>
      <c r="X6" s="83" t="s">
        <v>112</v>
      </c>
      <c r="Y6" s="84" t="s">
        <v>113</v>
      </c>
      <c r="Z6" s="83" t="s">
        <v>112</v>
      </c>
      <c r="AA6" s="84" t="s">
        <v>113</v>
      </c>
      <c r="AB6" s="83" t="s">
        <v>112</v>
      </c>
      <c r="AC6" s="84" t="s">
        <v>113</v>
      </c>
      <c r="AD6" s="83" t="s">
        <v>112</v>
      </c>
      <c r="AE6" s="84" t="s">
        <v>113</v>
      </c>
      <c r="AX6" t="s">
        <v>111</v>
      </c>
    </row>
    <row r="7" spans="2:50" x14ac:dyDescent="0.25">
      <c r="B7" s="15">
        <f>'ASE Target (Spares), FY 21-22'!A6</f>
        <v>1</v>
      </c>
      <c r="C7" s="25" t="str">
        <f>'ASE Target vs Ach(Spares)(Inpt)'!C7</f>
        <v>DSL-DHK</v>
      </c>
      <c r="D7" s="78" t="str">
        <f>'ASE Target vs Ach(Spares)(Inpt)'!D7</f>
        <v xml:space="preserve">Md. Shohidul </v>
      </c>
      <c r="E7" s="26">
        <f>'ASE Target vs Ach(Spares)(Inpt)'!E7</f>
        <v>1418</v>
      </c>
      <c r="F7" s="79">
        <v>2</v>
      </c>
      <c r="G7" s="79">
        <v>3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82">
        <f>F7+H7+J7+L7+N7+P7+R7+T7+V7+X7+Z7+AB7</f>
        <v>2</v>
      </c>
      <c r="AE7" s="82">
        <f>G7+I7+K7+M7+O7+Q7+S7+U7+W7+Y7+AA7+AC7</f>
        <v>3</v>
      </c>
    </row>
    <row r="8" spans="2:50" x14ac:dyDescent="0.25">
      <c r="B8" s="15">
        <f>'ASE Target (Spares), FY 21-22'!A7</f>
        <v>2</v>
      </c>
      <c r="C8" s="25" t="str">
        <f>'ASE Target vs Ach(Spares)(Inpt)'!C8</f>
        <v>DSL-DHK</v>
      </c>
      <c r="D8" s="78" t="str">
        <f>'ASE Target vs Ach(Spares)(Inpt)'!D8</f>
        <v>Sagar Chakrobarti</v>
      </c>
      <c r="E8" s="26">
        <f>'ASE Target vs Ach(Spares)(Inpt)'!E8</f>
        <v>2701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82">
        <f t="shared" ref="AD8:AD36" si="0">F8+H8+J8+L8+N8+P8+R8+T8+V8+X8+Z8+AB8</f>
        <v>0</v>
      </c>
      <c r="AE8" s="82">
        <f t="shared" ref="AE8:AE36" si="1">G8+I8+K8+M8+O8+Q8+S8+U8+W8+Y8+AA8+AC8</f>
        <v>0</v>
      </c>
    </row>
    <row r="9" spans="2:50" x14ac:dyDescent="0.25">
      <c r="B9" s="15">
        <f>'ASE Target (Spares), FY 21-22'!A8</f>
        <v>3</v>
      </c>
      <c r="C9" s="25" t="str">
        <f>'ASE Target vs Ach(Spares)(Inpt)'!C9</f>
        <v>DSL-DHK</v>
      </c>
      <c r="D9" s="78" t="str">
        <f>'ASE Target vs Ach(Spares)(Inpt)'!D9</f>
        <v>Md. Minhazul Islam</v>
      </c>
      <c r="E9" s="26">
        <f>'ASE Target vs Ach(Spares)(Inpt)'!E9</f>
        <v>2330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82">
        <f t="shared" si="0"/>
        <v>0</v>
      </c>
      <c r="AE9" s="82">
        <f t="shared" si="1"/>
        <v>0</v>
      </c>
    </row>
    <row r="10" spans="2:50" x14ac:dyDescent="0.25">
      <c r="B10" s="15">
        <f>'ASE Target (Spares), FY 21-22'!A9</f>
        <v>4</v>
      </c>
      <c r="C10" s="25" t="str">
        <f>'ASE Target vs Ach(Spares)(Inpt)'!C10</f>
        <v>DSL-DHK</v>
      </c>
      <c r="D10" s="78" t="str">
        <f>'ASE Target vs Ach(Spares)(Inpt)'!D10</f>
        <v>Md. Nazmul Hasan Titu</v>
      </c>
      <c r="E10" s="26">
        <f>'ASE Target vs Ach(Spares)(Inpt)'!E10</f>
        <v>2913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82">
        <f t="shared" si="0"/>
        <v>0</v>
      </c>
      <c r="AE10" s="82">
        <f t="shared" si="1"/>
        <v>0</v>
      </c>
    </row>
    <row r="11" spans="2:50" x14ac:dyDescent="0.25">
      <c r="B11" s="15">
        <f>'ASE Target (Spares), FY 21-22'!A10</f>
        <v>5</v>
      </c>
      <c r="C11" s="25" t="str">
        <f>'ASE Target vs Ach(Spares)(Inpt)'!C11</f>
        <v>DSL-DHK</v>
      </c>
      <c r="D11" s="78" t="str">
        <f>'ASE Target vs Ach(Spares)(Inpt)'!D11</f>
        <v>Md. Zahirul Islam</v>
      </c>
      <c r="E11" s="26">
        <f>'ASE Target vs Ach(Spares)(Inpt)'!E11</f>
        <v>2914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82">
        <f t="shared" si="0"/>
        <v>0</v>
      </c>
      <c r="AE11" s="82">
        <f t="shared" si="1"/>
        <v>0</v>
      </c>
    </row>
    <row r="12" spans="2:50" x14ac:dyDescent="0.25">
      <c r="B12" s="15">
        <f>'ASE Target (Spares), FY 21-22'!A11</f>
        <v>6</v>
      </c>
      <c r="C12" s="25" t="str">
        <f>'ASE Target vs Ach(Spares)(Inpt)'!C12</f>
        <v>DSL-DHK</v>
      </c>
      <c r="D12" s="78" t="str">
        <f>'ASE Target vs Ach(Spares)(Inpt)'!D12</f>
        <v>Md. Rakibul Hasan</v>
      </c>
      <c r="E12" s="26">
        <f>'ASE Target vs Ach(Spares)(Inpt)'!E12</f>
        <v>2927</v>
      </c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82">
        <f t="shared" si="0"/>
        <v>0</v>
      </c>
      <c r="AE12" s="82">
        <f t="shared" si="1"/>
        <v>0</v>
      </c>
    </row>
    <row r="13" spans="2:50" x14ac:dyDescent="0.25">
      <c r="B13" s="15">
        <f>'ASE Target (Spares), FY 21-22'!A12</f>
        <v>7</v>
      </c>
      <c r="C13" s="25" t="str">
        <f>'ASE Target vs Ach(Spares)(Inpt)'!C13</f>
        <v>DSL-DHK</v>
      </c>
      <c r="D13" s="78" t="str">
        <f>'ASE Target vs Ach(Spares)(Inpt)'!D13</f>
        <v>Md Ariful Islam</v>
      </c>
      <c r="E13" s="26">
        <f>'ASE Target vs Ach(Spares)(Inpt)'!E13</f>
        <v>2699</v>
      </c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82">
        <f t="shared" si="0"/>
        <v>0</v>
      </c>
      <c r="AE13" s="82">
        <f t="shared" si="1"/>
        <v>0</v>
      </c>
    </row>
    <row r="14" spans="2:50" x14ac:dyDescent="0.25">
      <c r="B14" s="15">
        <f>'ASE Target (Spares), FY 21-22'!A13</f>
        <v>8</v>
      </c>
      <c r="C14" s="25" t="str">
        <f>'ASE Target vs Ach(Spares)(Inpt)'!C14</f>
        <v>DSL-DHK</v>
      </c>
      <c r="D14" s="78" t="str">
        <f>'ASE Target vs Ach(Spares)(Inpt)'!D14</f>
        <v>Mohammad Jewel Rana</v>
      </c>
      <c r="E14" s="26" t="str">
        <f>'ASE Target vs Ach(Spares)(Inpt)'!E14</f>
        <v>3002</v>
      </c>
      <c r="F14" s="79">
        <v>1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82">
        <f t="shared" si="0"/>
        <v>1</v>
      </c>
      <c r="AE14" s="82">
        <f t="shared" si="1"/>
        <v>0</v>
      </c>
    </row>
    <row r="15" spans="2:50" x14ac:dyDescent="0.25">
      <c r="B15" s="15">
        <f>'ASE Target (Spares), FY 21-22'!A6</f>
        <v>1</v>
      </c>
      <c r="C15" s="25" t="str">
        <f>'ASE Target vs Ach(Spares)(Inpt)'!C15</f>
        <v>DSL-DHK</v>
      </c>
      <c r="D15" s="78" t="str">
        <f>'ASE Target vs Ach(Spares)(Inpt)'!D15</f>
        <v>Faysal Ahmed</v>
      </c>
      <c r="E15" s="26" t="str">
        <f>'ASE Target vs Ach(Spares)(Inpt)'!E15</f>
        <v>3004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82">
        <f t="shared" ref="AD15:AD22" si="2">F15+H15+J15+L15+N15+P15+R15+T15+V15+X15+Z15+AB15</f>
        <v>0</v>
      </c>
      <c r="AE15" s="82">
        <f t="shared" ref="AE15:AE22" si="3">G15+I15+K15+M15+O15+Q15+S15+U15+W15+Y15+AA15+AC15</f>
        <v>0</v>
      </c>
    </row>
    <row r="16" spans="2:50" x14ac:dyDescent="0.25">
      <c r="B16" s="15">
        <f>'ASE Target (Spares), FY 21-22'!A7</f>
        <v>2</v>
      </c>
      <c r="C16" s="25" t="str">
        <f>'ASE Target vs Ach(Spares)(Inpt)'!C16</f>
        <v>DSL-DHK</v>
      </c>
      <c r="D16" s="78" t="str">
        <f>'ASE Target vs Ach(Spares)(Inpt)'!D16</f>
        <v>Rakibul Islam Razib</v>
      </c>
      <c r="E16" s="26" t="str">
        <f>'ASE Target vs Ach(Spares)(Inpt)'!E16</f>
        <v>3006</v>
      </c>
      <c r="F16" s="79">
        <v>2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82">
        <f t="shared" si="2"/>
        <v>2</v>
      </c>
      <c r="AE16" s="82">
        <f t="shared" si="3"/>
        <v>0</v>
      </c>
    </row>
    <row r="17" spans="2:31" x14ac:dyDescent="0.25">
      <c r="B17" s="15">
        <f>'ASE Target (Spares), FY 21-22'!A8</f>
        <v>3</v>
      </c>
      <c r="C17" s="25" t="str">
        <f>'ASE Target vs Ach(Spares)(Inpt)'!C17</f>
        <v>DSL-DHK</v>
      </c>
      <c r="D17" s="78" t="str">
        <f>'ASE Target vs Ach(Spares)(Inpt)'!D17</f>
        <v>Ashraful Islam</v>
      </c>
      <c r="E17" s="26">
        <f>'ASE Target vs Ach(Spares)(Inpt)'!E17</f>
        <v>3003</v>
      </c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82">
        <f t="shared" si="2"/>
        <v>0</v>
      </c>
      <c r="AE17" s="82">
        <f t="shared" si="3"/>
        <v>0</v>
      </c>
    </row>
    <row r="18" spans="2:31" x14ac:dyDescent="0.25">
      <c r="B18" s="15">
        <f>'ASE Target (Spares), FY 21-22'!A9</f>
        <v>4</v>
      </c>
      <c r="C18" s="25" t="str">
        <f>'ASE Target vs Ach(Spares)(Inpt)'!C18</f>
        <v>DSL-DHK</v>
      </c>
      <c r="D18" s="78" t="str">
        <f>'ASE Target vs Ach(Spares)(Inpt)'!D18</f>
        <v>Md. Rakibul Islam</v>
      </c>
      <c r="E18" s="26">
        <f>'ASE Target vs Ach(Spares)(Inpt)'!E18</f>
        <v>5690</v>
      </c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82">
        <f t="shared" si="2"/>
        <v>0</v>
      </c>
      <c r="AE18" s="82">
        <f t="shared" si="3"/>
        <v>0</v>
      </c>
    </row>
    <row r="19" spans="2:31" x14ac:dyDescent="0.25">
      <c r="B19" s="15">
        <f>'ASE Target (Spares), FY 21-22'!A10</f>
        <v>5</v>
      </c>
      <c r="C19" s="25" t="str">
        <f>'ASE Target vs Ach(Spares)(Inpt)'!C19</f>
        <v>DSL-DHK</v>
      </c>
      <c r="D19" s="78" t="str">
        <f>'ASE Target vs Ach(Spares)(Inpt)'!D19</f>
        <v>Ohid Hasan Saikat</v>
      </c>
      <c r="E19" s="26">
        <f>'ASE Target vs Ach(Spares)(Inpt)'!E19</f>
        <v>5691</v>
      </c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82">
        <f t="shared" si="2"/>
        <v>0</v>
      </c>
      <c r="AE19" s="82">
        <f t="shared" si="3"/>
        <v>0</v>
      </c>
    </row>
    <row r="20" spans="2:31" x14ac:dyDescent="0.25">
      <c r="B20" s="15">
        <f>'ASE Target (Spares), FY 21-22'!A11</f>
        <v>6</v>
      </c>
      <c r="C20" s="25" t="str">
        <f>'ASE Target vs Ach(Spares)(Inpt)'!C20</f>
        <v>DSL-DHK</v>
      </c>
      <c r="D20" s="78" t="str">
        <f>'ASE Target vs Ach(Spares)(Inpt)'!D20</f>
        <v>Abdullah Al Mahmud</v>
      </c>
      <c r="E20" s="26">
        <f>'ASE Target vs Ach(Spares)(Inpt)'!E20</f>
        <v>5692</v>
      </c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82">
        <f t="shared" si="2"/>
        <v>0</v>
      </c>
      <c r="AE20" s="82">
        <f t="shared" si="3"/>
        <v>0</v>
      </c>
    </row>
    <row r="21" spans="2:31" x14ac:dyDescent="0.25">
      <c r="B21" s="15">
        <f>'ASE Target (Spares), FY 21-22'!A12</f>
        <v>7</v>
      </c>
      <c r="C21" s="25" t="str">
        <f>'ASE Target vs Ach(Spares)(Inpt)'!C21</f>
        <v>DSL-DHK</v>
      </c>
      <c r="D21" s="78" t="str">
        <f>'ASE Target vs Ach(Spares)(Inpt)'!D21</f>
        <v>Apurba Kumar Gain</v>
      </c>
      <c r="E21" s="26">
        <f>'ASE Target vs Ach(Spares)(Inpt)'!E21</f>
        <v>5927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82">
        <f t="shared" si="2"/>
        <v>0</v>
      </c>
      <c r="AE21" s="82">
        <f t="shared" si="3"/>
        <v>0</v>
      </c>
    </row>
    <row r="22" spans="2:31" x14ac:dyDescent="0.25">
      <c r="B22" s="15">
        <f>'ASE Target (Spares), FY 21-22'!A13</f>
        <v>8</v>
      </c>
      <c r="C22" s="25" t="str">
        <f>'ASE Target vs Ach(Spares)(Inpt)'!C22</f>
        <v>DSL-DHK</v>
      </c>
      <c r="D22" s="78" t="str">
        <f>'ASE Target vs Ach(Spares)(Inpt)'!D22</f>
        <v>Amirul Islam</v>
      </c>
      <c r="E22" s="26">
        <f>'ASE Target vs Ach(Spares)(Inpt)'!E22</f>
        <v>5928</v>
      </c>
      <c r="F22" s="79">
        <v>1</v>
      </c>
      <c r="G22" s="79">
        <v>1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82">
        <f t="shared" si="2"/>
        <v>1</v>
      </c>
      <c r="AE22" s="82">
        <f t="shared" si="3"/>
        <v>1</v>
      </c>
    </row>
    <row r="23" spans="2:31" x14ac:dyDescent="0.25">
      <c r="B23" s="15">
        <f>'ASE Target (Spares), FY 21-22'!A14</f>
        <v>9</v>
      </c>
      <c r="C23" s="25" t="str">
        <f>'ASE Target vs Ach(Spares)(Inpt)'!C23</f>
        <v>DSL-DHK</v>
      </c>
      <c r="D23" s="78" t="str">
        <f>'ASE Target vs Ach(Spares)(Inpt)'!D23</f>
        <v>Md. Jafor Ikbal</v>
      </c>
      <c r="E23" s="26">
        <f>'ASE Target vs Ach(Spares)(Inpt)'!E23</f>
        <v>5929</v>
      </c>
      <c r="F23" s="79"/>
      <c r="G23" s="79">
        <v>1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82">
        <f t="shared" si="0"/>
        <v>0</v>
      </c>
      <c r="AE23" s="82">
        <f t="shared" si="1"/>
        <v>1</v>
      </c>
    </row>
    <row r="24" spans="2:31" x14ac:dyDescent="0.25">
      <c r="B24" s="15">
        <f>'ASE Target (Spares), FY 21-22'!A15</f>
        <v>10</v>
      </c>
      <c r="C24" s="25" t="str">
        <f>'ASE Target vs Ach(Spares)(Inpt)'!C24</f>
        <v>DSL-DHK</v>
      </c>
      <c r="D24" s="78" t="str">
        <f>'ASE Target vs Ach(Spares)(Inpt)'!D24</f>
        <v>Md. Habibur Rahman</v>
      </c>
      <c r="E24" s="26">
        <f>'ASE Target vs Ach(Spares)(Inpt)'!E24</f>
        <v>6079</v>
      </c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82">
        <f t="shared" si="0"/>
        <v>0</v>
      </c>
      <c r="AE24" s="82">
        <f t="shared" si="1"/>
        <v>0</v>
      </c>
    </row>
    <row r="25" spans="2:31" x14ac:dyDescent="0.25">
      <c r="B25" s="15">
        <f>'ASE Target (Spares), FY 21-22'!A16</f>
        <v>11</v>
      </c>
      <c r="C25" s="25" t="str">
        <f>'ASE Target vs Ach(Spares)(Inpt)'!C25</f>
        <v>DSL-DHK</v>
      </c>
      <c r="D25" s="78" t="str">
        <f>'ASE Target vs Ach(Spares)(Inpt)'!D25</f>
        <v>Ashikur Rahman</v>
      </c>
      <c r="E25" s="26">
        <f>'ASE Target vs Ach(Spares)(Inpt)'!E25</f>
        <v>6080</v>
      </c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82">
        <f t="shared" si="0"/>
        <v>0</v>
      </c>
      <c r="AE25" s="82">
        <f t="shared" si="1"/>
        <v>0</v>
      </c>
    </row>
    <row r="26" spans="2:31" x14ac:dyDescent="0.25">
      <c r="B26" s="15">
        <f>'ASE Target (Spares), FY 21-22'!A17</f>
        <v>12</v>
      </c>
      <c r="C26" s="25" t="str">
        <f>'ASE Target vs Ach(Spares)(Inpt)'!C26</f>
        <v>DSL-DHK</v>
      </c>
      <c r="D26" s="78" t="str">
        <f>'ASE Target vs Ach(Spares)(Inpt)'!D26</f>
        <v>Md. Sujon Hossain</v>
      </c>
      <c r="E26" s="26">
        <f>'ASE Target vs Ach(Spares)(Inpt)'!E26</f>
        <v>6078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82">
        <f t="shared" si="0"/>
        <v>0</v>
      </c>
      <c r="AE26" s="82">
        <f t="shared" si="1"/>
        <v>0</v>
      </c>
    </row>
    <row r="27" spans="2:31" x14ac:dyDescent="0.25">
      <c r="B27" s="15">
        <f>'ASE Target (Spares), FY 21-22'!A18</f>
        <v>13</v>
      </c>
      <c r="C27" s="25" t="str">
        <f>'ASE Target vs Ach(Spares)(Inpt)'!C27</f>
        <v>DSL-DHK</v>
      </c>
      <c r="D27" s="78" t="str">
        <f>'ASE Target vs Ach(Spares)(Inpt)'!D27</f>
        <v xml:space="preserve">Md Jiaur Rahman </v>
      </c>
      <c r="E27" s="26" t="str">
        <f>'ASE Target vs Ach(Spares)(Inpt)'!E27</f>
        <v>0522</v>
      </c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82">
        <f t="shared" si="0"/>
        <v>0</v>
      </c>
      <c r="AE27" s="82">
        <f t="shared" si="1"/>
        <v>0</v>
      </c>
    </row>
    <row r="28" spans="2:31" x14ac:dyDescent="0.25">
      <c r="B28" s="15">
        <f>'ASE Target (Spares), FY 21-22'!A19</f>
        <v>14</v>
      </c>
      <c r="C28" s="25" t="str">
        <f>'ASE Target vs Ach(Spares)(Inpt)'!C28</f>
        <v/>
      </c>
      <c r="D28" s="78" t="str">
        <f>'ASE Target vs Ach(Spares)(Inpt)'!D28</f>
        <v>New-2</v>
      </c>
      <c r="E28" s="26" t="str">
        <f>'ASE Target vs Ach(Spares)(Inpt)'!E28</f>
        <v/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82">
        <f t="shared" si="0"/>
        <v>0</v>
      </c>
      <c r="AE28" s="82">
        <f t="shared" si="1"/>
        <v>0</v>
      </c>
    </row>
    <row r="29" spans="2:31" x14ac:dyDescent="0.25">
      <c r="B29" s="15">
        <f>'ASE Target (Spares), FY 21-22'!A20</f>
        <v>15</v>
      </c>
      <c r="C29" s="25" t="str">
        <f>'ASE Target vs Ach(Spares)(Inpt)'!C29</f>
        <v/>
      </c>
      <c r="D29" s="78" t="str">
        <f>'ASE Target vs Ach(Spares)(Inpt)'!D29</f>
        <v>New-3</v>
      </c>
      <c r="E29" s="26" t="str">
        <f>'ASE Target vs Ach(Spares)(Inpt)'!E29</f>
        <v/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82">
        <f t="shared" si="0"/>
        <v>0</v>
      </c>
      <c r="AE29" s="82">
        <f t="shared" si="1"/>
        <v>0</v>
      </c>
    </row>
    <row r="30" spans="2:31" x14ac:dyDescent="0.25">
      <c r="B30" s="15">
        <f>'ASE Target (Spares), FY 21-22'!A21</f>
        <v>16</v>
      </c>
      <c r="C30" s="25" t="str">
        <f>'ASE Target vs Ach(Spares)(Inpt)'!C30</f>
        <v/>
      </c>
      <c r="D30" s="78" t="str">
        <f>'ASE Target vs Ach(Spares)(Inpt)'!D30</f>
        <v>New-4</v>
      </c>
      <c r="E30" s="26" t="str">
        <f>'ASE Target vs Ach(Spares)(Inpt)'!E30</f>
        <v/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82">
        <f t="shared" si="0"/>
        <v>0</v>
      </c>
      <c r="AE30" s="82">
        <f t="shared" si="1"/>
        <v>0</v>
      </c>
    </row>
    <row r="31" spans="2:31" x14ac:dyDescent="0.25">
      <c r="B31" s="15">
        <f>'ASE Target (Spares), FY 21-22'!A22</f>
        <v>17</v>
      </c>
      <c r="C31" s="25" t="str">
        <f>'ASE Target vs Ach(Spares)(Inpt)'!C31</f>
        <v>CTG</v>
      </c>
      <c r="D31" s="78" t="str">
        <f>'ASE Target vs Ach(Spares)(Inpt)'!D31</f>
        <v xml:space="preserve">Sumon Sen </v>
      </c>
      <c r="E31" s="26" t="str">
        <f>'ASE Target vs Ach(Spares)(Inpt)'!E31</f>
        <v>8041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82">
        <f t="shared" si="0"/>
        <v>0</v>
      </c>
      <c r="AE31" s="82">
        <f t="shared" si="1"/>
        <v>0</v>
      </c>
    </row>
    <row r="32" spans="2:31" x14ac:dyDescent="0.25">
      <c r="B32" s="15">
        <f>'ASE Target (Spares), FY 21-22'!A29</f>
        <v>18</v>
      </c>
      <c r="C32" s="25" t="str">
        <f>'ASE Target vs Ach(Spares)(Inpt)'!C32</f>
        <v>CTG</v>
      </c>
      <c r="D32" s="78" t="str">
        <f>'ASE Target vs Ach(Spares)(Inpt)'!D32</f>
        <v>Tapan Barua</v>
      </c>
      <c r="E32" s="26" t="str">
        <f>'ASE Target vs Ach(Spares)(Inpt)'!E32</f>
        <v>1475</v>
      </c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82">
        <f t="shared" si="0"/>
        <v>0</v>
      </c>
      <c r="AE32" s="82">
        <f t="shared" si="1"/>
        <v>0</v>
      </c>
    </row>
    <row r="33" spans="2:31" x14ac:dyDescent="0.25">
      <c r="B33" s="15">
        <f>'ASE Target (Spares), FY 21-22'!A30</f>
        <v>19</v>
      </c>
      <c r="C33" s="25" t="str">
        <f>'ASE Target vs Ach(Spares)(Inpt)'!C33</f>
        <v>CTG</v>
      </c>
      <c r="D33" s="78" t="str">
        <f>'ASE Target vs Ach(Spares)(Inpt)'!D33</f>
        <v>Sozol prince</v>
      </c>
      <c r="E33" s="26" t="str">
        <f>'ASE Target vs Ach(Spares)(Inpt)'!E33</f>
        <v>6076</v>
      </c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82">
        <f t="shared" si="0"/>
        <v>0</v>
      </c>
      <c r="AE33" s="82">
        <f t="shared" si="1"/>
        <v>0</v>
      </c>
    </row>
    <row r="34" spans="2:31" x14ac:dyDescent="0.25">
      <c r="B34" s="15">
        <f>'ASE Target (Spares), FY 21-22'!A31</f>
        <v>20</v>
      </c>
      <c r="C34" s="25" t="str">
        <f>'ASE Target vs Ach(Spares)(Inpt)'!C34</f>
        <v/>
      </c>
      <c r="D34" s="78" t="str">
        <f>'ASE Target vs Ach(Spares)(Inpt)'!D34</f>
        <v>New-5</v>
      </c>
      <c r="E34" s="26" t="str">
        <f>'ASE Target vs Ach(Spares)(Inpt)'!E34</f>
        <v/>
      </c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82">
        <f t="shared" si="0"/>
        <v>0</v>
      </c>
      <c r="AE34" s="82">
        <f t="shared" si="1"/>
        <v>0</v>
      </c>
    </row>
    <row r="35" spans="2:31" x14ac:dyDescent="0.25">
      <c r="B35" s="15">
        <f>'ASE Target (Spares), FY 21-22'!A32</f>
        <v>21</v>
      </c>
      <c r="C35" s="25" t="str">
        <f>'ASE Target vs Ach(Spares)(Inpt)'!C35</f>
        <v/>
      </c>
      <c r="D35" s="78" t="str">
        <f>'ASE Target vs Ach(Spares)(Inpt)'!D35</f>
        <v>New-6</v>
      </c>
      <c r="E35" s="26" t="str">
        <f>'ASE Target vs Ach(Spares)(Inpt)'!E35</f>
        <v/>
      </c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82">
        <f t="shared" si="0"/>
        <v>0</v>
      </c>
      <c r="AE35" s="82">
        <f t="shared" si="1"/>
        <v>0</v>
      </c>
    </row>
    <row r="36" spans="2:31" x14ac:dyDescent="0.25">
      <c r="B36" s="15">
        <f>'ASE Target (Spares), FY 21-22'!A33</f>
        <v>16</v>
      </c>
      <c r="C36" s="25" t="str">
        <f>'ASE Target vs Ach(Spares)(Inpt)'!C36</f>
        <v/>
      </c>
      <c r="D36" s="78" t="str">
        <f>'ASE Target vs Ach(Spares)(Inpt)'!D36</f>
        <v/>
      </c>
      <c r="E36" s="26" t="str">
        <f>'ASE Target vs Ach(Spares)(Inpt)'!E36</f>
        <v/>
      </c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82">
        <f t="shared" si="0"/>
        <v>0</v>
      </c>
      <c r="AE36" s="82">
        <f t="shared" si="1"/>
        <v>0</v>
      </c>
    </row>
  </sheetData>
  <mergeCells count="18">
    <mergeCell ref="V5:W5"/>
    <mergeCell ref="X5:Y5"/>
    <mergeCell ref="Z5:AA5"/>
    <mergeCell ref="AB5:AC5"/>
    <mergeCell ref="AD5:AE5"/>
    <mergeCell ref="B4:E4"/>
    <mergeCell ref="T5:U5"/>
    <mergeCell ref="B5:B6"/>
    <mergeCell ref="C5:C6"/>
    <mergeCell ref="D5:D6"/>
    <mergeCell ref="E5:E6"/>
    <mergeCell ref="F5:G5"/>
    <mergeCell ref="H5:I5"/>
    <mergeCell ref="J5:K5"/>
    <mergeCell ref="L5:M5"/>
    <mergeCell ref="N5:O5"/>
    <mergeCell ref="P5:Q5"/>
    <mergeCell ref="R5:S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Z36"/>
  <sheetViews>
    <sheetView showGridLines="0" workbookViewId="0">
      <selection activeCell="E4" sqref="B4:E7"/>
    </sheetView>
  </sheetViews>
  <sheetFormatPr defaultColWidth="9.140625" defaultRowHeight="15" x14ac:dyDescent="0.25"/>
  <cols>
    <col min="1" max="1" width="1.85546875" style="2" customWidth="1"/>
    <col min="2" max="2" width="9.140625" style="2"/>
    <col min="3" max="3" width="13" style="2" customWidth="1"/>
    <col min="4" max="4" width="22.28515625" style="4" customWidth="1"/>
    <col min="5" max="5" width="13.28515625" style="2" customWidth="1"/>
    <col min="6" max="6" width="14.28515625" style="2" customWidth="1"/>
    <col min="7" max="7" width="24.28515625" style="2" customWidth="1"/>
    <col min="8" max="8" width="24.5703125" style="2" customWidth="1"/>
    <col min="9" max="9" width="26.42578125" style="2" customWidth="1"/>
    <col min="10" max="10" width="27.5703125" style="2" customWidth="1"/>
    <col min="11" max="11" width="27" style="2" customWidth="1"/>
    <col min="12" max="12" width="26.85546875" style="2" customWidth="1"/>
    <col min="13" max="13" width="17.42578125" style="2" customWidth="1"/>
    <col min="14" max="18" width="23.85546875" style="2" customWidth="1"/>
    <col min="19" max="19" width="29.7109375" style="2" customWidth="1"/>
    <col min="20" max="20" width="30.85546875" style="2" customWidth="1"/>
    <col min="21" max="24" width="25.28515625" style="2" customWidth="1"/>
    <col min="25" max="25" width="20.85546875" style="2" customWidth="1"/>
    <col min="26" max="26" width="18.42578125" style="2" customWidth="1"/>
    <col min="27" max="27" width="0.85546875" style="2" customWidth="1"/>
    <col min="28" max="30" width="9.140625" style="2"/>
    <col min="31" max="31" width="18" style="2" bestFit="1" customWidth="1"/>
    <col min="32" max="32" width="21.42578125" style="2" bestFit="1" customWidth="1"/>
    <col min="33" max="16384" width="9.140625" style="2"/>
  </cols>
  <sheetData>
    <row r="1" spans="2:26" x14ac:dyDescent="0.25">
      <c r="E1" s="4"/>
      <c r="F1" s="4"/>
      <c r="G1" s="4"/>
      <c r="H1" s="4"/>
      <c r="I1" s="4"/>
      <c r="J1" s="4"/>
      <c r="M1" s="10"/>
      <c r="N1" s="76"/>
      <c r="O1" s="76"/>
      <c r="P1" s="140"/>
      <c r="Q1" s="76"/>
      <c r="R1" s="76"/>
      <c r="S1" s="76"/>
      <c r="T1" s="76"/>
      <c r="U1" s="76"/>
      <c r="V1" s="76"/>
      <c r="W1" s="76"/>
      <c r="X1" s="76"/>
      <c r="Y1" s="76"/>
    </row>
    <row r="2" spans="2:26" ht="15.75" x14ac:dyDescent="0.25">
      <c r="B2" s="23" t="s">
        <v>46</v>
      </c>
      <c r="C2" s="24" t="str">
        <f>'Monthly Summary (Printable)'!C2</f>
        <v>Jul</v>
      </c>
      <c r="D2" s="11" t="str">
        <f>'ASE Ach (Service)(Input)'!D2</f>
        <v>&lt;&lt;&lt; No input</v>
      </c>
      <c r="E2" s="4"/>
      <c r="F2" s="4"/>
      <c r="G2" s="4"/>
      <c r="H2" s="4"/>
      <c r="I2" s="4"/>
      <c r="J2" s="4"/>
      <c r="K2" s="6"/>
      <c r="M2" s="10"/>
      <c r="U2" s="11"/>
      <c r="V2" s="11"/>
      <c r="Y2" s="11"/>
    </row>
    <row r="3" spans="2:26" ht="18.75" x14ac:dyDescent="0.25">
      <c r="G3" s="220" t="s">
        <v>105</v>
      </c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2"/>
      <c r="S3" s="224" t="s">
        <v>66</v>
      </c>
      <c r="T3" s="225"/>
      <c r="U3" s="225"/>
      <c r="V3" s="225"/>
      <c r="W3" s="225"/>
      <c r="X3" s="225"/>
      <c r="Y3" s="226"/>
    </row>
    <row r="4" spans="2:26" s="5" customFormat="1" ht="15.75" customHeight="1" x14ac:dyDescent="0.25">
      <c r="B4" s="208" t="str">
        <f>'ASE Target (Spares), FY 21-22'!A5</f>
        <v>Sl.</v>
      </c>
      <c r="C4" s="208" t="str">
        <f>'ASE Target (Spares), FY 21-22'!B5</f>
        <v>Wing</v>
      </c>
      <c r="D4" s="209" t="str">
        <f>'ASE Target (Spares), FY 21-22'!C5</f>
        <v>Name</v>
      </c>
      <c r="E4" s="208" t="str">
        <f>'ASE Target (Spares), FY 21-22'!D5</f>
        <v>ID</v>
      </c>
      <c r="F4" s="207" t="s">
        <v>84</v>
      </c>
      <c r="G4" s="227" t="s">
        <v>85</v>
      </c>
      <c r="H4" s="227" t="s">
        <v>86</v>
      </c>
      <c r="I4" s="227" t="s">
        <v>92</v>
      </c>
      <c r="J4" s="230" t="s">
        <v>94</v>
      </c>
      <c r="K4" s="230" t="s">
        <v>87</v>
      </c>
      <c r="L4" s="230" t="s">
        <v>93</v>
      </c>
      <c r="M4" s="207" t="s">
        <v>82</v>
      </c>
      <c r="N4" s="207" t="s">
        <v>88</v>
      </c>
      <c r="O4" s="207" t="s">
        <v>89</v>
      </c>
      <c r="P4" s="233">
        <f>Condition!$C$11</f>
        <v>0.01</v>
      </c>
      <c r="Q4" s="219" t="s">
        <v>151</v>
      </c>
      <c r="R4" s="207" t="s">
        <v>146</v>
      </c>
      <c r="S4" s="212" t="s">
        <v>137</v>
      </c>
      <c r="T4" s="212" t="s">
        <v>138</v>
      </c>
      <c r="U4" s="215" t="s">
        <v>88</v>
      </c>
      <c r="V4" s="216"/>
      <c r="W4" s="219" t="s">
        <v>114</v>
      </c>
      <c r="X4" s="219"/>
      <c r="Y4" s="216" t="s">
        <v>88</v>
      </c>
      <c r="Z4" s="207" t="s">
        <v>90</v>
      </c>
    </row>
    <row r="5" spans="2:26" s="5" customFormat="1" ht="15.75" x14ac:dyDescent="0.25">
      <c r="B5" s="208"/>
      <c r="C5" s="208"/>
      <c r="D5" s="209"/>
      <c r="E5" s="208"/>
      <c r="F5" s="207"/>
      <c r="G5" s="228"/>
      <c r="H5" s="228"/>
      <c r="I5" s="228"/>
      <c r="J5" s="231"/>
      <c r="K5" s="231"/>
      <c r="L5" s="231"/>
      <c r="M5" s="207"/>
      <c r="N5" s="207"/>
      <c r="O5" s="207"/>
      <c r="P5" s="233"/>
      <c r="Q5" s="219"/>
      <c r="R5" s="207"/>
      <c r="S5" s="213"/>
      <c r="T5" s="213"/>
      <c r="U5" s="217"/>
      <c r="V5" s="218"/>
      <c r="W5" s="219"/>
      <c r="X5" s="219"/>
      <c r="Y5" s="218"/>
      <c r="Z5" s="207"/>
    </row>
    <row r="6" spans="2:26" s="5" customFormat="1" ht="15.75" x14ac:dyDescent="0.25">
      <c r="B6" s="208"/>
      <c r="C6" s="208"/>
      <c r="D6" s="209"/>
      <c r="E6" s="208"/>
      <c r="F6" s="207"/>
      <c r="G6" s="229"/>
      <c r="H6" s="229"/>
      <c r="I6" s="229"/>
      <c r="J6" s="232"/>
      <c r="K6" s="232"/>
      <c r="L6" s="232"/>
      <c r="M6" s="207"/>
      <c r="N6" s="223" t="s">
        <v>64</v>
      </c>
      <c r="O6" s="223"/>
      <c r="P6" s="223"/>
      <c r="Q6" s="223"/>
      <c r="R6" s="223"/>
      <c r="S6" s="214"/>
      <c r="T6" s="214"/>
      <c r="U6" s="113" t="s">
        <v>66</v>
      </c>
      <c r="V6" s="113" t="s">
        <v>139</v>
      </c>
      <c r="W6" s="74" t="s">
        <v>111</v>
      </c>
      <c r="X6" s="74" t="s">
        <v>115</v>
      </c>
      <c r="Y6" s="76" t="s">
        <v>109</v>
      </c>
      <c r="Z6" s="207"/>
    </row>
    <row r="7" spans="2:26" s="5" customFormat="1" ht="15.75" x14ac:dyDescent="0.25">
      <c r="B7" s="208"/>
      <c r="C7" s="208"/>
      <c r="D7" s="209"/>
      <c r="E7" s="208"/>
      <c r="F7" s="207"/>
      <c r="G7" s="14" t="str">
        <f>C2</f>
        <v>Jul</v>
      </c>
      <c r="H7" s="14" t="str">
        <f>G7</f>
        <v>Jul</v>
      </c>
      <c r="I7" s="14" t="str">
        <f>H7</f>
        <v>Jul</v>
      </c>
      <c r="J7" s="14" t="str">
        <f>I7</f>
        <v>Jul</v>
      </c>
      <c r="K7" s="14" t="str">
        <f>H7</f>
        <v>Jul</v>
      </c>
      <c r="L7" s="14" t="str">
        <f>K7</f>
        <v>Jul</v>
      </c>
      <c r="M7" s="207"/>
      <c r="N7" s="75" t="s">
        <v>149</v>
      </c>
      <c r="O7" s="75" t="s">
        <v>149</v>
      </c>
      <c r="P7" s="75" t="s">
        <v>150</v>
      </c>
      <c r="Q7" s="106" t="str">
        <f>L7</f>
        <v>Jul</v>
      </c>
      <c r="R7" s="106" t="s">
        <v>142</v>
      </c>
      <c r="S7" s="14" t="str">
        <f>G7</f>
        <v>Jul</v>
      </c>
      <c r="T7" s="14" t="str">
        <f>H7</f>
        <v>Jul</v>
      </c>
      <c r="U7" s="75" t="s">
        <v>117</v>
      </c>
      <c r="V7" s="97" t="s">
        <v>117</v>
      </c>
      <c r="W7" s="210" t="str">
        <f>I7</f>
        <v>Jul</v>
      </c>
      <c r="X7" s="211"/>
      <c r="Y7" s="75" t="s">
        <v>116</v>
      </c>
      <c r="Z7" s="207"/>
    </row>
    <row r="8" spans="2:26" x14ac:dyDescent="0.25">
      <c r="B8" s="15">
        <f>'ASE Target (Spares), FY 21-22'!A6</f>
        <v>1</v>
      </c>
      <c r="C8" s="15" t="str">
        <f>IF('ASE Target (Spares), FY 21-22'!B6=0,"",'ASE Target (Spares), FY 21-22'!B6)</f>
        <v>DSL-DHK</v>
      </c>
      <c r="D8" s="16" t="str">
        <f>'ASE Target (Spares), FY 21-22'!C6</f>
        <v xml:space="preserve">Md. Shohidul </v>
      </c>
      <c r="E8" s="15">
        <f>IF('ASE Target (Spares), FY 21-22'!D6=0,"",'ASE Target (Spares), FY 21-22'!D6)</f>
        <v>1418</v>
      </c>
      <c r="F8" s="17">
        <f>IFERROR(VLOOKUP(E8,'ASE Target (Spares), FY 21-22'!$D$5:$G$260,4,0),"")</f>
        <v>2700000</v>
      </c>
      <c r="G8" s="17">
        <f>IF($C$2='ASE Target vs Ach(Spares)(Inpt)'!$F$5,VLOOKUP(D8,'ASE Target vs Ach(Spares)(Inpt)'!$D$6:$F$37,3,0),IF($C$2='ASE Target vs Ach(Spares)(Inpt)'!$I$5,VLOOKUP(D8,'ASE Target vs Ach(Spares)(Inpt)'!$D$6:$I$37,6,0),IF($C$2='ASE Target vs Ach(Spares)(Inpt)'!$L$5,VLOOKUP(D8,'ASE Target vs Ach(Spares)(Inpt)'!$D$6:$L$37,9,0),IF($C$2='ASE Target vs Ach(Spares)(Inpt)'!$O$5,VLOOKUP(D8,'ASE Target vs Ach(Spares)(Inpt)'!$D$6:$O$37,12,0),IF($C$2='ASE Target vs Ach(Spares)(Inpt)'!$R$5,VLOOKUP(D8,'ASE Target vs Ach(Spares)(Inpt)'!$D$6:$R$37,15,0),IF($C$2='ASE Target vs Ach(Spares)(Inpt)'!$U$5,VLOOKUP(D8,'ASE Target vs Ach(Spares)(Inpt)'!$D$6:$U$37,18,0),IF($C$2='ASE Target vs Ach(Spares)(Inpt)'!$X$5,VLOOKUP(D8,'ASE Target vs Ach(Spares)(Inpt)'!$D$6:$X$37,21,0),IF($C$2='ASE Target vs Ach(Spares)(Inpt)'!$AA$5,VLOOKUP(D8,'ASE Target vs Ach(Spares)(Inpt)'!$D$6:$AA$37,24,0),IF($C$2='ASE Target vs Ach(Spares)(Inpt)'!$AD$5,VLOOKUP(D8,'ASE Target vs Ach(Spares)(Inpt)'!$D$6:$AD$37,27,0),IF($C$2='ASE Target vs Ach(Spares)(Inpt)'!$AG$5,VLOOKUP(D8,'ASE Target vs Ach(Spares)(Inpt)'!$D$6:$AG$37,30,0),IF($C$2='ASE Target vs Ach(Spares)(Inpt)'!$AJ$5,VLOOKUP(D8,'ASE Target vs Ach(Spares)(Inpt)'!$D$6:$AJ$37,33,0),IF($C$2='ASE Target vs Ach(Spares)(Inpt)'!$AM$5,VLOOKUP(D8,'ASE Target vs Ach(Spares)(Inpt)'!$D$6:$AM$37,36,0),"N/A"))))))))))))</f>
        <v>500000</v>
      </c>
      <c r="H8" s="17">
        <f>IF($C$2='ASE Target vs Ach(Spares)(Inpt)'!$F$5,VLOOKUP(D8,'ASE Target vs Ach(Spares)(Inpt)'!$D$6:$G$37,4,0),IF($C$2='ASE Target vs Ach(Spares)(Inpt)'!$I$5,VLOOKUP(D8,'ASE Target vs Ach(Spares)(Inpt)'!$D$6:$J$37,7,0),IF($C$2='ASE Target vs Ach(Spares)(Inpt)'!$L$5,VLOOKUP(D8,'ASE Target vs Ach(Spares)(Inpt)'!$D$6:$M$37,10,0),IF($C$2='ASE Target vs Ach(Spares)(Inpt)'!$O$5,VLOOKUP(D8,'ASE Target vs Ach(Spares)(Inpt)'!$D$6:$P$37,13,0),IF($C$2='ASE Target vs Ach(Spares)(Inpt)'!$R$5,VLOOKUP(D8,'ASE Target vs Ach(Spares)(Inpt)'!$D$6:$S$37,16,0),IF($C$2='ASE Target vs Ach(Spares)(Inpt)'!$U$5,VLOOKUP(D8,'ASE Target vs Ach(Spares)(Inpt)'!$D$6:$V$37,19,0),IF($C$2='ASE Target vs Ach(Spares)(Inpt)'!$X$5,VLOOKUP(D8,'ASE Target vs Ach(Spares)(Inpt)'!$D$6:$Y$37,22,0),IF($C$2='ASE Target vs Ach(Spares)(Inpt)'!$AA$5,VLOOKUP(D8,'ASE Target vs Ach(Spares)(Inpt)'!$D$6:$AB$37,25,0),IF($C$2='ASE Target vs Ach(Spares)(Inpt)'!$AD$5,VLOOKUP(D8,'ASE Target vs Ach(Spares)(Inpt)'!$D$6:$AE$37,28,0),IF($C$2='ASE Target vs Ach(Spares)(Inpt)'!$AG$5,VLOOKUP(D8,'ASE Target vs Ach(Spares)(Inpt)'!$D$6:$AH$37,31,0),IF($C$2='ASE Target vs Ach(Spares)(Inpt)'!$AJ$5,VLOOKUP(D8,'ASE Target vs Ach(Spares)(Inpt)'!$D$6:$AK$37,34,0),IF($C$2='ASE Target vs Ach(Spares)(Inpt)'!$AM$5,VLOOKUP(D8,'ASE Target vs Ach(Spares)(Inpt)'!$D$6:$AN$37,37,0),"N/A"))))))))))))</f>
        <v>1547635</v>
      </c>
      <c r="I8" s="18">
        <f>IF(H8="",0%,IFERROR(H8/G8,0%))</f>
        <v>3.0952700000000002</v>
      </c>
      <c r="J8" s="17">
        <f>IF($C$2='ASE Target vs Ach(Spares)(Inpt)'!$F$5,VLOOKUP(D8,'ASE Target vs Ach(Spares)(Inpt)'!$D$42:$F$73,3,0),IF($C$2='ASE Target vs Ach(Spares)(Inpt)'!$I$5,VLOOKUP(D8,'ASE Target vs Ach(Spares)(Inpt)'!$D$42:$I$73,6,0),IF($C$2='ASE Target vs Ach(Spares)(Inpt)'!$L$5,VLOOKUP(D8,'ASE Target vs Ach(Spares)(Inpt)'!$D$42:$L$73,9,0),IF($C$2='ASE Target vs Ach(Spares)(Inpt)'!$O$5,VLOOKUP(D8,'ASE Target vs Ach(Spares)(Inpt)'!$D$42:$O$73,12,0),IF($C$2='ASE Target vs Ach(Spares)(Inpt)'!$R$5,VLOOKUP(D8,'ASE Target vs Ach(Spares)(Inpt)'!$D$42:$R$73,15,0),IF($C$2='ASE Target vs Ach(Spares)(Inpt)'!$U$5,VLOOKUP(D8,'ASE Target vs Ach(Spares)(Inpt)'!$D$42:$U$73,18,0),IF($C$2='ASE Target vs Ach(Spares)(Inpt)'!$X$5,VLOOKUP(D8,'ASE Target vs Ach(Spares)(Inpt)'!$D$42:$X$73,21,0),IF($C$2='ASE Target vs Ach(Spares)(Inpt)'!$AA$5,VLOOKUP(D8,'ASE Target vs Ach(Spares)(Inpt)'!$D$42:$AA$73,24,0),IF($C$2='ASE Target vs Ach(Spares)(Inpt)'!$AD$5,VLOOKUP(D8,'ASE Target vs Ach(Spares)(Inpt)'!$D$42:$AD$73,27,0),IF($C$2='ASE Target vs Ach(Spares)(Inpt)'!$AG$5,VLOOKUP(D8,'ASE Target vs Ach(Spares)(Inpt)'!$D$42:$AG$73,30,0),IF($C$2='ASE Target vs Ach(Spares)(Inpt)'!$AJ$5,VLOOKUP(D8,'ASE Target vs Ach(Spares)(Inpt)'!$D$42:$AJ$73,33,0),IF($C$2='ASE Target vs Ach(Spares)(Inpt)'!$AM$5,VLOOKUP(D8,'ASE Target vs Ach(Spares)(Inpt)'!$D$42:$AM$73,36,0),"N/A"))))))))))))</f>
        <v>225000</v>
      </c>
      <c r="K8" s="17">
        <f>IF($C$2='ASE Target vs Ach(Spares)(Inpt)'!$F$5,VLOOKUP(D8,'ASE Target vs Ach(Spares)(Inpt)'!$D$42:$G$73,4,0),IF($C$2='ASE Target vs Ach(Spares)(Inpt)'!$I$5,VLOOKUP(D8,'ASE Target vs Ach(Spares)(Inpt)'!$D$42:$J$73,7,0),IF($C$2='ASE Target vs Ach(Spares)(Inpt)'!$L$5,VLOOKUP(D8,'ASE Target vs Ach(Spares)(Inpt)'!$D$42:$M$73,10,0),IF($C$2='ASE Target vs Ach(Spares)(Inpt)'!$O$5,VLOOKUP(D8,'ASE Target vs Ach(Spares)(Inpt)'!$D$42:$P$73,13,0),IF($C$2='ASE Target vs Ach(Spares)(Inpt)'!$R$5,VLOOKUP(D8,'ASE Target vs Ach(Spares)(Inpt)'!$D$42:$S$73,16,0),IF($C$2='ASE Target vs Ach(Spares)(Inpt)'!$U$5,VLOOKUP(D8,'ASE Target vs Ach(Spares)(Inpt)'!$D$42:$V$73,19,0),IF($C$2='ASE Target vs Ach(Spares)(Inpt)'!$X$5,VLOOKUP(D8,'ASE Target vs Ach(Spares)(Inpt)'!$D$42:$Y$73,22,0),IF($C$2='ASE Target vs Ach(Spares)(Inpt)'!$AA$5,VLOOKUP(D8,'ASE Target vs Ach(Spares)(Inpt)'!$D$42:$AB$73,25,0),IF($C$2='ASE Target vs Ach(Spares)(Inpt)'!$AD$5,VLOOKUP(D8,'ASE Target vs Ach(Spares)(Inpt)'!$D$42:$AE$73,28,0),IF($C$2='ASE Target vs Ach(Spares)(Inpt)'!$AG$5,VLOOKUP(D8,'ASE Target vs Ach(Spares)(Inpt)'!$D$42:$AH$73,31,0),IF($C$2='ASE Target vs Ach(Spares)(Inpt)'!$AJ$5,VLOOKUP(D8,'ASE Target vs Ach(Spares)(Inpt)'!$D$42:$AK$73,34,0),IF($C$2='ASE Target vs Ach(Spares)(Inpt)'!$AM$5,VLOOKUP(D8,'ASE Target vs Ach(Spares)(Inpt)'!$D$42:$AN$73,37,0),"N/A"))))))))))))</f>
        <v>327024</v>
      </c>
      <c r="L8" s="18">
        <f>IF(K8="",0%,IFERROR(K8/J8,0%))</f>
        <v>1.4534400000000001</v>
      </c>
      <c r="M8" s="19" t="str">
        <f>IF(I8&gt;=50%,"Eligible",IF(L8&gt;=50%,"Eligible","Not Eligible"))</f>
        <v>Eligible</v>
      </c>
      <c r="N8" s="17">
        <f>IF(M8="Eligible",IF(K8&lt;Condition!$E$4,0,IF(K8=Condition!$E$4,Condition!$C$4*K8,IF(K8&lt;Condition!$F$4,Condition!$C$4*K8,IF(K8=Condition!$F$4,Condition!$C$5*K8,IF(K8&lt;Condition!$F$5,Condition!$C$5*K8,IF(K8=Condition!$F$5,Condition!$C$6*K8,IF(K8&lt;Condition!$F$6,Condition!$C$6*K8,IF(K8=Condition!$F$6,Condition!$C$7*K8,IF(K8&lt;Condition!$F$7,Condition!$C$7*K8,IF(K8=Condition!$F$7,Condition!$C$8*K8,IF(K8&lt;Condition!$F$8,Condition!$C$8*K8,IF(K8=Condition!$F$8,Condition!$C$9*K8,IF(K8&lt;Condition!$F$9,Condition!$C$9*K8,IF(K8=Condition!$F$9,Condition!$C$10*K8,IF(K8&gt;Condition!$F$10,Condition!$C$10*K8,""))))))))))))))),"")</f>
        <v>8175.6</v>
      </c>
      <c r="O8" s="20">
        <f>IF(M8="Eligible",IF(K8&lt;Condition!$E$4,0,IF(K8=Condition!$E$4,Condition!$D$4,IF(K8&lt;Condition!$F$4,Condition!$D$4,IF(K8=Condition!$F$4,Condition!$D$5,IF(K8&lt;Condition!$F$5,Condition!$D$5,IF(K8=Condition!$F$5,Condition!$D$6,IF(K8&lt;Condition!$F$6,Condition!$D$6,IF(K8=Condition!$F$6,Condition!$D$7,IF(K8&lt;Condition!$F$7,Condition!$D$7,IF(K8=Condition!$F$7,Condition!$D$8,IF(K8&lt;Condition!$F$8,Condition!$D$8,IF(K8=Condition!$F$8,Condition!$D$9,IF(K8&lt;Condition!$F$9,Condition!$D$9,IF(K8=Condition!$F$9,Condition!$D$10,IF(K8&gt;Condition!$F$10,Condition!$D$10,""))))))))))))))),"")</f>
        <v>1500</v>
      </c>
      <c r="P8" s="20">
        <f>IF(L8&gt;=1,$P$4*ABS(J8-K8),"")</f>
        <v>1020.24</v>
      </c>
      <c r="Q8" s="117">
        <f>VLOOKUP(D8,'ASE Ach(Lube Oil Sales)'!$D$5:$F$40,3,0)</f>
        <v>120</v>
      </c>
      <c r="R8" s="17">
        <f>Q8*Condition!$E$27</f>
        <v>600</v>
      </c>
      <c r="S8" s="20">
        <f>VLOOKUP(D8,'ASE Ach (Service)(Input)'!$D$5:$F$34,3,0)</f>
        <v>202901</v>
      </c>
      <c r="T8" s="99">
        <f>VLOOKUP(D8,'ASE Ach (Service)(Input)'!$D$5:$G$34,4,0)</f>
        <v>0</v>
      </c>
      <c r="U8" s="20">
        <f>VLOOKUP(D8,'ASE Ach (Service)(Input)'!$D$48:$F$79,3,0)</f>
        <v>7150</v>
      </c>
      <c r="V8" s="99">
        <f>VLOOKUP(D8,'ASE Ach (Service)(Input)'!$D$48:$G$79,4,0)</f>
        <v>0</v>
      </c>
      <c r="W8" s="80">
        <f>IF($C$2='ASE Ach (CSA)(Input)'!$F$5,INDEX('ASE Ach (CSA)(Input)'!F:F,MATCH(D8,'ASE Ach (CSA)(Input)'!D:D,0)),IF($C$2='ASE Ach (CSA)(Input)'!$H$5,INDEX('ASE Ach (CSA)(Input)'!H:H,MATCH(D8,'ASE Ach (CSA)(Input)'!D:D,0)),IF($C$2='ASE Ach (CSA)(Input)'!$J$5,INDEX('ASE Ach (CSA)(Input)'!J:J,MATCH(D8,'ASE Ach (CSA)(Input)'!D:D,0)),IF($C$2='ASE Ach (CSA)(Input)'!$L$5,INDEX('ASE Ach (CSA)(Input)'!L:L,MATCH(D8,'ASE Ach (CSA)(Input)'!D:D,0)),IF($C$2='ASE Ach (CSA)(Input)'!$N$5,INDEX('ASE Ach (CSA)(Input)'!N:N,MATCH(D8,'ASE Ach (CSA)(Input)'!D:D,0)),IF($C$2='ASE Ach (CSA)(Input)'!$P$5,INDEX('ASE Ach (CSA)(Input)'!P:P,MATCH(D8,'ASE Ach (CSA)(Input)'!D:D,0)),IF($C$2='ASE Ach (CSA)(Input)'!$R$5,INDEX('ASE Ach (CSA)(Input)'!R:R,MATCH(D8,'ASE Ach (CSA)(Input)'!D:D,0)),IF($C$2='ASE Ach (CSA)(Input)'!$T$5,INDEX('ASE Ach (CSA)(Input)'!T:T,MATCH(D8,'ASE Ach (CSA)(Input)'!D:D,0)),IF($C$2='ASE Ach (CSA)(Input)'!$V$5,INDEX('ASE Ach (CSA)(Input)'!V:V,MATCH(D8,'ASE Ach (CSA)(Input)'!D:D,0)),IF($C$2='ASE Ach (CSA)(Input)'!$X$5,INDEX('ASE Ach (CSA)(Input)'!X:X,MATCH(D8,'ASE Ach (CSA)(Input)'!D:D,0)),IF($C$2='ASE Ach (CSA)(Input)'!$Z$5,INDEX('ASE Ach (CSA)(Input)'!Z:Z,MATCH(D8,'ASE Ach (CSA)(Input)'!D:D,0)),IF($C$2='ASE Ach (CSA)(Input)'!$AB$5,INDEX('ASE Ach (CSA)(Input)'!AB:AB,MATCH(D8,'ASE Ach (CSA)(Input)'!D:D,0)),"N/A"))))))))))))</f>
        <v>2</v>
      </c>
      <c r="X8" s="80">
        <f>IF($C$2='ASE Ach (CSA)(Input)'!$F$5,INDEX('ASE Ach (CSA)(Input)'!G:G,MATCH(D8,'ASE Ach (CSA)(Input)'!D:D,0)),IF($C$2='ASE Ach (CSA)(Input)'!$H$5,INDEX('ASE Ach (CSA)(Input)'!I:I,MATCH(D8,'ASE Ach (CSA)(Input)'!D:D,0)),IF($C$2='ASE Ach (CSA)(Input)'!$J$5,INDEX('ASE Ach (CSA)(Input)'!K:K,MATCH(D8,'ASE Ach (CSA)(Input)'!D:D,0)),IF($C$2='ASE Ach (CSA)(Input)'!$L$5,INDEX('ASE Ach (CSA)(Input)'!M:M,MATCH(D8,'ASE Ach (CSA)(Input)'!D:D,0)),IF($C$2='ASE Ach (CSA)(Input)'!$N$5,INDEX('ASE Ach (CSA)(Input)'!O:O,MATCH(D8,'ASE Ach (CSA)(Input)'!D:D,0)),IF($C$2='ASE Ach (CSA)(Input)'!$P$5,INDEX('ASE Ach (CSA)(Input)'!Q:Q,MATCH(D8,'ASE Ach (CSA)(Input)'!D:D,0)),IF($C$2='ASE Ach (CSA)(Input)'!$R$5,INDEX('ASE Ach (CSA)(Input)'!S:S,MATCH(D8,'ASE Ach (CSA)(Input)'!D:D,0)),IF($C$2='ASE Ach (CSA)(Input)'!$T$5,INDEX('ASE Ach (CSA)(Input)'!U:U,MATCH(D8,'ASE Ach (CSA)(Input)'!D:D,0)),IF($C$2='ASE Ach (CSA)(Input)'!$V$5,INDEX('ASE Ach (CSA)(Input)'!W:W,MATCH(D8,'ASE Ach (CSA)(Input)'!D:D,0)),IF($C$2='ASE Ach (CSA)(Input)'!$X$5,INDEX('ASE Ach (CSA)(Input)'!Y:Y,MATCH(D8,'ASE Ach (CSA)(Input)'!D:D,0)),IF($C$2='ASE Ach (CSA)(Input)'!$Z$5,INDEX('ASE Ach (CSA)(Input)'!AA:AA,MATCH(D8,'ASE Ach (CSA)(Input)'!D:D,0)),IF($C$2='ASE Ach (CSA)(Input)'!$AB$5,INDEX('ASE Ach (CSA)(Input)'!AC:AC,MATCH(D8,'ASE Ach (CSA)(Input)'!D:D,0)),"N/A"))))))))))))</f>
        <v>3</v>
      </c>
      <c r="Y8" s="20">
        <f>W8*Condition!$C$23+'Monthly Summary (No Input)'!X8*Condition!$E$24</f>
        <v>4000</v>
      </c>
      <c r="Z8" s="17">
        <f>SUM(N8:P8)+SUM(U8:V8)+Y8+R8</f>
        <v>22445.84</v>
      </c>
    </row>
    <row r="9" spans="2:26" x14ac:dyDescent="0.25">
      <c r="B9" s="15">
        <f>'ASE Target (Spares), FY 21-22'!A7</f>
        <v>2</v>
      </c>
      <c r="C9" s="15" t="str">
        <f>IF('ASE Target (Spares), FY 21-22'!B7=0,"",'ASE Target (Spares), FY 21-22'!B7)</f>
        <v>DSL-DHK</v>
      </c>
      <c r="D9" s="16" t="str">
        <f>'ASE Target (Spares), FY 21-22'!C7</f>
        <v>Sagar Chakrobarti</v>
      </c>
      <c r="E9" s="15">
        <f>IF('ASE Target (Spares), FY 21-22'!D7=0,"",'ASE Target (Spares), FY 21-22'!D7)</f>
        <v>2701</v>
      </c>
      <c r="F9" s="17">
        <f>IFERROR(VLOOKUP(E9,'ASE Target (Spares), FY 21-22'!$D$5:$G$260,4,0),"")</f>
        <v>250000</v>
      </c>
      <c r="G9" s="17">
        <f>IF($C$2='ASE Target vs Ach(Spares)(Inpt)'!$F$5,VLOOKUP(D9,'ASE Target vs Ach(Spares)(Inpt)'!$D$6:$F$37,3,0),IF($C$2='ASE Target vs Ach(Spares)(Inpt)'!$I$5,VLOOKUP(D9,'ASE Target vs Ach(Spares)(Inpt)'!$D$6:$I$37,6,0),IF($C$2='ASE Target vs Ach(Spares)(Inpt)'!$L$5,VLOOKUP(D9,'ASE Target vs Ach(Spares)(Inpt)'!$D$6:$L$37,9,0),IF($C$2='ASE Target vs Ach(Spares)(Inpt)'!$O$5,VLOOKUP(D9,'ASE Target vs Ach(Spares)(Inpt)'!$D$6:$O$37,12,0),IF($C$2='ASE Target vs Ach(Spares)(Inpt)'!$R$5,VLOOKUP(D9,'ASE Target vs Ach(Spares)(Inpt)'!$D$6:$R$37,15,0),IF($C$2='ASE Target vs Ach(Spares)(Inpt)'!$U$5,VLOOKUP(D9,'ASE Target vs Ach(Spares)(Inpt)'!$D$6:$U$37,18,0),IF($C$2='ASE Target vs Ach(Spares)(Inpt)'!$X$5,VLOOKUP(D9,'ASE Target vs Ach(Spares)(Inpt)'!$D$6:$X$37,21,0),IF($C$2='ASE Target vs Ach(Spares)(Inpt)'!$AA$5,VLOOKUP(D9,'ASE Target vs Ach(Spares)(Inpt)'!$D$6:$AA$37,24,0),IF($C$2='ASE Target vs Ach(Spares)(Inpt)'!$AD$5,VLOOKUP(D9,'ASE Target vs Ach(Spares)(Inpt)'!$D$6:$AD$37,27,0),IF($C$2='ASE Target vs Ach(Spares)(Inpt)'!$AG$5,VLOOKUP(D9,'ASE Target vs Ach(Spares)(Inpt)'!$D$6:$AG$37,30,0),IF($C$2='ASE Target vs Ach(Spares)(Inpt)'!$AJ$5,VLOOKUP(D9,'ASE Target vs Ach(Spares)(Inpt)'!$D$6:$AJ$37,33,0),IF($C$2='ASE Target vs Ach(Spares)(Inpt)'!$AM$5,VLOOKUP(D9,'ASE Target vs Ach(Spares)(Inpt)'!$D$6:$AM$37,36,0),"N/A"))))))))))))</f>
        <v>0</v>
      </c>
      <c r="H9" s="17">
        <f>IF($C$2='ASE Target vs Ach(Spares)(Inpt)'!$F$5,VLOOKUP(D9,'ASE Target vs Ach(Spares)(Inpt)'!$D$6:$G$37,4,0),IF($C$2='ASE Target vs Ach(Spares)(Inpt)'!$I$5,VLOOKUP(D9,'ASE Target vs Ach(Spares)(Inpt)'!$D$6:$J$37,7,0),IF($C$2='ASE Target vs Ach(Spares)(Inpt)'!$L$5,VLOOKUP(D9,'ASE Target vs Ach(Spares)(Inpt)'!$D$6:$M$37,10,0),IF($C$2='ASE Target vs Ach(Spares)(Inpt)'!$O$5,VLOOKUP(D9,'ASE Target vs Ach(Spares)(Inpt)'!$D$6:$P$37,13,0),IF($C$2='ASE Target vs Ach(Spares)(Inpt)'!$R$5,VLOOKUP(D9,'ASE Target vs Ach(Spares)(Inpt)'!$D$6:$S$37,16,0),IF($C$2='ASE Target vs Ach(Spares)(Inpt)'!$U$5,VLOOKUP(D9,'ASE Target vs Ach(Spares)(Inpt)'!$D$6:$V$37,19,0),IF($C$2='ASE Target vs Ach(Spares)(Inpt)'!$X$5,VLOOKUP(D9,'ASE Target vs Ach(Spares)(Inpt)'!$D$6:$Y$37,22,0),IF($C$2='ASE Target vs Ach(Spares)(Inpt)'!$AA$5,VLOOKUP(D9,'ASE Target vs Ach(Spares)(Inpt)'!$D$6:$AB$37,25,0),IF($C$2='ASE Target vs Ach(Spares)(Inpt)'!$AD$5,VLOOKUP(D9,'ASE Target vs Ach(Spares)(Inpt)'!$D$6:$AE$37,28,0),IF($C$2='ASE Target vs Ach(Spares)(Inpt)'!$AG$5,VLOOKUP(D9,'ASE Target vs Ach(Spares)(Inpt)'!$D$6:$AH$37,31,0),IF($C$2='ASE Target vs Ach(Spares)(Inpt)'!$AJ$5,VLOOKUP(D9,'ASE Target vs Ach(Spares)(Inpt)'!$D$6:$AK$37,34,0),IF($C$2='ASE Target vs Ach(Spares)(Inpt)'!$AM$5,VLOOKUP(D9,'ASE Target vs Ach(Spares)(Inpt)'!$D$6:$AN$37,37,0),"N/A"))))))))))))</f>
        <v>0</v>
      </c>
      <c r="I9" s="18">
        <f t="shared" ref="I9:I36" si="0">IF(H9="",0%,IFERROR(H9/G9,0%))</f>
        <v>0</v>
      </c>
      <c r="J9" s="17">
        <f>IF($C$2='ASE Target vs Ach(Spares)(Inpt)'!$F$5,VLOOKUP(D9,'ASE Target vs Ach(Spares)(Inpt)'!$D$42:$F$73,3,0),IF($C$2='ASE Target vs Ach(Spares)(Inpt)'!$I$5,VLOOKUP(D9,'ASE Target vs Ach(Spares)(Inpt)'!$D$42:$I$73,6,0),IF($C$2='ASE Target vs Ach(Spares)(Inpt)'!$L$5,VLOOKUP(D9,'ASE Target vs Ach(Spares)(Inpt)'!$D$42:$L$73,9,0),IF($C$2='ASE Target vs Ach(Spares)(Inpt)'!$O$5,VLOOKUP(D9,'ASE Target vs Ach(Spares)(Inpt)'!$D$42:$O$73,12,0),IF($C$2='ASE Target vs Ach(Spares)(Inpt)'!$R$5,VLOOKUP(D9,'ASE Target vs Ach(Spares)(Inpt)'!$D$42:$R$73,15,0),IF($C$2='ASE Target vs Ach(Spares)(Inpt)'!$U$5,VLOOKUP(D9,'ASE Target vs Ach(Spares)(Inpt)'!$D$42:$U$73,18,0),IF($C$2='ASE Target vs Ach(Spares)(Inpt)'!$X$5,VLOOKUP(D9,'ASE Target vs Ach(Spares)(Inpt)'!$D$42:$X$73,21,0),IF($C$2='ASE Target vs Ach(Spares)(Inpt)'!$AA$5,VLOOKUP(D9,'ASE Target vs Ach(Spares)(Inpt)'!$D$42:$AA$73,24,0),IF($C$2='ASE Target vs Ach(Spares)(Inpt)'!$AD$5,VLOOKUP(D9,'ASE Target vs Ach(Spares)(Inpt)'!$D$42:$AD$73,27,0),IF($C$2='ASE Target vs Ach(Spares)(Inpt)'!$AG$5,VLOOKUP(D9,'ASE Target vs Ach(Spares)(Inpt)'!$D$42:$AG$73,30,0),IF($C$2='ASE Target vs Ach(Spares)(Inpt)'!$AJ$5,VLOOKUP(D9,'ASE Target vs Ach(Spares)(Inpt)'!$D$42:$AJ$73,33,0),IF($C$2='ASE Target vs Ach(Spares)(Inpt)'!$AM$5,VLOOKUP(D9,'ASE Target vs Ach(Spares)(Inpt)'!$D$42:$AM$73,36,0),"N/A"))))))))))))</f>
        <v>0</v>
      </c>
      <c r="K9" s="17">
        <f>IF($C$2='ASE Target vs Ach(Spares)(Inpt)'!$F$5,VLOOKUP(D9,'ASE Target vs Ach(Spares)(Inpt)'!$D$42:$G$73,4,0),IF($C$2='ASE Target vs Ach(Spares)(Inpt)'!$I$5,VLOOKUP(D9,'ASE Target vs Ach(Spares)(Inpt)'!$D$42:$J$73,7,0),IF($C$2='ASE Target vs Ach(Spares)(Inpt)'!$L$5,VLOOKUP(D9,'ASE Target vs Ach(Spares)(Inpt)'!$D$42:$M$73,10,0),IF($C$2='ASE Target vs Ach(Spares)(Inpt)'!$O$5,VLOOKUP(D9,'ASE Target vs Ach(Spares)(Inpt)'!$D$42:$P$73,13,0),IF($C$2='ASE Target vs Ach(Spares)(Inpt)'!$R$5,VLOOKUP(D9,'ASE Target vs Ach(Spares)(Inpt)'!$D$42:$S$73,16,0),IF($C$2='ASE Target vs Ach(Spares)(Inpt)'!$U$5,VLOOKUP(D9,'ASE Target vs Ach(Spares)(Inpt)'!$D$42:$V$73,19,0),IF($C$2='ASE Target vs Ach(Spares)(Inpt)'!$X$5,VLOOKUP(D9,'ASE Target vs Ach(Spares)(Inpt)'!$D$42:$Y$73,22,0),IF($C$2='ASE Target vs Ach(Spares)(Inpt)'!$AA$5,VLOOKUP(D9,'ASE Target vs Ach(Spares)(Inpt)'!$D$42:$AB$73,25,0),IF($C$2='ASE Target vs Ach(Spares)(Inpt)'!$AD$5,VLOOKUP(D9,'ASE Target vs Ach(Spares)(Inpt)'!$D$42:$AE$73,28,0),IF($C$2='ASE Target vs Ach(Spares)(Inpt)'!$AG$5,VLOOKUP(D9,'ASE Target vs Ach(Spares)(Inpt)'!$D$42:$AH$73,31,0),IF($C$2='ASE Target vs Ach(Spares)(Inpt)'!$AJ$5,VLOOKUP(D9,'ASE Target vs Ach(Spares)(Inpt)'!$D$42:$AK$73,34,0),IF($C$2='ASE Target vs Ach(Spares)(Inpt)'!$AM$5,VLOOKUP(D9,'ASE Target vs Ach(Spares)(Inpt)'!$D$42:$AN$73,37,0),"N/A"))))))))))))</f>
        <v>0</v>
      </c>
      <c r="L9" s="18">
        <f t="shared" ref="L9:L36" si="1">IF(K9="",0%,IFERROR(K9/J9,0%))</f>
        <v>0</v>
      </c>
      <c r="M9" s="19" t="str">
        <f t="shared" ref="M9:M36" si="2">IF(I9&gt;=50%,"Eligible",IF(L9&gt;=50%,"Eligible","Not Eligible"))</f>
        <v>Not Eligible</v>
      </c>
      <c r="N9" s="17" t="str">
        <f>IF(M9="Eligible",IF(K9&lt;Condition!$E$4,0,IF(K9=Condition!$E$4,Condition!$C$4*K9,IF(K9&lt;Condition!$F$4,Condition!$C$4*K9,IF(K9=Condition!$F$4,Condition!$C$5*K9,IF(K9&lt;Condition!$F$5,Condition!$C$5*K9,IF(K9=Condition!$F$5,Condition!$C$6*K9,IF(K9&lt;Condition!$F$6,Condition!$C$6*K9,IF(K9=Condition!$F$6,Condition!$C$7*K9,IF(K9&lt;Condition!$F$7,Condition!$C$7*K9,IF(K9=Condition!$F$7,Condition!$C$8*K9,IF(K9&lt;Condition!$F$8,Condition!$C$8*K9,IF(K9=Condition!$F$8,Condition!$C$9*K9,IF(K9&lt;Condition!$F$9,Condition!$C$9*K9,IF(K9=Condition!$F$9,Condition!$C$10*K9,IF(K9&gt;Condition!$F$10,Condition!$C$10*K9,""))))))))))))))),"")</f>
        <v/>
      </c>
      <c r="O9" s="142" t="str">
        <f>IF(M9="Eligible",IF(K9&lt;Condition!$E$4,0,IF(K9=Condition!$E$4,Condition!$D$4,IF(K9&lt;Condition!$F$4,Condition!$D$4,IF(K9=Condition!$F$4,Condition!$D$5,IF(K9&lt;Condition!$F$5,Condition!$D$5,IF(K9=Condition!$F$5,Condition!$D$6,IF(K9&lt;Condition!$F$6,Condition!$D$6,IF(K9=Condition!$F$6,Condition!$D$7,IF(K9&lt;Condition!$F$7,Condition!$D$7,IF(K9=Condition!$F$7,Condition!$D$8,IF(K9&lt;Condition!$F$8,Condition!$D$8,IF(K9=Condition!$F$8,Condition!$D$9,IF(K9&lt;Condition!$F$9,Condition!$D$9,IF(K9=Condition!$F$9,Condition!$D$10,IF(K9&gt;Condition!$F$10,Condition!$D$10,""))))))))))))))),"")</f>
        <v/>
      </c>
      <c r="P9" s="142" t="str">
        <f t="shared" ref="P9:P36" si="3">IF(L9&gt;=1,$P$4*ABS(J9-K9),"")</f>
        <v/>
      </c>
      <c r="Q9" s="117">
        <f>VLOOKUP(D9,'ASE Ach(Lube Oil Sales)'!$D$5:$F$40,3,0)</f>
        <v>0</v>
      </c>
      <c r="R9" s="17">
        <f>Q9*Condition!$E$27</f>
        <v>0</v>
      </c>
      <c r="S9" s="142">
        <f>VLOOKUP(D9,'ASE Ach (Service)(Input)'!$D$5:$F$34,3,0)</f>
        <v>0</v>
      </c>
      <c r="T9" s="142">
        <f>VLOOKUP(D9,'ASE Ach (Service)(Input)'!$D$5:$G$34,4,0)</f>
        <v>0</v>
      </c>
      <c r="U9" s="142">
        <f>VLOOKUP(D9,'ASE Ach (Service)(Input)'!$D$48:$F$79,3,0)</f>
        <v>0</v>
      </c>
      <c r="V9" s="142">
        <f>VLOOKUP(D9,'ASE Ach (Service)(Input)'!$D$48:$G$79,4,0)</f>
        <v>0</v>
      </c>
      <c r="W9" s="80">
        <f>IF($C$2='ASE Ach (CSA)(Input)'!$F$5,INDEX('ASE Ach (CSA)(Input)'!F:F,MATCH(D9,'ASE Ach (CSA)(Input)'!D:D,0)),IF($C$2='ASE Ach (CSA)(Input)'!$H$5,INDEX('ASE Ach (CSA)(Input)'!H:H,MATCH(D9,'ASE Ach (CSA)(Input)'!D:D,0)),IF($C$2='ASE Ach (CSA)(Input)'!$J$5,INDEX('ASE Ach (CSA)(Input)'!J:J,MATCH(D9,'ASE Ach (CSA)(Input)'!D:D,0)),IF($C$2='ASE Ach (CSA)(Input)'!$L$5,INDEX('ASE Ach (CSA)(Input)'!L:L,MATCH(D9,'ASE Ach (CSA)(Input)'!D:D,0)),IF($C$2='ASE Ach (CSA)(Input)'!$N$5,INDEX('ASE Ach (CSA)(Input)'!N:N,MATCH(D9,'ASE Ach (CSA)(Input)'!D:D,0)),IF($C$2='ASE Ach (CSA)(Input)'!$P$5,INDEX('ASE Ach (CSA)(Input)'!P:P,MATCH(D9,'ASE Ach (CSA)(Input)'!D:D,0)),IF($C$2='ASE Ach (CSA)(Input)'!$R$5,INDEX('ASE Ach (CSA)(Input)'!R:R,MATCH(D9,'ASE Ach (CSA)(Input)'!D:D,0)),IF($C$2='ASE Ach (CSA)(Input)'!$T$5,INDEX('ASE Ach (CSA)(Input)'!T:T,MATCH(D9,'ASE Ach (CSA)(Input)'!D:D,0)),IF($C$2='ASE Ach (CSA)(Input)'!$V$5,INDEX('ASE Ach (CSA)(Input)'!V:V,MATCH(D9,'ASE Ach (CSA)(Input)'!D:D,0)),IF($C$2='ASE Ach (CSA)(Input)'!$X$5,INDEX('ASE Ach (CSA)(Input)'!X:X,MATCH(D9,'ASE Ach (CSA)(Input)'!D:D,0)),IF($C$2='ASE Ach (CSA)(Input)'!$Z$5,INDEX('ASE Ach (CSA)(Input)'!Z:Z,MATCH(D9,'ASE Ach (CSA)(Input)'!D:D,0)),IF($C$2='ASE Ach (CSA)(Input)'!$AB$5,INDEX('ASE Ach (CSA)(Input)'!AB:AB,MATCH(D9,'ASE Ach (CSA)(Input)'!D:D,0)),"N/A"))))))))))))</f>
        <v>0</v>
      </c>
      <c r="X9" s="80">
        <f>IF($C$2='ASE Ach (CSA)(Input)'!$F$5,INDEX('ASE Ach (CSA)(Input)'!G:G,MATCH(D9,'ASE Ach (CSA)(Input)'!D:D,0)),IF($C$2='ASE Ach (CSA)(Input)'!$H$5,INDEX('ASE Ach (CSA)(Input)'!I:I,MATCH(D9,'ASE Ach (CSA)(Input)'!D:D,0)),IF($C$2='ASE Ach (CSA)(Input)'!$J$5,INDEX('ASE Ach (CSA)(Input)'!K:K,MATCH(D9,'ASE Ach (CSA)(Input)'!D:D,0)),IF($C$2='ASE Ach (CSA)(Input)'!$L$5,INDEX('ASE Ach (CSA)(Input)'!M:M,MATCH(D9,'ASE Ach (CSA)(Input)'!D:D,0)),IF($C$2='ASE Ach (CSA)(Input)'!$N$5,INDEX('ASE Ach (CSA)(Input)'!O:O,MATCH(D9,'ASE Ach (CSA)(Input)'!D:D,0)),IF($C$2='ASE Ach (CSA)(Input)'!$P$5,INDEX('ASE Ach (CSA)(Input)'!Q:Q,MATCH(D9,'ASE Ach (CSA)(Input)'!D:D,0)),IF($C$2='ASE Ach (CSA)(Input)'!$R$5,INDEX('ASE Ach (CSA)(Input)'!S:S,MATCH(D9,'ASE Ach (CSA)(Input)'!D:D,0)),IF($C$2='ASE Ach (CSA)(Input)'!$T$5,INDEX('ASE Ach (CSA)(Input)'!U:U,MATCH(D9,'ASE Ach (CSA)(Input)'!D:D,0)),IF($C$2='ASE Ach (CSA)(Input)'!$V$5,INDEX('ASE Ach (CSA)(Input)'!W:W,MATCH(D9,'ASE Ach (CSA)(Input)'!D:D,0)),IF($C$2='ASE Ach (CSA)(Input)'!$X$5,INDEX('ASE Ach (CSA)(Input)'!Y:Y,MATCH(D9,'ASE Ach (CSA)(Input)'!D:D,0)),IF($C$2='ASE Ach (CSA)(Input)'!$Z$5,INDEX('ASE Ach (CSA)(Input)'!AA:AA,MATCH(D9,'ASE Ach (CSA)(Input)'!D:D,0)),IF($C$2='ASE Ach (CSA)(Input)'!$AB$5,INDEX('ASE Ach (CSA)(Input)'!AC:AC,MATCH(D9,'ASE Ach (CSA)(Input)'!D:D,0)),"N/A"))))))))))))</f>
        <v>0</v>
      </c>
      <c r="Y9" s="142">
        <f>W9*Condition!$C$23+'Monthly Summary (No Input)'!X9*Condition!$E$24</f>
        <v>0</v>
      </c>
      <c r="Z9" s="17">
        <f t="shared" ref="Z9:Z36" si="4">SUM(N9:P9)+SUM(U9:V9)+Y9+R9</f>
        <v>0</v>
      </c>
    </row>
    <row r="10" spans="2:26" x14ac:dyDescent="0.25">
      <c r="B10" s="15">
        <f>'ASE Target (Spares), FY 21-22'!A8</f>
        <v>3</v>
      </c>
      <c r="C10" s="15" t="str">
        <f>IF('ASE Target (Spares), FY 21-22'!B8=0,"",'ASE Target (Spares), FY 21-22'!B8)</f>
        <v>DSL-DHK</v>
      </c>
      <c r="D10" s="16" t="str">
        <f>'ASE Target (Spares), FY 21-22'!C8</f>
        <v>Md. Minhazul Islam</v>
      </c>
      <c r="E10" s="15">
        <f>IF('ASE Target (Spares), FY 21-22'!D8=0,"",'ASE Target (Spares), FY 21-22'!D8)</f>
        <v>2330</v>
      </c>
      <c r="F10" s="17">
        <f>IFERROR(VLOOKUP(E10,'ASE Target (Spares), FY 21-22'!$D$5:$G$260,4,0),"")</f>
        <v>2000000</v>
      </c>
      <c r="G10" s="17">
        <f>IF($C$2='ASE Target vs Ach(Spares)(Inpt)'!$F$5,VLOOKUP(D10,'ASE Target vs Ach(Spares)(Inpt)'!$D$6:$F$37,3,0),IF($C$2='ASE Target vs Ach(Spares)(Inpt)'!$I$5,VLOOKUP(D10,'ASE Target vs Ach(Spares)(Inpt)'!$D$6:$I$37,6,0),IF($C$2='ASE Target vs Ach(Spares)(Inpt)'!$L$5,VLOOKUP(D10,'ASE Target vs Ach(Spares)(Inpt)'!$D$6:$L$37,9,0),IF($C$2='ASE Target vs Ach(Spares)(Inpt)'!$O$5,VLOOKUP(D10,'ASE Target vs Ach(Spares)(Inpt)'!$D$6:$O$37,12,0),IF($C$2='ASE Target vs Ach(Spares)(Inpt)'!$R$5,VLOOKUP(D10,'ASE Target vs Ach(Spares)(Inpt)'!$D$6:$R$37,15,0),IF($C$2='ASE Target vs Ach(Spares)(Inpt)'!$U$5,VLOOKUP(D10,'ASE Target vs Ach(Spares)(Inpt)'!$D$6:$U$37,18,0),IF($C$2='ASE Target vs Ach(Spares)(Inpt)'!$X$5,VLOOKUP(D10,'ASE Target vs Ach(Spares)(Inpt)'!$D$6:$X$37,21,0),IF($C$2='ASE Target vs Ach(Spares)(Inpt)'!$AA$5,VLOOKUP(D10,'ASE Target vs Ach(Spares)(Inpt)'!$D$6:$AA$37,24,0),IF($C$2='ASE Target vs Ach(Spares)(Inpt)'!$AD$5,VLOOKUP(D10,'ASE Target vs Ach(Spares)(Inpt)'!$D$6:$AD$37,27,0),IF($C$2='ASE Target vs Ach(Spares)(Inpt)'!$AG$5,VLOOKUP(D10,'ASE Target vs Ach(Spares)(Inpt)'!$D$6:$AG$37,30,0),IF($C$2='ASE Target vs Ach(Spares)(Inpt)'!$AJ$5,VLOOKUP(D10,'ASE Target vs Ach(Spares)(Inpt)'!$D$6:$AJ$37,33,0),IF($C$2='ASE Target vs Ach(Spares)(Inpt)'!$AM$5,VLOOKUP(D10,'ASE Target vs Ach(Spares)(Inpt)'!$D$6:$AM$37,36,0),"N/A"))))))))))))</f>
        <v>0</v>
      </c>
      <c r="H10" s="17">
        <f>IF($C$2='ASE Target vs Ach(Spares)(Inpt)'!$F$5,VLOOKUP(D10,'ASE Target vs Ach(Spares)(Inpt)'!$D$6:$G$37,4,0),IF($C$2='ASE Target vs Ach(Spares)(Inpt)'!$I$5,VLOOKUP(D10,'ASE Target vs Ach(Spares)(Inpt)'!$D$6:$J$37,7,0),IF($C$2='ASE Target vs Ach(Spares)(Inpt)'!$L$5,VLOOKUP(D10,'ASE Target vs Ach(Spares)(Inpt)'!$D$6:$M$37,10,0),IF($C$2='ASE Target vs Ach(Spares)(Inpt)'!$O$5,VLOOKUP(D10,'ASE Target vs Ach(Spares)(Inpt)'!$D$6:$P$37,13,0),IF($C$2='ASE Target vs Ach(Spares)(Inpt)'!$R$5,VLOOKUP(D10,'ASE Target vs Ach(Spares)(Inpt)'!$D$6:$S$37,16,0),IF($C$2='ASE Target vs Ach(Spares)(Inpt)'!$U$5,VLOOKUP(D10,'ASE Target vs Ach(Spares)(Inpt)'!$D$6:$V$37,19,0),IF($C$2='ASE Target vs Ach(Spares)(Inpt)'!$X$5,VLOOKUP(D10,'ASE Target vs Ach(Spares)(Inpt)'!$D$6:$Y$37,22,0),IF($C$2='ASE Target vs Ach(Spares)(Inpt)'!$AA$5,VLOOKUP(D10,'ASE Target vs Ach(Spares)(Inpt)'!$D$6:$AB$37,25,0),IF($C$2='ASE Target vs Ach(Spares)(Inpt)'!$AD$5,VLOOKUP(D10,'ASE Target vs Ach(Spares)(Inpt)'!$D$6:$AE$37,28,0),IF($C$2='ASE Target vs Ach(Spares)(Inpt)'!$AG$5,VLOOKUP(D10,'ASE Target vs Ach(Spares)(Inpt)'!$D$6:$AH$37,31,0),IF($C$2='ASE Target vs Ach(Spares)(Inpt)'!$AJ$5,VLOOKUP(D10,'ASE Target vs Ach(Spares)(Inpt)'!$D$6:$AK$37,34,0),IF($C$2='ASE Target vs Ach(Spares)(Inpt)'!$AM$5,VLOOKUP(D10,'ASE Target vs Ach(Spares)(Inpt)'!$D$6:$AN$37,37,0),"N/A"))))))))))))</f>
        <v>0</v>
      </c>
      <c r="I10" s="18">
        <f t="shared" si="0"/>
        <v>0</v>
      </c>
      <c r="J10" s="17">
        <f>IF($C$2='ASE Target vs Ach(Spares)(Inpt)'!$F$5,VLOOKUP(D10,'ASE Target vs Ach(Spares)(Inpt)'!$D$42:$F$73,3,0),IF($C$2='ASE Target vs Ach(Spares)(Inpt)'!$I$5,VLOOKUP(D10,'ASE Target vs Ach(Spares)(Inpt)'!$D$42:$I$73,6,0),IF($C$2='ASE Target vs Ach(Spares)(Inpt)'!$L$5,VLOOKUP(D10,'ASE Target vs Ach(Spares)(Inpt)'!$D$42:$L$73,9,0),IF($C$2='ASE Target vs Ach(Spares)(Inpt)'!$O$5,VLOOKUP(D10,'ASE Target vs Ach(Spares)(Inpt)'!$D$42:$O$73,12,0),IF($C$2='ASE Target vs Ach(Spares)(Inpt)'!$R$5,VLOOKUP(D10,'ASE Target vs Ach(Spares)(Inpt)'!$D$42:$R$73,15,0),IF($C$2='ASE Target vs Ach(Spares)(Inpt)'!$U$5,VLOOKUP(D10,'ASE Target vs Ach(Spares)(Inpt)'!$D$42:$U$73,18,0),IF($C$2='ASE Target vs Ach(Spares)(Inpt)'!$X$5,VLOOKUP(D10,'ASE Target vs Ach(Spares)(Inpt)'!$D$42:$X$73,21,0),IF($C$2='ASE Target vs Ach(Spares)(Inpt)'!$AA$5,VLOOKUP(D10,'ASE Target vs Ach(Spares)(Inpt)'!$D$42:$AA$73,24,0),IF($C$2='ASE Target vs Ach(Spares)(Inpt)'!$AD$5,VLOOKUP(D10,'ASE Target vs Ach(Spares)(Inpt)'!$D$42:$AD$73,27,0),IF($C$2='ASE Target vs Ach(Spares)(Inpt)'!$AG$5,VLOOKUP(D10,'ASE Target vs Ach(Spares)(Inpt)'!$D$42:$AG$73,30,0),IF($C$2='ASE Target vs Ach(Spares)(Inpt)'!$AJ$5,VLOOKUP(D10,'ASE Target vs Ach(Spares)(Inpt)'!$D$42:$AJ$73,33,0),IF($C$2='ASE Target vs Ach(Spares)(Inpt)'!$AM$5,VLOOKUP(D10,'ASE Target vs Ach(Spares)(Inpt)'!$D$42:$AM$73,36,0),"N/A"))))))))))))</f>
        <v>0</v>
      </c>
      <c r="K10" s="17">
        <f>IF($C$2='ASE Target vs Ach(Spares)(Inpt)'!$F$5,VLOOKUP(D10,'ASE Target vs Ach(Spares)(Inpt)'!$D$42:$G$73,4,0),IF($C$2='ASE Target vs Ach(Spares)(Inpt)'!$I$5,VLOOKUP(D10,'ASE Target vs Ach(Spares)(Inpt)'!$D$42:$J$73,7,0),IF($C$2='ASE Target vs Ach(Spares)(Inpt)'!$L$5,VLOOKUP(D10,'ASE Target vs Ach(Spares)(Inpt)'!$D$42:$M$73,10,0),IF($C$2='ASE Target vs Ach(Spares)(Inpt)'!$O$5,VLOOKUP(D10,'ASE Target vs Ach(Spares)(Inpt)'!$D$42:$P$73,13,0),IF($C$2='ASE Target vs Ach(Spares)(Inpt)'!$R$5,VLOOKUP(D10,'ASE Target vs Ach(Spares)(Inpt)'!$D$42:$S$73,16,0),IF($C$2='ASE Target vs Ach(Spares)(Inpt)'!$U$5,VLOOKUP(D10,'ASE Target vs Ach(Spares)(Inpt)'!$D$42:$V$73,19,0),IF($C$2='ASE Target vs Ach(Spares)(Inpt)'!$X$5,VLOOKUP(D10,'ASE Target vs Ach(Spares)(Inpt)'!$D$42:$Y$73,22,0),IF($C$2='ASE Target vs Ach(Spares)(Inpt)'!$AA$5,VLOOKUP(D10,'ASE Target vs Ach(Spares)(Inpt)'!$D$42:$AB$73,25,0),IF($C$2='ASE Target vs Ach(Spares)(Inpt)'!$AD$5,VLOOKUP(D10,'ASE Target vs Ach(Spares)(Inpt)'!$D$42:$AE$73,28,0),IF($C$2='ASE Target vs Ach(Spares)(Inpt)'!$AG$5,VLOOKUP(D10,'ASE Target vs Ach(Spares)(Inpt)'!$D$42:$AH$73,31,0),IF($C$2='ASE Target vs Ach(Spares)(Inpt)'!$AJ$5,VLOOKUP(D10,'ASE Target vs Ach(Spares)(Inpt)'!$D$42:$AK$73,34,0),IF($C$2='ASE Target vs Ach(Spares)(Inpt)'!$AM$5,VLOOKUP(D10,'ASE Target vs Ach(Spares)(Inpt)'!$D$42:$AN$73,37,0),"N/A"))))))))))))</f>
        <v>0</v>
      </c>
      <c r="L10" s="18">
        <f t="shared" si="1"/>
        <v>0</v>
      </c>
      <c r="M10" s="19" t="str">
        <f t="shared" si="2"/>
        <v>Not Eligible</v>
      </c>
      <c r="N10" s="17" t="str">
        <f>IF(M10="Eligible",IF(K10&lt;Condition!$E$4,0,IF(K10=Condition!$E$4,Condition!$C$4*K10,IF(K10&lt;Condition!$F$4,Condition!$C$4*K10,IF(K10=Condition!$F$4,Condition!$C$5*K10,IF(K10&lt;Condition!$F$5,Condition!$C$5*K10,IF(K10=Condition!$F$5,Condition!$C$6*K10,IF(K10&lt;Condition!$F$6,Condition!$C$6*K10,IF(K10=Condition!$F$6,Condition!$C$7*K10,IF(K10&lt;Condition!$F$7,Condition!$C$7*K10,IF(K10=Condition!$F$7,Condition!$C$8*K10,IF(K10&lt;Condition!$F$8,Condition!$C$8*K10,IF(K10=Condition!$F$8,Condition!$C$9*K10,IF(K10&lt;Condition!$F$9,Condition!$C$9*K10,IF(K10=Condition!$F$9,Condition!$C$10*K10,IF(K10&gt;Condition!$F$10,Condition!$C$10*K10,""))))))))))))))),"")</f>
        <v/>
      </c>
      <c r="O10" s="142" t="str">
        <f>IF(M10="Eligible",IF(K10&lt;Condition!$E$4,0,IF(K10=Condition!$E$4,Condition!$D$4,IF(K10&lt;Condition!$F$4,Condition!$D$4,IF(K10=Condition!$F$4,Condition!$D$5,IF(K10&lt;Condition!$F$5,Condition!$D$5,IF(K10=Condition!$F$5,Condition!$D$6,IF(K10&lt;Condition!$F$6,Condition!$D$6,IF(K10=Condition!$F$6,Condition!$D$7,IF(K10&lt;Condition!$F$7,Condition!$D$7,IF(K10=Condition!$F$7,Condition!$D$8,IF(K10&lt;Condition!$F$8,Condition!$D$8,IF(K10=Condition!$F$8,Condition!$D$9,IF(K10&lt;Condition!$F$9,Condition!$D$9,IF(K10=Condition!$F$9,Condition!$D$10,IF(K10&gt;Condition!$F$10,Condition!$D$10,""))))))))))))))),"")</f>
        <v/>
      </c>
      <c r="P10" s="142" t="str">
        <f t="shared" si="3"/>
        <v/>
      </c>
      <c r="Q10" s="117">
        <f>VLOOKUP(D10,'ASE Ach(Lube Oil Sales)'!$D$5:$F$40,3,0)</f>
        <v>0</v>
      </c>
      <c r="R10" s="17">
        <f>Q10*Condition!$E$27</f>
        <v>0</v>
      </c>
      <c r="S10" s="142">
        <f>VLOOKUP(D10,'ASE Ach (Service)(Input)'!$D$5:$F$34,3,0)</f>
        <v>0</v>
      </c>
      <c r="T10" s="142">
        <f>VLOOKUP(D10,'ASE Ach (Service)(Input)'!$D$5:$G$34,4,0)</f>
        <v>0</v>
      </c>
      <c r="U10" s="142">
        <f>VLOOKUP(D10,'ASE Ach (Service)(Input)'!$D$48:$F$79,3,0)</f>
        <v>0</v>
      </c>
      <c r="V10" s="142">
        <f>VLOOKUP(D10,'ASE Ach (Service)(Input)'!$D$48:$G$79,4,0)</f>
        <v>0</v>
      </c>
      <c r="W10" s="80">
        <f>IF($C$2='ASE Ach (CSA)(Input)'!$F$5,INDEX('ASE Ach (CSA)(Input)'!F:F,MATCH(D10,'ASE Ach (CSA)(Input)'!D:D,0)),IF($C$2='ASE Ach (CSA)(Input)'!$H$5,INDEX('ASE Ach (CSA)(Input)'!H:H,MATCH(D10,'ASE Ach (CSA)(Input)'!D:D,0)),IF($C$2='ASE Ach (CSA)(Input)'!$J$5,INDEX('ASE Ach (CSA)(Input)'!J:J,MATCH(D10,'ASE Ach (CSA)(Input)'!D:D,0)),IF($C$2='ASE Ach (CSA)(Input)'!$L$5,INDEX('ASE Ach (CSA)(Input)'!L:L,MATCH(D10,'ASE Ach (CSA)(Input)'!D:D,0)),IF($C$2='ASE Ach (CSA)(Input)'!$N$5,INDEX('ASE Ach (CSA)(Input)'!N:N,MATCH(D10,'ASE Ach (CSA)(Input)'!D:D,0)),IF($C$2='ASE Ach (CSA)(Input)'!$P$5,INDEX('ASE Ach (CSA)(Input)'!P:P,MATCH(D10,'ASE Ach (CSA)(Input)'!D:D,0)),IF($C$2='ASE Ach (CSA)(Input)'!$R$5,INDEX('ASE Ach (CSA)(Input)'!R:R,MATCH(D10,'ASE Ach (CSA)(Input)'!D:D,0)),IF($C$2='ASE Ach (CSA)(Input)'!$T$5,INDEX('ASE Ach (CSA)(Input)'!T:T,MATCH(D10,'ASE Ach (CSA)(Input)'!D:D,0)),IF($C$2='ASE Ach (CSA)(Input)'!$V$5,INDEX('ASE Ach (CSA)(Input)'!V:V,MATCH(D10,'ASE Ach (CSA)(Input)'!D:D,0)),IF($C$2='ASE Ach (CSA)(Input)'!$X$5,INDEX('ASE Ach (CSA)(Input)'!X:X,MATCH(D10,'ASE Ach (CSA)(Input)'!D:D,0)),IF($C$2='ASE Ach (CSA)(Input)'!$Z$5,INDEX('ASE Ach (CSA)(Input)'!Z:Z,MATCH(D10,'ASE Ach (CSA)(Input)'!D:D,0)),IF($C$2='ASE Ach (CSA)(Input)'!$AB$5,INDEX('ASE Ach (CSA)(Input)'!AB:AB,MATCH(D10,'ASE Ach (CSA)(Input)'!D:D,0)),"N/A"))))))))))))</f>
        <v>0</v>
      </c>
      <c r="X10" s="80">
        <f>IF($C$2='ASE Ach (CSA)(Input)'!$F$5,INDEX('ASE Ach (CSA)(Input)'!G:G,MATCH(D10,'ASE Ach (CSA)(Input)'!D:D,0)),IF($C$2='ASE Ach (CSA)(Input)'!$H$5,INDEX('ASE Ach (CSA)(Input)'!I:I,MATCH(D10,'ASE Ach (CSA)(Input)'!D:D,0)),IF($C$2='ASE Ach (CSA)(Input)'!$J$5,INDEX('ASE Ach (CSA)(Input)'!K:K,MATCH(D10,'ASE Ach (CSA)(Input)'!D:D,0)),IF($C$2='ASE Ach (CSA)(Input)'!$L$5,INDEX('ASE Ach (CSA)(Input)'!M:M,MATCH(D10,'ASE Ach (CSA)(Input)'!D:D,0)),IF($C$2='ASE Ach (CSA)(Input)'!$N$5,INDEX('ASE Ach (CSA)(Input)'!O:O,MATCH(D10,'ASE Ach (CSA)(Input)'!D:D,0)),IF($C$2='ASE Ach (CSA)(Input)'!$P$5,INDEX('ASE Ach (CSA)(Input)'!Q:Q,MATCH(D10,'ASE Ach (CSA)(Input)'!D:D,0)),IF($C$2='ASE Ach (CSA)(Input)'!$R$5,INDEX('ASE Ach (CSA)(Input)'!S:S,MATCH(D10,'ASE Ach (CSA)(Input)'!D:D,0)),IF($C$2='ASE Ach (CSA)(Input)'!$T$5,INDEX('ASE Ach (CSA)(Input)'!U:U,MATCH(D10,'ASE Ach (CSA)(Input)'!D:D,0)),IF($C$2='ASE Ach (CSA)(Input)'!$V$5,INDEX('ASE Ach (CSA)(Input)'!W:W,MATCH(D10,'ASE Ach (CSA)(Input)'!D:D,0)),IF($C$2='ASE Ach (CSA)(Input)'!$X$5,INDEX('ASE Ach (CSA)(Input)'!Y:Y,MATCH(D10,'ASE Ach (CSA)(Input)'!D:D,0)),IF($C$2='ASE Ach (CSA)(Input)'!$Z$5,INDEX('ASE Ach (CSA)(Input)'!AA:AA,MATCH(D10,'ASE Ach (CSA)(Input)'!D:D,0)),IF($C$2='ASE Ach (CSA)(Input)'!$AB$5,INDEX('ASE Ach (CSA)(Input)'!AC:AC,MATCH(D10,'ASE Ach (CSA)(Input)'!D:D,0)),"N/A"))))))))))))</f>
        <v>0</v>
      </c>
      <c r="Y10" s="142">
        <f>W10*Condition!$C$23+'Monthly Summary (No Input)'!X10*Condition!$E$24</f>
        <v>0</v>
      </c>
      <c r="Z10" s="17">
        <f t="shared" si="4"/>
        <v>0</v>
      </c>
    </row>
    <row r="11" spans="2:26" x14ac:dyDescent="0.25">
      <c r="B11" s="15">
        <f>'ASE Target (Spares), FY 21-22'!A9</f>
        <v>4</v>
      </c>
      <c r="C11" s="15" t="str">
        <f>IF('ASE Target (Spares), FY 21-22'!B9=0,"",'ASE Target (Spares), FY 21-22'!B9)</f>
        <v>DSL-DHK</v>
      </c>
      <c r="D11" s="16" t="str">
        <f>'ASE Target (Spares), FY 21-22'!C9</f>
        <v>Md. Nazmul Hasan Titu</v>
      </c>
      <c r="E11" s="15">
        <f>IF('ASE Target (Spares), FY 21-22'!D9=0,"",'ASE Target (Spares), FY 21-22'!D9)</f>
        <v>2913</v>
      </c>
      <c r="F11" s="17">
        <f>IFERROR(VLOOKUP(E11,'ASE Target (Spares), FY 21-22'!$D$5:$G$260,4,0),"")</f>
        <v>1500000</v>
      </c>
      <c r="G11" s="17">
        <f>IF($C$2='ASE Target vs Ach(Spares)(Inpt)'!$F$5,VLOOKUP(D11,'ASE Target vs Ach(Spares)(Inpt)'!$D$6:$F$37,3,0),IF($C$2='ASE Target vs Ach(Spares)(Inpt)'!$I$5,VLOOKUP(D11,'ASE Target vs Ach(Spares)(Inpt)'!$D$6:$I$37,6,0),IF($C$2='ASE Target vs Ach(Spares)(Inpt)'!$L$5,VLOOKUP(D11,'ASE Target vs Ach(Spares)(Inpt)'!$D$6:$L$37,9,0),IF($C$2='ASE Target vs Ach(Spares)(Inpt)'!$O$5,VLOOKUP(D11,'ASE Target vs Ach(Spares)(Inpt)'!$D$6:$O$37,12,0),IF($C$2='ASE Target vs Ach(Spares)(Inpt)'!$R$5,VLOOKUP(D11,'ASE Target vs Ach(Spares)(Inpt)'!$D$6:$R$37,15,0),IF($C$2='ASE Target vs Ach(Spares)(Inpt)'!$U$5,VLOOKUP(D11,'ASE Target vs Ach(Spares)(Inpt)'!$D$6:$U$37,18,0),IF($C$2='ASE Target vs Ach(Spares)(Inpt)'!$X$5,VLOOKUP(D11,'ASE Target vs Ach(Spares)(Inpt)'!$D$6:$X$37,21,0),IF($C$2='ASE Target vs Ach(Spares)(Inpt)'!$AA$5,VLOOKUP(D11,'ASE Target vs Ach(Spares)(Inpt)'!$D$6:$AA$37,24,0),IF($C$2='ASE Target vs Ach(Spares)(Inpt)'!$AD$5,VLOOKUP(D11,'ASE Target vs Ach(Spares)(Inpt)'!$D$6:$AD$37,27,0),IF($C$2='ASE Target vs Ach(Spares)(Inpt)'!$AG$5,VLOOKUP(D11,'ASE Target vs Ach(Spares)(Inpt)'!$D$6:$AG$37,30,0),IF($C$2='ASE Target vs Ach(Spares)(Inpt)'!$AJ$5,VLOOKUP(D11,'ASE Target vs Ach(Spares)(Inpt)'!$D$6:$AJ$37,33,0),IF($C$2='ASE Target vs Ach(Spares)(Inpt)'!$AM$5,VLOOKUP(D11,'ASE Target vs Ach(Spares)(Inpt)'!$D$6:$AM$37,36,0),"N/A"))))))))))))</f>
        <v>250000</v>
      </c>
      <c r="H11" s="17">
        <f>IF($C$2='ASE Target vs Ach(Spares)(Inpt)'!$F$5,VLOOKUP(D11,'ASE Target vs Ach(Spares)(Inpt)'!$D$6:$G$37,4,0),IF($C$2='ASE Target vs Ach(Spares)(Inpt)'!$I$5,VLOOKUP(D11,'ASE Target vs Ach(Spares)(Inpt)'!$D$6:$J$37,7,0),IF($C$2='ASE Target vs Ach(Spares)(Inpt)'!$L$5,VLOOKUP(D11,'ASE Target vs Ach(Spares)(Inpt)'!$D$6:$M$37,10,0),IF($C$2='ASE Target vs Ach(Spares)(Inpt)'!$O$5,VLOOKUP(D11,'ASE Target vs Ach(Spares)(Inpt)'!$D$6:$P$37,13,0),IF($C$2='ASE Target vs Ach(Spares)(Inpt)'!$R$5,VLOOKUP(D11,'ASE Target vs Ach(Spares)(Inpt)'!$D$6:$S$37,16,0),IF($C$2='ASE Target vs Ach(Spares)(Inpt)'!$U$5,VLOOKUP(D11,'ASE Target vs Ach(Spares)(Inpt)'!$D$6:$V$37,19,0),IF($C$2='ASE Target vs Ach(Spares)(Inpt)'!$X$5,VLOOKUP(D11,'ASE Target vs Ach(Spares)(Inpt)'!$D$6:$Y$37,22,0),IF($C$2='ASE Target vs Ach(Spares)(Inpt)'!$AA$5,VLOOKUP(D11,'ASE Target vs Ach(Spares)(Inpt)'!$D$6:$AB$37,25,0),IF($C$2='ASE Target vs Ach(Spares)(Inpt)'!$AD$5,VLOOKUP(D11,'ASE Target vs Ach(Spares)(Inpt)'!$D$6:$AE$37,28,0),IF($C$2='ASE Target vs Ach(Spares)(Inpt)'!$AG$5,VLOOKUP(D11,'ASE Target vs Ach(Spares)(Inpt)'!$D$6:$AH$37,31,0),IF($C$2='ASE Target vs Ach(Spares)(Inpt)'!$AJ$5,VLOOKUP(D11,'ASE Target vs Ach(Spares)(Inpt)'!$D$6:$AK$37,34,0),IF($C$2='ASE Target vs Ach(Spares)(Inpt)'!$AM$5,VLOOKUP(D11,'ASE Target vs Ach(Spares)(Inpt)'!$D$6:$AN$37,37,0),"N/A"))))))))))))</f>
        <v>709063</v>
      </c>
      <c r="I11" s="18">
        <f t="shared" si="0"/>
        <v>2.836252</v>
      </c>
      <c r="J11" s="17">
        <f>IF($C$2='ASE Target vs Ach(Spares)(Inpt)'!$F$5,VLOOKUP(D11,'ASE Target vs Ach(Spares)(Inpt)'!$D$42:$F$73,3,0),IF($C$2='ASE Target vs Ach(Spares)(Inpt)'!$I$5,VLOOKUP(D11,'ASE Target vs Ach(Spares)(Inpt)'!$D$42:$I$73,6,0),IF($C$2='ASE Target vs Ach(Spares)(Inpt)'!$L$5,VLOOKUP(D11,'ASE Target vs Ach(Spares)(Inpt)'!$D$42:$L$73,9,0),IF($C$2='ASE Target vs Ach(Spares)(Inpt)'!$O$5,VLOOKUP(D11,'ASE Target vs Ach(Spares)(Inpt)'!$D$42:$O$73,12,0),IF($C$2='ASE Target vs Ach(Spares)(Inpt)'!$R$5,VLOOKUP(D11,'ASE Target vs Ach(Spares)(Inpt)'!$D$42:$R$73,15,0),IF($C$2='ASE Target vs Ach(Spares)(Inpt)'!$U$5,VLOOKUP(D11,'ASE Target vs Ach(Spares)(Inpt)'!$D$42:$U$73,18,0),IF($C$2='ASE Target vs Ach(Spares)(Inpt)'!$X$5,VLOOKUP(D11,'ASE Target vs Ach(Spares)(Inpt)'!$D$42:$X$73,21,0),IF($C$2='ASE Target vs Ach(Spares)(Inpt)'!$AA$5,VLOOKUP(D11,'ASE Target vs Ach(Spares)(Inpt)'!$D$42:$AA$73,24,0),IF($C$2='ASE Target vs Ach(Spares)(Inpt)'!$AD$5,VLOOKUP(D11,'ASE Target vs Ach(Spares)(Inpt)'!$D$42:$AD$73,27,0),IF($C$2='ASE Target vs Ach(Spares)(Inpt)'!$AG$5,VLOOKUP(D11,'ASE Target vs Ach(Spares)(Inpt)'!$D$42:$AG$73,30,0),IF($C$2='ASE Target vs Ach(Spares)(Inpt)'!$AJ$5,VLOOKUP(D11,'ASE Target vs Ach(Spares)(Inpt)'!$D$42:$AJ$73,33,0),IF($C$2='ASE Target vs Ach(Spares)(Inpt)'!$AM$5,VLOOKUP(D11,'ASE Target vs Ach(Spares)(Inpt)'!$D$42:$AM$73,36,0),"N/A"))))))))))))</f>
        <v>112500</v>
      </c>
      <c r="K11" s="17">
        <f>IF($C$2='ASE Target vs Ach(Spares)(Inpt)'!$F$5,VLOOKUP(D11,'ASE Target vs Ach(Spares)(Inpt)'!$D$42:$G$73,4,0),IF($C$2='ASE Target vs Ach(Spares)(Inpt)'!$I$5,VLOOKUP(D11,'ASE Target vs Ach(Spares)(Inpt)'!$D$42:$J$73,7,0),IF($C$2='ASE Target vs Ach(Spares)(Inpt)'!$L$5,VLOOKUP(D11,'ASE Target vs Ach(Spares)(Inpt)'!$D$42:$M$73,10,0),IF($C$2='ASE Target vs Ach(Spares)(Inpt)'!$O$5,VLOOKUP(D11,'ASE Target vs Ach(Spares)(Inpt)'!$D$42:$P$73,13,0),IF($C$2='ASE Target vs Ach(Spares)(Inpt)'!$R$5,VLOOKUP(D11,'ASE Target vs Ach(Spares)(Inpt)'!$D$42:$S$73,16,0),IF($C$2='ASE Target vs Ach(Spares)(Inpt)'!$U$5,VLOOKUP(D11,'ASE Target vs Ach(Spares)(Inpt)'!$D$42:$V$73,19,0),IF($C$2='ASE Target vs Ach(Spares)(Inpt)'!$X$5,VLOOKUP(D11,'ASE Target vs Ach(Spares)(Inpt)'!$D$42:$Y$73,22,0),IF($C$2='ASE Target vs Ach(Spares)(Inpt)'!$AA$5,VLOOKUP(D11,'ASE Target vs Ach(Spares)(Inpt)'!$D$42:$AB$73,25,0),IF($C$2='ASE Target vs Ach(Spares)(Inpt)'!$AD$5,VLOOKUP(D11,'ASE Target vs Ach(Spares)(Inpt)'!$D$42:$AE$73,28,0),IF($C$2='ASE Target vs Ach(Spares)(Inpt)'!$AG$5,VLOOKUP(D11,'ASE Target vs Ach(Spares)(Inpt)'!$D$42:$AH$73,31,0),IF($C$2='ASE Target vs Ach(Spares)(Inpt)'!$AJ$5,VLOOKUP(D11,'ASE Target vs Ach(Spares)(Inpt)'!$D$42:$AK$73,34,0),IF($C$2='ASE Target vs Ach(Spares)(Inpt)'!$AM$5,VLOOKUP(D11,'ASE Target vs Ach(Spares)(Inpt)'!$D$42:$AN$73,37,0),"N/A"))))))))))))</f>
        <v>709063</v>
      </c>
      <c r="L11" s="18">
        <f t="shared" si="1"/>
        <v>6.3027822222222225</v>
      </c>
      <c r="M11" s="19" t="str">
        <f t="shared" si="2"/>
        <v>Eligible</v>
      </c>
      <c r="N11" s="17">
        <f>IF(M11="Eligible",IF(K11&lt;Condition!$E$4,0,IF(K11=Condition!$E$4,Condition!$C$4*K11,IF(K11&lt;Condition!$F$4,Condition!$C$4*K11,IF(K11=Condition!$F$4,Condition!$C$5*K11,IF(K11&lt;Condition!$F$5,Condition!$C$5*K11,IF(K11=Condition!$F$5,Condition!$C$6*K11,IF(K11&lt;Condition!$F$6,Condition!$C$6*K11,IF(K11=Condition!$F$6,Condition!$C$7*K11,IF(K11&lt;Condition!$F$7,Condition!$C$7*K11,IF(K11=Condition!$F$7,Condition!$C$8*K11,IF(K11&lt;Condition!$F$8,Condition!$C$8*K11,IF(K11=Condition!$F$8,Condition!$C$9*K11,IF(K11&lt;Condition!$F$9,Condition!$C$9*K11,IF(K11=Condition!$F$9,Condition!$C$10*K11,IF(K11&gt;Condition!$F$10,Condition!$C$10*K11,""))))))))))))))),"")</f>
        <v>23044.547500000001</v>
      </c>
      <c r="O11" s="142">
        <f>IF(M11="Eligible",IF(K11&lt;Condition!$E$4,0,IF(K11=Condition!$E$4,Condition!$D$4,IF(K11&lt;Condition!$F$4,Condition!$D$4,IF(K11=Condition!$F$4,Condition!$D$5,IF(K11&lt;Condition!$F$5,Condition!$D$5,IF(K11=Condition!$F$5,Condition!$D$6,IF(K11&lt;Condition!$F$6,Condition!$D$6,IF(K11=Condition!$F$6,Condition!$D$7,IF(K11&lt;Condition!$F$7,Condition!$D$7,IF(K11=Condition!$F$7,Condition!$D$8,IF(K11&lt;Condition!$F$8,Condition!$D$8,IF(K11=Condition!$F$8,Condition!$D$9,IF(K11&lt;Condition!$F$9,Condition!$D$9,IF(K11=Condition!$F$9,Condition!$D$10,IF(K11&gt;Condition!$F$10,Condition!$D$10,""))))))))))))))),"")</f>
        <v>2500</v>
      </c>
      <c r="P11" s="142">
        <f t="shared" si="3"/>
        <v>5965.63</v>
      </c>
      <c r="Q11" s="117">
        <f>VLOOKUP(D11,'ASE Ach(Lube Oil Sales)'!$D$5:$F$40,3,0)</f>
        <v>429</v>
      </c>
      <c r="R11" s="17">
        <f>Q11*Condition!$E$27</f>
        <v>2145</v>
      </c>
      <c r="S11" s="142">
        <f>VLOOKUP(D11,'ASE Ach (Service)(Input)'!$D$5:$F$34,3,0)</f>
        <v>131824</v>
      </c>
      <c r="T11" s="142">
        <f>VLOOKUP(D11,'ASE Ach (Service)(Input)'!$D$5:$G$34,4,0)</f>
        <v>0</v>
      </c>
      <c r="U11" s="142">
        <f>VLOOKUP(D11,'ASE Ach (Service)(Input)'!$D$48:$F$79,3,0)</f>
        <v>5300</v>
      </c>
      <c r="V11" s="142">
        <f>VLOOKUP(D11,'ASE Ach (Service)(Input)'!$D$48:$G$79,4,0)</f>
        <v>0</v>
      </c>
      <c r="W11" s="80">
        <f>IF($C$2='ASE Ach (CSA)(Input)'!$F$5,INDEX('ASE Ach (CSA)(Input)'!F:F,MATCH(D11,'ASE Ach (CSA)(Input)'!D:D,0)),IF($C$2='ASE Ach (CSA)(Input)'!$H$5,INDEX('ASE Ach (CSA)(Input)'!H:H,MATCH(D11,'ASE Ach (CSA)(Input)'!D:D,0)),IF($C$2='ASE Ach (CSA)(Input)'!$J$5,INDEX('ASE Ach (CSA)(Input)'!J:J,MATCH(D11,'ASE Ach (CSA)(Input)'!D:D,0)),IF($C$2='ASE Ach (CSA)(Input)'!$L$5,INDEX('ASE Ach (CSA)(Input)'!L:L,MATCH(D11,'ASE Ach (CSA)(Input)'!D:D,0)),IF($C$2='ASE Ach (CSA)(Input)'!$N$5,INDEX('ASE Ach (CSA)(Input)'!N:N,MATCH(D11,'ASE Ach (CSA)(Input)'!D:D,0)),IF($C$2='ASE Ach (CSA)(Input)'!$P$5,INDEX('ASE Ach (CSA)(Input)'!P:P,MATCH(D11,'ASE Ach (CSA)(Input)'!D:D,0)),IF($C$2='ASE Ach (CSA)(Input)'!$R$5,INDEX('ASE Ach (CSA)(Input)'!R:R,MATCH(D11,'ASE Ach (CSA)(Input)'!D:D,0)),IF($C$2='ASE Ach (CSA)(Input)'!$T$5,INDEX('ASE Ach (CSA)(Input)'!T:T,MATCH(D11,'ASE Ach (CSA)(Input)'!D:D,0)),IF($C$2='ASE Ach (CSA)(Input)'!$V$5,INDEX('ASE Ach (CSA)(Input)'!V:V,MATCH(D11,'ASE Ach (CSA)(Input)'!D:D,0)),IF($C$2='ASE Ach (CSA)(Input)'!$X$5,INDEX('ASE Ach (CSA)(Input)'!X:X,MATCH(D11,'ASE Ach (CSA)(Input)'!D:D,0)),IF($C$2='ASE Ach (CSA)(Input)'!$Z$5,INDEX('ASE Ach (CSA)(Input)'!Z:Z,MATCH(D11,'ASE Ach (CSA)(Input)'!D:D,0)),IF($C$2='ASE Ach (CSA)(Input)'!$AB$5,INDEX('ASE Ach (CSA)(Input)'!AB:AB,MATCH(D11,'ASE Ach (CSA)(Input)'!D:D,0)),"N/A"))))))))))))</f>
        <v>0</v>
      </c>
      <c r="X11" s="80">
        <f>IF($C$2='ASE Ach (CSA)(Input)'!$F$5,INDEX('ASE Ach (CSA)(Input)'!G:G,MATCH(D11,'ASE Ach (CSA)(Input)'!D:D,0)),IF($C$2='ASE Ach (CSA)(Input)'!$H$5,INDEX('ASE Ach (CSA)(Input)'!I:I,MATCH(D11,'ASE Ach (CSA)(Input)'!D:D,0)),IF($C$2='ASE Ach (CSA)(Input)'!$J$5,INDEX('ASE Ach (CSA)(Input)'!K:K,MATCH(D11,'ASE Ach (CSA)(Input)'!D:D,0)),IF($C$2='ASE Ach (CSA)(Input)'!$L$5,INDEX('ASE Ach (CSA)(Input)'!M:M,MATCH(D11,'ASE Ach (CSA)(Input)'!D:D,0)),IF($C$2='ASE Ach (CSA)(Input)'!$N$5,INDEX('ASE Ach (CSA)(Input)'!O:O,MATCH(D11,'ASE Ach (CSA)(Input)'!D:D,0)),IF($C$2='ASE Ach (CSA)(Input)'!$P$5,INDEX('ASE Ach (CSA)(Input)'!Q:Q,MATCH(D11,'ASE Ach (CSA)(Input)'!D:D,0)),IF($C$2='ASE Ach (CSA)(Input)'!$R$5,INDEX('ASE Ach (CSA)(Input)'!S:S,MATCH(D11,'ASE Ach (CSA)(Input)'!D:D,0)),IF($C$2='ASE Ach (CSA)(Input)'!$T$5,INDEX('ASE Ach (CSA)(Input)'!U:U,MATCH(D11,'ASE Ach (CSA)(Input)'!D:D,0)),IF($C$2='ASE Ach (CSA)(Input)'!$V$5,INDEX('ASE Ach (CSA)(Input)'!W:W,MATCH(D11,'ASE Ach (CSA)(Input)'!D:D,0)),IF($C$2='ASE Ach (CSA)(Input)'!$X$5,INDEX('ASE Ach (CSA)(Input)'!Y:Y,MATCH(D11,'ASE Ach (CSA)(Input)'!D:D,0)),IF($C$2='ASE Ach (CSA)(Input)'!$Z$5,INDEX('ASE Ach (CSA)(Input)'!AA:AA,MATCH(D11,'ASE Ach (CSA)(Input)'!D:D,0)),IF($C$2='ASE Ach (CSA)(Input)'!$AB$5,INDEX('ASE Ach (CSA)(Input)'!AC:AC,MATCH(D11,'ASE Ach (CSA)(Input)'!D:D,0)),"N/A"))))))))))))</f>
        <v>0</v>
      </c>
      <c r="Y11" s="142">
        <f>W11*Condition!$C$23+'Monthly Summary (No Input)'!X11*Condition!$E$24</f>
        <v>0</v>
      </c>
      <c r="Z11" s="17">
        <f t="shared" si="4"/>
        <v>38955.177500000005</v>
      </c>
    </row>
    <row r="12" spans="2:26" x14ac:dyDescent="0.25">
      <c r="B12" s="15">
        <f>'ASE Target (Spares), FY 21-22'!A10</f>
        <v>5</v>
      </c>
      <c r="C12" s="15" t="str">
        <f>IF('ASE Target (Spares), FY 21-22'!B10=0,"",'ASE Target (Spares), FY 21-22'!B10)</f>
        <v>DSL-DHK</v>
      </c>
      <c r="D12" s="16" t="str">
        <f>'ASE Target (Spares), FY 21-22'!C10</f>
        <v>Md. Zahirul Islam</v>
      </c>
      <c r="E12" s="15">
        <f>IF('ASE Target (Spares), FY 21-22'!D10=0,"",'ASE Target (Spares), FY 21-22'!D10)</f>
        <v>2914</v>
      </c>
      <c r="F12" s="17">
        <f>IFERROR(VLOOKUP(E12,'ASE Target (Spares), FY 21-22'!$D$5:$G$260,4,0),"")</f>
        <v>5600000</v>
      </c>
      <c r="G12" s="17">
        <f>IF($C$2='ASE Target vs Ach(Spares)(Inpt)'!$F$5,VLOOKUP(D12,'ASE Target vs Ach(Spares)(Inpt)'!$D$6:$F$37,3,0),IF($C$2='ASE Target vs Ach(Spares)(Inpt)'!$I$5,VLOOKUP(D12,'ASE Target vs Ach(Spares)(Inpt)'!$D$6:$I$37,6,0),IF($C$2='ASE Target vs Ach(Spares)(Inpt)'!$L$5,VLOOKUP(D12,'ASE Target vs Ach(Spares)(Inpt)'!$D$6:$L$37,9,0),IF($C$2='ASE Target vs Ach(Spares)(Inpt)'!$O$5,VLOOKUP(D12,'ASE Target vs Ach(Spares)(Inpt)'!$D$6:$O$37,12,0),IF($C$2='ASE Target vs Ach(Spares)(Inpt)'!$R$5,VLOOKUP(D12,'ASE Target vs Ach(Spares)(Inpt)'!$D$6:$R$37,15,0),IF($C$2='ASE Target vs Ach(Spares)(Inpt)'!$U$5,VLOOKUP(D12,'ASE Target vs Ach(Spares)(Inpt)'!$D$6:$U$37,18,0),IF($C$2='ASE Target vs Ach(Spares)(Inpt)'!$X$5,VLOOKUP(D12,'ASE Target vs Ach(Spares)(Inpt)'!$D$6:$X$37,21,0),IF($C$2='ASE Target vs Ach(Spares)(Inpt)'!$AA$5,VLOOKUP(D12,'ASE Target vs Ach(Spares)(Inpt)'!$D$6:$AA$37,24,0),IF($C$2='ASE Target vs Ach(Spares)(Inpt)'!$AD$5,VLOOKUP(D12,'ASE Target vs Ach(Spares)(Inpt)'!$D$6:$AD$37,27,0),IF($C$2='ASE Target vs Ach(Spares)(Inpt)'!$AG$5,VLOOKUP(D12,'ASE Target vs Ach(Spares)(Inpt)'!$D$6:$AG$37,30,0),IF($C$2='ASE Target vs Ach(Spares)(Inpt)'!$AJ$5,VLOOKUP(D12,'ASE Target vs Ach(Spares)(Inpt)'!$D$6:$AJ$37,33,0),IF($C$2='ASE Target vs Ach(Spares)(Inpt)'!$AM$5,VLOOKUP(D12,'ASE Target vs Ach(Spares)(Inpt)'!$D$6:$AM$37,36,0),"N/A"))))))))))))</f>
        <v>1000000</v>
      </c>
      <c r="H12" s="17">
        <f>IF($C$2='ASE Target vs Ach(Spares)(Inpt)'!$F$5,VLOOKUP(D12,'ASE Target vs Ach(Spares)(Inpt)'!$D$6:$G$37,4,0),IF($C$2='ASE Target vs Ach(Spares)(Inpt)'!$I$5,VLOOKUP(D12,'ASE Target vs Ach(Spares)(Inpt)'!$D$6:$J$37,7,0),IF($C$2='ASE Target vs Ach(Spares)(Inpt)'!$L$5,VLOOKUP(D12,'ASE Target vs Ach(Spares)(Inpt)'!$D$6:$M$37,10,0),IF($C$2='ASE Target vs Ach(Spares)(Inpt)'!$O$5,VLOOKUP(D12,'ASE Target vs Ach(Spares)(Inpt)'!$D$6:$P$37,13,0),IF($C$2='ASE Target vs Ach(Spares)(Inpt)'!$R$5,VLOOKUP(D12,'ASE Target vs Ach(Spares)(Inpt)'!$D$6:$S$37,16,0),IF($C$2='ASE Target vs Ach(Spares)(Inpt)'!$U$5,VLOOKUP(D12,'ASE Target vs Ach(Spares)(Inpt)'!$D$6:$V$37,19,0),IF($C$2='ASE Target vs Ach(Spares)(Inpt)'!$X$5,VLOOKUP(D12,'ASE Target vs Ach(Spares)(Inpt)'!$D$6:$Y$37,22,0),IF($C$2='ASE Target vs Ach(Spares)(Inpt)'!$AA$5,VLOOKUP(D12,'ASE Target vs Ach(Spares)(Inpt)'!$D$6:$AB$37,25,0),IF($C$2='ASE Target vs Ach(Spares)(Inpt)'!$AD$5,VLOOKUP(D12,'ASE Target vs Ach(Spares)(Inpt)'!$D$6:$AE$37,28,0),IF($C$2='ASE Target vs Ach(Spares)(Inpt)'!$AG$5,VLOOKUP(D12,'ASE Target vs Ach(Spares)(Inpt)'!$D$6:$AH$37,31,0),IF($C$2='ASE Target vs Ach(Spares)(Inpt)'!$AJ$5,VLOOKUP(D12,'ASE Target vs Ach(Spares)(Inpt)'!$D$6:$AK$37,34,0),IF($C$2='ASE Target vs Ach(Spares)(Inpt)'!$AM$5,VLOOKUP(D12,'ASE Target vs Ach(Spares)(Inpt)'!$D$6:$AN$37,37,0),"N/A"))))))))))))</f>
        <v>764379</v>
      </c>
      <c r="I12" s="18">
        <f t="shared" si="0"/>
        <v>0.76437900000000003</v>
      </c>
      <c r="J12" s="17">
        <f>IF($C$2='ASE Target vs Ach(Spares)(Inpt)'!$F$5,VLOOKUP(D12,'ASE Target vs Ach(Spares)(Inpt)'!$D$42:$F$73,3,0),IF($C$2='ASE Target vs Ach(Spares)(Inpt)'!$I$5,VLOOKUP(D12,'ASE Target vs Ach(Spares)(Inpt)'!$D$42:$I$73,6,0),IF($C$2='ASE Target vs Ach(Spares)(Inpt)'!$L$5,VLOOKUP(D12,'ASE Target vs Ach(Spares)(Inpt)'!$D$42:$L$73,9,0),IF($C$2='ASE Target vs Ach(Spares)(Inpt)'!$O$5,VLOOKUP(D12,'ASE Target vs Ach(Spares)(Inpt)'!$D$42:$O$73,12,0),IF($C$2='ASE Target vs Ach(Spares)(Inpt)'!$R$5,VLOOKUP(D12,'ASE Target vs Ach(Spares)(Inpt)'!$D$42:$R$73,15,0),IF($C$2='ASE Target vs Ach(Spares)(Inpt)'!$U$5,VLOOKUP(D12,'ASE Target vs Ach(Spares)(Inpt)'!$D$42:$U$73,18,0),IF($C$2='ASE Target vs Ach(Spares)(Inpt)'!$X$5,VLOOKUP(D12,'ASE Target vs Ach(Spares)(Inpt)'!$D$42:$X$73,21,0),IF($C$2='ASE Target vs Ach(Spares)(Inpt)'!$AA$5,VLOOKUP(D12,'ASE Target vs Ach(Spares)(Inpt)'!$D$42:$AA$73,24,0),IF($C$2='ASE Target vs Ach(Spares)(Inpt)'!$AD$5,VLOOKUP(D12,'ASE Target vs Ach(Spares)(Inpt)'!$D$42:$AD$73,27,0),IF($C$2='ASE Target vs Ach(Spares)(Inpt)'!$AG$5,VLOOKUP(D12,'ASE Target vs Ach(Spares)(Inpt)'!$D$42:$AG$73,30,0),IF($C$2='ASE Target vs Ach(Spares)(Inpt)'!$AJ$5,VLOOKUP(D12,'ASE Target vs Ach(Spares)(Inpt)'!$D$42:$AJ$73,33,0),IF($C$2='ASE Target vs Ach(Spares)(Inpt)'!$AM$5,VLOOKUP(D12,'ASE Target vs Ach(Spares)(Inpt)'!$D$42:$AM$73,36,0),"N/A"))))))))))))</f>
        <v>450000</v>
      </c>
      <c r="K12" s="17">
        <f>IF($C$2='ASE Target vs Ach(Spares)(Inpt)'!$F$5,VLOOKUP(D12,'ASE Target vs Ach(Spares)(Inpt)'!$D$42:$G$73,4,0),IF($C$2='ASE Target vs Ach(Spares)(Inpt)'!$I$5,VLOOKUP(D12,'ASE Target vs Ach(Spares)(Inpt)'!$D$42:$J$73,7,0),IF($C$2='ASE Target vs Ach(Spares)(Inpt)'!$L$5,VLOOKUP(D12,'ASE Target vs Ach(Spares)(Inpt)'!$D$42:$M$73,10,0),IF($C$2='ASE Target vs Ach(Spares)(Inpt)'!$O$5,VLOOKUP(D12,'ASE Target vs Ach(Spares)(Inpt)'!$D$42:$P$73,13,0),IF($C$2='ASE Target vs Ach(Spares)(Inpt)'!$R$5,VLOOKUP(D12,'ASE Target vs Ach(Spares)(Inpt)'!$D$42:$S$73,16,0),IF($C$2='ASE Target vs Ach(Spares)(Inpt)'!$U$5,VLOOKUP(D12,'ASE Target vs Ach(Spares)(Inpt)'!$D$42:$V$73,19,0),IF($C$2='ASE Target vs Ach(Spares)(Inpt)'!$X$5,VLOOKUP(D12,'ASE Target vs Ach(Spares)(Inpt)'!$D$42:$Y$73,22,0),IF($C$2='ASE Target vs Ach(Spares)(Inpt)'!$AA$5,VLOOKUP(D12,'ASE Target vs Ach(Spares)(Inpt)'!$D$42:$AB$73,25,0),IF($C$2='ASE Target vs Ach(Spares)(Inpt)'!$AD$5,VLOOKUP(D12,'ASE Target vs Ach(Spares)(Inpt)'!$D$42:$AE$73,28,0),IF($C$2='ASE Target vs Ach(Spares)(Inpt)'!$AG$5,VLOOKUP(D12,'ASE Target vs Ach(Spares)(Inpt)'!$D$42:$AH$73,31,0),IF($C$2='ASE Target vs Ach(Spares)(Inpt)'!$AJ$5,VLOOKUP(D12,'ASE Target vs Ach(Spares)(Inpt)'!$D$42:$AK$73,34,0),IF($C$2='ASE Target vs Ach(Spares)(Inpt)'!$AM$5,VLOOKUP(D12,'ASE Target vs Ach(Spares)(Inpt)'!$D$42:$AN$73,37,0),"N/A"))))))))))))</f>
        <v>764379</v>
      </c>
      <c r="L12" s="18">
        <f t="shared" si="1"/>
        <v>1.69862</v>
      </c>
      <c r="M12" s="19" t="str">
        <f t="shared" si="2"/>
        <v>Eligible</v>
      </c>
      <c r="N12" s="17">
        <f>IF(M12="Eligible",IF(K12&lt;Condition!$E$4,0,IF(K12=Condition!$E$4,Condition!$C$4*K12,IF(K12&lt;Condition!$F$4,Condition!$C$4*K12,IF(K12=Condition!$F$4,Condition!$C$5*K12,IF(K12&lt;Condition!$F$5,Condition!$C$5*K12,IF(K12=Condition!$F$5,Condition!$C$6*K12,IF(K12&lt;Condition!$F$6,Condition!$C$6*K12,IF(K12=Condition!$F$6,Condition!$C$7*K12,IF(K12&lt;Condition!$F$7,Condition!$C$7*K12,IF(K12=Condition!$F$7,Condition!$C$8*K12,IF(K12&lt;Condition!$F$8,Condition!$C$8*K12,IF(K12=Condition!$F$8,Condition!$C$9*K12,IF(K12&lt;Condition!$F$9,Condition!$C$9*K12,IF(K12=Condition!$F$9,Condition!$C$10*K12,IF(K12&gt;Condition!$F$10,Condition!$C$10*K12,""))))))))))))))),"")</f>
        <v>24842.317500000001</v>
      </c>
      <c r="O12" s="142">
        <f>IF(M12="Eligible",IF(K12&lt;Condition!$E$4,0,IF(K12=Condition!$E$4,Condition!$D$4,IF(K12&lt;Condition!$F$4,Condition!$D$4,IF(K12=Condition!$F$4,Condition!$D$5,IF(K12&lt;Condition!$F$5,Condition!$D$5,IF(K12=Condition!$F$5,Condition!$D$6,IF(K12&lt;Condition!$F$6,Condition!$D$6,IF(K12=Condition!$F$6,Condition!$D$7,IF(K12&lt;Condition!$F$7,Condition!$D$7,IF(K12=Condition!$F$7,Condition!$D$8,IF(K12&lt;Condition!$F$8,Condition!$D$8,IF(K12=Condition!$F$8,Condition!$D$9,IF(K12&lt;Condition!$F$9,Condition!$D$9,IF(K12=Condition!$F$9,Condition!$D$10,IF(K12&gt;Condition!$F$10,Condition!$D$10,""))))))))))))))),"")</f>
        <v>2500</v>
      </c>
      <c r="P12" s="142">
        <f t="shared" si="3"/>
        <v>3143.79</v>
      </c>
      <c r="Q12" s="117">
        <f>VLOOKUP(D12,'ASE Ach(Lube Oil Sales)'!$D$5:$F$40,3,0)</f>
        <v>300</v>
      </c>
      <c r="R12" s="17">
        <f>Q12*Condition!$E$27</f>
        <v>1500</v>
      </c>
      <c r="S12" s="142">
        <f>VLOOKUP(D12,'ASE Ach (Service)(Input)'!$D$5:$F$34,3,0)</f>
        <v>186389</v>
      </c>
      <c r="T12" s="142">
        <f>VLOOKUP(D12,'ASE Ach (Service)(Input)'!$D$5:$G$34,4,0)</f>
        <v>0</v>
      </c>
      <c r="U12" s="142">
        <f>VLOOKUP(D12,'ASE Ach (Service)(Input)'!$D$48:$F$79,3,0)</f>
        <v>7750</v>
      </c>
      <c r="V12" s="142">
        <f>VLOOKUP(D12,'ASE Ach (Service)(Input)'!$D$48:$G$79,4,0)</f>
        <v>0</v>
      </c>
      <c r="W12" s="80">
        <f>IF($C$2='ASE Ach (CSA)(Input)'!$F$5,INDEX('ASE Ach (CSA)(Input)'!F:F,MATCH(D12,'ASE Ach (CSA)(Input)'!D:D,0)),IF($C$2='ASE Ach (CSA)(Input)'!$H$5,INDEX('ASE Ach (CSA)(Input)'!H:H,MATCH(D12,'ASE Ach (CSA)(Input)'!D:D,0)),IF($C$2='ASE Ach (CSA)(Input)'!$J$5,INDEX('ASE Ach (CSA)(Input)'!J:J,MATCH(D12,'ASE Ach (CSA)(Input)'!D:D,0)),IF($C$2='ASE Ach (CSA)(Input)'!$L$5,INDEX('ASE Ach (CSA)(Input)'!L:L,MATCH(D12,'ASE Ach (CSA)(Input)'!D:D,0)),IF($C$2='ASE Ach (CSA)(Input)'!$N$5,INDEX('ASE Ach (CSA)(Input)'!N:N,MATCH(D12,'ASE Ach (CSA)(Input)'!D:D,0)),IF($C$2='ASE Ach (CSA)(Input)'!$P$5,INDEX('ASE Ach (CSA)(Input)'!P:P,MATCH(D12,'ASE Ach (CSA)(Input)'!D:D,0)),IF($C$2='ASE Ach (CSA)(Input)'!$R$5,INDEX('ASE Ach (CSA)(Input)'!R:R,MATCH(D12,'ASE Ach (CSA)(Input)'!D:D,0)),IF($C$2='ASE Ach (CSA)(Input)'!$T$5,INDEX('ASE Ach (CSA)(Input)'!T:T,MATCH(D12,'ASE Ach (CSA)(Input)'!D:D,0)),IF($C$2='ASE Ach (CSA)(Input)'!$V$5,INDEX('ASE Ach (CSA)(Input)'!V:V,MATCH(D12,'ASE Ach (CSA)(Input)'!D:D,0)),IF($C$2='ASE Ach (CSA)(Input)'!$X$5,INDEX('ASE Ach (CSA)(Input)'!X:X,MATCH(D12,'ASE Ach (CSA)(Input)'!D:D,0)),IF($C$2='ASE Ach (CSA)(Input)'!$Z$5,INDEX('ASE Ach (CSA)(Input)'!Z:Z,MATCH(D12,'ASE Ach (CSA)(Input)'!D:D,0)),IF($C$2='ASE Ach (CSA)(Input)'!$AB$5,INDEX('ASE Ach (CSA)(Input)'!AB:AB,MATCH(D12,'ASE Ach (CSA)(Input)'!D:D,0)),"N/A"))))))))))))</f>
        <v>0</v>
      </c>
      <c r="X12" s="80">
        <f>IF($C$2='ASE Ach (CSA)(Input)'!$F$5,INDEX('ASE Ach (CSA)(Input)'!G:G,MATCH(D12,'ASE Ach (CSA)(Input)'!D:D,0)),IF($C$2='ASE Ach (CSA)(Input)'!$H$5,INDEX('ASE Ach (CSA)(Input)'!I:I,MATCH(D12,'ASE Ach (CSA)(Input)'!D:D,0)),IF($C$2='ASE Ach (CSA)(Input)'!$J$5,INDEX('ASE Ach (CSA)(Input)'!K:K,MATCH(D12,'ASE Ach (CSA)(Input)'!D:D,0)),IF($C$2='ASE Ach (CSA)(Input)'!$L$5,INDEX('ASE Ach (CSA)(Input)'!M:M,MATCH(D12,'ASE Ach (CSA)(Input)'!D:D,0)),IF($C$2='ASE Ach (CSA)(Input)'!$N$5,INDEX('ASE Ach (CSA)(Input)'!O:O,MATCH(D12,'ASE Ach (CSA)(Input)'!D:D,0)),IF($C$2='ASE Ach (CSA)(Input)'!$P$5,INDEX('ASE Ach (CSA)(Input)'!Q:Q,MATCH(D12,'ASE Ach (CSA)(Input)'!D:D,0)),IF($C$2='ASE Ach (CSA)(Input)'!$R$5,INDEX('ASE Ach (CSA)(Input)'!S:S,MATCH(D12,'ASE Ach (CSA)(Input)'!D:D,0)),IF($C$2='ASE Ach (CSA)(Input)'!$T$5,INDEX('ASE Ach (CSA)(Input)'!U:U,MATCH(D12,'ASE Ach (CSA)(Input)'!D:D,0)),IF($C$2='ASE Ach (CSA)(Input)'!$V$5,INDEX('ASE Ach (CSA)(Input)'!W:W,MATCH(D12,'ASE Ach (CSA)(Input)'!D:D,0)),IF($C$2='ASE Ach (CSA)(Input)'!$X$5,INDEX('ASE Ach (CSA)(Input)'!Y:Y,MATCH(D12,'ASE Ach (CSA)(Input)'!D:D,0)),IF($C$2='ASE Ach (CSA)(Input)'!$Z$5,INDEX('ASE Ach (CSA)(Input)'!AA:AA,MATCH(D12,'ASE Ach (CSA)(Input)'!D:D,0)),IF($C$2='ASE Ach (CSA)(Input)'!$AB$5,INDEX('ASE Ach (CSA)(Input)'!AC:AC,MATCH(D12,'ASE Ach (CSA)(Input)'!D:D,0)),"N/A"))))))))))))</f>
        <v>0</v>
      </c>
      <c r="Y12" s="142">
        <f>W12*Condition!$C$23+'Monthly Summary (No Input)'!X12*Condition!$E$24</f>
        <v>0</v>
      </c>
      <c r="Z12" s="17">
        <f t="shared" si="4"/>
        <v>39736.107499999998</v>
      </c>
    </row>
    <row r="13" spans="2:26" x14ac:dyDescent="0.25">
      <c r="B13" s="15">
        <f>'ASE Target (Spares), FY 21-22'!A11</f>
        <v>6</v>
      </c>
      <c r="C13" s="15" t="str">
        <f>IF('ASE Target (Spares), FY 21-22'!B11=0,"",'ASE Target (Spares), FY 21-22'!B11)</f>
        <v>DSL-DHK</v>
      </c>
      <c r="D13" s="16" t="str">
        <f>'ASE Target (Spares), FY 21-22'!C11</f>
        <v>Md. Rakibul Hasan</v>
      </c>
      <c r="E13" s="15">
        <f>IF('ASE Target (Spares), FY 21-22'!D11=0,"",'ASE Target (Spares), FY 21-22'!D11)</f>
        <v>2927</v>
      </c>
      <c r="F13" s="17">
        <f>IFERROR(VLOOKUP(E13,'ASE Target (Spares), FY 21-22'!$D$5:$G$260,4,0),"")</f>
        <v>1900000</v>
      </c>
      <c r="G13" s="17">
        <f>IF($C$2='ASE Target vs Ach(Spares)(Inpt)'!$F$5,VLOOKUP(D13,'ASE Target vs Ach(Spares)(Inpt)'!$D$6:$F$37,3,0),IF($C$2='ASE Target vs Ach(Spares)(Inpt)'!$I$5,VLOOKUP(D13,'ASE Target vs Ach(Spares)(Inpt)'!$D$6:$I$37,6,0),IF($C$2='ASE Target vs Ach(Spares)(Inpt)'!$L$5,VLOOKUP(D13,'ASE Target vs Ach(Spares)(Inpt)'!$D$6:$L$37,9,0),IF($C$2='ASE Target vs Ach(Spares)(Inpt)'!$O$5,VLOOKUP(D13,'ASE Target vs Ach(Spares)(Inpt)'!$D$6:$O$37,12,0),IF($C$2='ASE Target vs Ach(Spares)(Inpt)'!$R$5,VLOOKUP(D13,'ASE Target vs Ach(Spares)(Inpt)'!$D$6:$R$37,15,0),IF($C$2='ASE Target vs Ach(Spares)(Inpt)'!$U$5,VLOOKUP(D13,'ASE Target vs Ach(Spares)(Inpt)'!$D$6:$U$37,18,0),IF($C$2='ASE Target vs Ach(Spares)(Inpt)'!$X$5,VLOOKUP(D13,'ASE Target vs Ach(Spares)(Inpt)'!$D$6:$X$37,21,0),IF($C$2='ASE Target vs Ach(Spares)(Inpt)'!$AA$5,VLOOKUP(D13,'ASE Target vs Ach(Spares)(Inpt)'!$D$6:$AA$37,24,0),IF($C$2='ASE Target vs Ach(Spares)(Inpt)'!$AD$5,VLOOKUP(D13,'ASE Target vs Ach(Spares)(Inpt)'!$D$6:$AD$37,27,0),IF($C$2='ASE Target vs Ach(Spares)(Inpt)'!$AG$5,VLOOKUP(D13,'ASE Target vs Ach(Spares)(Inpt)'!$D$6:$AG$37,30,0),IF($C$2='ASE Target vs Ach(Spares)(Inpt)'!$AJ$5,VLOOKUP(D13,'ASE Target vs Ach(Spares)(Inpt)'!$D$6:$AJ$37,33,0),IF($C$2='ASE Target vs Ach(Spares)(Inpt)'!$AM$5,VLOOKUP(D13,'ASE Target vs Ach(Spares)(Inpt)'!$D$6:$AM$37,36,0),"N/A"))))))))))))</f>
        <v>300000</v>
      </c>
      <c r="H13" s="17">
        <f>IF($C$2='ASE Target vs Ach(Spares)(Inpt)'!$F$5,VLOOKUP(D13,'ASE Target vs Ach(Spares)(Inpt)'!$D$6:$G$37,4,0),IF($C$2='ASE Target vs Ach(Spares)(Inpt)'!$I$5,VLOOKUP(D13,'ASE Target vs Ach(Spares)(Inpt)'!$D$6:$J$37,7,0),IF($C$2='ASE Target vs Ach(Spares)(Inpt)'!$L$5,VLOOKUP(D13,'ASE Target vs Ach(Spares)(Inpt)'!$D$6:$M$37,10,0),IF($C$2='ASE Target vs Ach(Spares)(Inpt)'!$O$5,VLOOKUP(D13,'ASE Target vs Ach(Spares)(Inpt)'!$D$6:$P$37,13,0),IF($C$2='ASE Target vs Ach(Spares)(Inpt)'!$R$5,VLOOKUP(D13,'ASE Target vs Ach(Spares)(Inpt)'!$D$6:$S$37,16,0),IF($C$2='ASE Target vs Ach(Spares)(Inpt)'!$U$5,VLOOKUP(D13,'ASE Target vs Ach(Spares)(Inpt)'!$D$6:$V$37,19,0),IF($C$2='ASE Target vs Ach(Spares)(Inpt)'!$X$5,VLOOKUP(D13,'ASE Target vs Ach(Spares)(Inpt)'!$D$6:$Y$37,22,0),IF($C$2='ASE Target vs Ach(Spares)(Inpt)'!$AA$5,VLOOKUP(D13,'ASE Target vs Ach(Spares)(Inpt)'!$D$6:$AB$37,25,0),IF($C$2='ASE Target vs Ach(Spares)(Inpt)'!$AD$5,VLOOKUP(D13,'ASE Target vs Ach(Spares)(Inpt)'!$D$6:$AE$37,28,0),IF($C$2='ASE Target vs Ach(Spares)(Inpt)'!$AG$5,VLOOKUP(D13,'ASE Target vs Ach(Spares)(Inpt)'!$D$6:$AH$37,31,0),IF($C$2='ASE Target vs Ach(Spares)(Inpt)'!$AJ$5,VLOOKUP(D13,'ASE Target vs Ach(Spares)(Inpt)'!$D$6:$AK$37,34,0),IF($C$2='ASE Target vs Ach(Spares)(Inpt)'!$AM$5,VLOOKUP(D13,'ASE Target vs Ach(Spares)(Inpt)'!$D$6:$AN$37,37,0),"N/A"))))))))))))</f>
        <v>1061650</v>
      </c>
      <c r="I13" s="18">
        <f t="shared" si="0"/>
        <v>3.5388333333333333</v>
      </c>
      <c r="J13" s="17">
        <f>IF($C$2='ASE Target vs Ach(Spares)(Inpt)'!$F$5,VLOOKUP(D13,'ASE Target vs Ach(Spares)(Inpt)'!$D$42:$F$73,3,0),IF($C$2='ASE Target vs Ach(Spares)(Inpt)'!$I$5,VLOOKUP(D13,'ASE Target vs Ach(Spares)(Inpt)'!$D$42:$I$73,6,0),IF($C$2='ASE Target vs Ach(Spares)(Inpt)'!$L$5,VLOOKUP(D13,'ASE Target vs Ach(Spares)(Inpt)'!$D$42:$L$73,9,0),IF($C$2='ASE Target vs Ach(Spares)(Inpt)'!$O$5,VLOOKUP(D13,'ASE Target vs Ach(Spares)(Inpt)'!$D$42:$O$73,12,0),IF($C$2='ASE Target vs Ach(Spares)(Inpt)'!$R$5,VLOOKUP(D13,'ASE Target vs Ach(Spares)(Inpt)'!$D$42:$R$73,15,0),IF($C$2='ASE Target vs Ach(Spares)(Inpt)'!$U$5,VLOOKUP(D13,'ASE Target vs Ach(Spares)(Inpt)'!$D$42:$U$73,18,0),IF($C$2='ASE Target vs Ach(Spares)(Inpt)'!$X$5,VLOOKUP(D13,'ASE Target vs Ach(Spares)(Inpt)'!$D$42:$X$73,21,0),IF($C$2='ASE Target vs Ach(Spares)(Inpt)'!$AA$5,VLOOKUP(D13,'ASE Target vs Ach(Spares)(Inpt)'!$D$42:$AA$73,24,0),IF($C$2='ASE Target vs Ach(Spares)(Inpt)'!$AD$5,VLOOKUP(D13,'ASE Target vs Ach(Spares)(Inpt)'!$D$42:$AD$73,27,0),IF($C$2='ASE Target vs Ach(Spares)(Inpt)'!$AG$5,VLOOKUP(D13,'ASE Target vs Ach(Spares)(Inpt)'!$D$42:$AG$73,30,0),IF($C$2='ASE Target vs Ach(Spares)(Inpt)'!$AJ$5,VLOOKUP(D13,'ASE Target vs Ach(Spares)(Inpt)'!$D$42:$AJ$73,33,0),IF($C$2='ASE Target vs Ach(Spares)(Inpt)'!$AM$5,VLOOKUP(D13,'ASE Target vs Ach(Spares)(Inpt)'!$D$42:$AM$73,36,0),"N/A"))))))))))))</f>
        <v>135000</v>
      </c>
      <c r="K13" s="17">
        <f>IF($C$2='ASE Target vs Ach(Spares)(Inpt)'!$F$5,VLOOKUP(D13,'ASE Target vs Ach(Spares)(Inpt)'!$D$42:$G$73,4,0),IF($C$2='ASE Target vs Ach(Spares)(Inpt)'!$I$5,VLOOKUP(D13,'ASE Target vs Ach(Spares)(Inpt)'!$D$42:$J$73,7,0),IF($C$2='ASE Target vs Ach(Spares)(Inpt)'!$L$5,VLOOKUP(D13,'ASE Target vs Ach(Spares)(Inpt)'!$D$42:$M$73,10,0),IF($C$2='ASE Target vs Ach(Spares)(Inpt)'!$O$5,VLOOKUP(D13,'ASE Target vs Ach(Spares)(Inpt)'!$D$42:$P$73,13,0),IF($C$2='ASE Target vs Ach(Spares)(Inpt)'!$R$5,VLOOKUP(D13,'ASE Target vs Ach(Spares)(Inpt)'!$D$42:$S$73,16,0),IF($C$2='ASE Target vs Ach(Spares)(Inpt)'!$U$5,VLOOKUP(D13,'ASE Target vs Ach(Spares)(Inpt)'!$D$42:$V$73,19,0),IF($C$2='ASE Target vs Ach(Spares)(Inpt)'!$X$5,VLOOKUP(D13,'ASE Target vs Ach(Spares)(Inpt)'!$D$42:$Y$73,22,0),IF($C$2='ASE Target vs Ach(Spares)(Inpt)'!$AA$5,VLOOKUP(D13,'ASE Target vs Ach(Spares)(Inpt)'!$D$42:$AB$73,25,0),IF($C$2='ASE Target vs Ach(Spares)(Inpt)'!$AD$5,VLOOKUP(D13,'ASE Target vs Ach(Spares)(Inpt)'!$D$42:$AE$73,28,0),IF($C$2='ASE Target vs Ach(Spares)(Inpt)'!$AG$5,VLOOKUP(D13,'ASE Target vs Ach(Spares)(Inpt)'!$D$42:$AH$73,31,0),IF($C$2='ASE Target vs Ach(Spares)(Inpt)'!$AJ$5,VLOOKUP(D13,'ASE Target vs Ach(Spares)(Inpt)'!$D$42:$AK$73,34,0),IF($C$2='ASE Target vs Ach(Spares)(Inpt)'!$AM$5,VLOOKUP(D13,'ASE Target vs Ach(Spares)(Inpt)'!$D$42:$AN$73,37,0),"N/A"))))))))))))</f>
        <v>517716</v>
      </c>
      <c r="L13" s="18">
        <f t="shared" si="1"/>
        <v>3.8349333333333333</v>
      </c>
      <c r="M13" s="19" t="str">
        <f t="shared" si="2"/>
        <v>Eligible</v>
      </c>
      <c r="N13" s="17">
        <f>IF(M13="Eligible",IF(K13&lt;Condition!$E$4,0,IF(K13=Condition!$E$4,Condition!$C$4*K13,IF(K13&lt;Condition!$F$4,Condition!$C$4*K13,IF(K13=Condition!$F$4,Condition!$C$5*K13,IF(K13&lt;Condition!$F$5,Condition!$C$5*K13,IF(K13=Condition!$F$5,Condition!$C$6*K13,IF(K13&lt;Condition!$F$6,Condition!$C$6*K13,IF(K13=Condition!$F$6,Condition!$C$7*K13,IF(K13&lt;Condition!$F$7,Condition!$C$7*K13,IF(K13=Condition!$F$7,Condition!$C$8*K13,IF(K13&lt;Condition!$F$8,Condition!$C$8*K13,IF(K13=Condition!$F$8,Condition!$C$9*K13,IF(K13&lt;Condition!$F$9,Condition!$C$9*K13,IF(K13=Condition!$F$9,Condition!$C$10*K13,IF(K13&gt;Condition!$F$10,Condition!$C$10*K13,""))))))))))))))),"")</f>
        <v>15531.48</v>
      </c>
      <c r="O13" s="142">
        <f>IF(M13="Eligible",IF(K13&lt;Condition!$E$4,0,IF(K13=Condition!$E$4,Condition!$D$4,IF(K13&lt;Condition!$F$4,Condition!$D$4,IF(K13=Condition!$F$4,Condition!$D$5,IF(K13&lt;Condition!$F$5,Condition!$D$5,IF(K13=Condition!$F$5,Condition!$D$6,IF(K13&lt;Condition!$F$6,Condition!$D$6,IF(K13=Condition!$F$6,Condition!$D$7,IF(K13&lt;Condition!$F$7,Condition!$D$7,IF(K13=Condition!$F$7,Condition!$D$8,IF(K13&lt;Condition!$F$8,Condition!$D$8,IF(K13=Condition!$F$8,Condition!$D$9,IF(K13&lt;Condition!$F$9,Condition!$D$9,IF(K13=Condition!$F$9,Condition!$D$10,IF(K13&gt;Condition!$F$10,Condition!$D$10,""))))))))))))))),"")</f>
        <v>2000</v>
      </c>
      <c r="P13" s="142">
        <f t="shared" si="3"/>
        <v>3827.16</v>
      </c>
      <c r="Q13" s="117">
        <f>VLOOKUP(D13,'ASE Ach(Lube Oil Sales)'!$D$5:$F$40,3,0)</f>
        <v>110</v>
      </c>
      <c r="R13" s="17">
        <f>Q13*Condition!$E$27</f>
        <v>550</v>
      </c>
      <c r="S13" s="142">
        <f>VLOOKUP(D13,'ASE Ach (Service)(Input)'!$D$5:$F$34,3,0)</f>
        <v>184700</v>
      </c>
      <c r="T13" s="142">
        <f>VLOOKUP(D13,'ASE Ach (Service)(Input)'!$D$5:$G$34,4,0)</f>
        <v>9554</v>
      </c>
      <c r="U13" s="142">
        <f>VLOOKUP(D13,'ASE Ach (Service)(Input)'!$D$48:$F$79,3,0)</f>
        <v>2750</v>
      </c>
      <c r="V13" s="142">
        <f>VLOOKUP(D13,'ASE Ach (Service)(Input)'!$D$48:$G$79,4,0)</f>
        <v>700</v>
      </c>
      <c r="W13" s="80">
        <f>IF($C$2='ASE Ach (CSA)(Input)'!$F$5,INDEX('ASE Ach (CSA)(Input)'!F:F,MATCH(D13,'ASE Ach (CSA)(Input)'!D:D,0)),IF($C$2='ASE Ach (CSA)(Input)'!$H$5,INDEX('ASE Ach (CSA)(Input)'!H:H,MATCH(D13,'ASE Ach (CSA)(Input)'!D:D,0)),IF($C$2='ASE Ach (CSA)(Input)'!$J$5,INDEX('ASE Ach (CSA)(Input)'!J:J,MATCH(D13,'ASE Ach (CSA)(Input)'!D:D,0)),IF($C$2='ASE Ach (CSA)(Input)'!$L$5,INDEX('ASE Ach (CSA)(Input)'!L:L,MATCH(D13,'ASE Ach (CSA)(Input)'!D:D,0)),IF($C$2='ASE Ach (CSA)(Input)'!$N$5,INDEX('ASE Ach (CSA)(Input)'!N:N,MATCH(D13,'ASE Ach (CSA)(Input)'!D:D,0)),IF($C$2='ASE Ach (CSA)(Input)'!$P$5,INDEX('ASE Ach (CSA)(Input)'!P:P,MATCH(D13,'ASE Ach (CSA)(Input)'!D:D,0)),IF($C$2='ASE Ach (CSA)(Input)'!$R$5,INDEX('ASE Ach (CSA)(Input)'!R:R,MATCH(D13,'ASE Ach (CSA)(Input)'!D:D,0)),IF($C$2='ASE Ach (CSA)(Input)'!$T$5,INDEX('ASE Ach (CSA)(Input)'!T:T,MATCH(D13,'ASE Ach (CSA)(Input)'!D:D,0)),IF($C$2='ASE Ach (CSA)(Input)'!$V$5,INDEX('ASE Ach (CSA)(Input)'!V:V,MATCH(D13,'ASE Ach (CSA)(Input)'!D:D,0)),IF($C$2='ASE Ach (CSA)(Input)'!$X$5,INDEX('ASE Ach (CSA)(Input)'!X:X,MATCH(D13,'ASE Ach (CSA)(Input)'!D:D,0)),IF($C$2='ASE Ach (CSA)(Input)'!$Z$5,INDEX('ASE Ach (CSA)(Input)'!Z:Z,MATCH(D13,'ASE Ach (CSA)(Input)'!D:D,0)),IF($C$2='ASE Ach (CSA)(Input)'!$AB$5,INDEX('ASE Ach (CSA)(Input)'!AB:AB,MATCH(D13,'ASE Ach (CSA)(Input)'!D:D,0)),"N/A"))))))))))))</f>
        <v>0</v>
      </c>
      <c r="X13" s="80">
        <f>IF($C$2='ASE Ach (CSA)(Input)'!$F$5,INDEX('ASE Ach (CSA)(Input)'!G:G,MATCH(D13,'ASE Ach (CSA)(Input)'!D:D,0)),IF($C$2='ASE Ach (CSA)(Input)'!$H$5,INDEX('ASE Ach (CSA)(Input)'!I:I,MATCH(D13,'ASE Ach (CSA)(Input)'!D:D,0)),IF($C$2='ASE Ach (CSA)(Input)'!$J$5,INDEX('ASE Ach (CSA)(Input)'!K:K,MATCH(D13,'ASE Ach (CSA)(Input)'!D:D,0)),IF($C$2='ASE Ach (CSA)(Input)'!$L$5,INDEX('ASE Ach (CSA)(Input)'!M:M,MATCH(D13,'ASE Ach (CSA)(Input)'!D:D,0)),IF($C$2='ASE Ach (CSA)(Input)'!$N$5,INDEX('ASE Ach (CSA)(Input)'!O:O,MATCH(D13,'ASE Ach (CSA)(Input)'!D:D,0)),IF($C$2='ASE Ach (CSA)(Input)'!$P$5,INDEX('ASE Ach (CSA)(Input)'!Q:Q,MATCH(D13,'ASE Ach (CSA)(Input)'!D:D,0)),IF($C$2='ASE Ach (CSA)(Input)'!$R$5,INDEX('ASE Ach (CSA)(Input)'!S:S,MATCH(D13,'ASE Ach (CSA)(Input)'!D:D,0)),IF($C$2='ASE Ach (CSA)(Input)'!$T$5,INDEX('ASE Ach (CSA)(Input)'!U:U,MATCH(D13,'ASE Ach (CSA)(Input)'!D:D,0)),IF($C$2='ASE Ach (CSA)(Input)'!$V$5,INDEX('ASE Ach (CSA)(Input)'!W:W,MATCH(D13,'ASE Ach (CSA)(Input)'!D:D,0)),IF($C$2='ASE Ach (CSA)(Input)'!$X$5,INDEX('ASE Ach (CSA)(Input)'!Y:Y,MATCH(D13,'ASE Ach (CSA)(Input)'!D:D,0)),IF($C$2='ASE Ach (CSA)(Input)'!$Z$5,INDEX('ASE Ach (CSA)(Input)'!AA:AA,MATCH(D13,'ASE Ach (CSA)(Input)'!D:D,0)),IF($C$2='ASE Ach (CSA)(Input)'!$AB$5,INDEX('ASE Ach (CSA)(Input)'!AC:AC,MATCH(D13,'ASE Ach (CSA)(Input)'!D:D,0)),"N/A"))))))))))))</f>
        <v>0</v>
      </c>
      <c r="Y13" s="142">
        <f>W13*Condition!$C$23+'Monthly Summary (No Input)'!X13*Condition!$E$24</f>
        <v>0</v>
      </c>
      <c r="Z13" s="17">
        <f t="shared" si="4"/>
        <v>25358.639999999999</v>
      </c>
    </row>
    <row r="14" spans="2:26" x14ac:dyDescent="0.25">
      <c r="B14" s="15">
        <f>'ASE Target (Spares), FY 21-22'!A12</f>
        <v>7</v>
      </c>
      <c r="C14" s="15" t="str">
        <f>IF('ASE Target (Spares), FY 21-22'!B12=0,"",'ASE Target (Spares), FY 21-22'!B12)</f>
        <v>DSL-DHK</v>
      </c>
      <c r="D14" s="16" t="str">
        <f>'ASE Target (Spares), FY 21-22'!C12</f>
        <v>Md Ariful Islam</v>
      </c>
      <c r="E14" s="15">
        <f>IF('ASE Target (Spares), FY 21-22'!D12=0,"",'ASE Target (Spares), FY 21-22'!D12)</f>
        <v>2699</v>
      </c>
      <c r="F14" s="17">
        <f>IFERROR(VLOOKUP(E14,'ASE Target (Spares), FY 21-22'!$D$5:$G$260,4,0),"")</f>
        <v>2000000</v>
      </c>
      <c r="G14" s="17">
        <f>IF($C$2='ASE Target vs Ach(Spares)(Inpt)'!$F$5,VLOOKUP(D14,'ASE Target vs Ach(Spares)(Inpt)'!$D$6:$F$37,3,0),IF($C$2='ASE Target vs Ach(Spares)(Inpt)'!$I$5,VLOOKUP(D14,'ASE Target vs Ach(Spares)(Inpt)'!$D$6:$I$37,6,0),IF($C$2='ASE Target vs Ach(Spares)(Inpt)'!$L$5,VLOOKUP(D14,'ASE Target vs Ach(Spares)(Inpt)'!$D$6:$L$37,9,0),IF($C$2='ASE Target vs Ach(Spares)(Inpt)'!$O$5,VLOOKUP(D14,'ASE Target vs Ach(Spares)(Inpt)'!$D$6:$O$37,12,0),IF($C$2='ASE Target vs Ach(Spares)(Inpt)'!$R$5,VLOOKUP(D14,'ASE Target vs Ach(Spares)(Inpt)'!$D$6:$R$37,15,0),IF($C$2='ASE Target vs Ach(Spares)(Inpt)'!$U$5,VLOOKUP(D14,'ASE Target vs Ach(Spares)(Inpt)'!$D$6:$U$37,18,0),IF($C$2='ASE Target vs Ach(Spares)(Inpt)'!$X$5,VLOOKUP(D14,'ASE Target vs Ach(Spares)(Inpt)'!$D$6:$X$37,21,0),IF($C$2='ASE Target vs Ach(Spares)(Inpt)'!$AA$5,VLOOKUP(D14,'ASE Target vs Ach(Spares)(Inpt)'!$D$6:$AA$37,24,0),IF($C$2='ASE Target vs Ach(Spares)(Inpt)'!$AD$5,VLOOKUP(D14,'ASE Target vs Ach(Spares)(Inpt)'!$D$6:$AD$37,27,0),IF($C$2='ASE Target vs Ach(Spares)(Inpt)'!$AG$5,VLOOKUP(D14,'ASE Target vs Ach(Spares)(Inpt)'!$D$6:$AG$37,30,0),IF($C$2='ASE Target vs Ach(Spares)(Inpt)'!$AJ$5,VLOOKUP(D14,'ASE Target vs Ach(Spares)(Inpt)'!$D$6:$AJ$37,33,0),IF($C$2='ASE Target vs Ach(Spares)(Inpt)'!$AM$5,VLOOKUP(D14,'ASE Target vs Ach(Spares)(Inpt)'!$D$6:$AM$37,36,0),"N/A"))))))))))))</f>
        <v>400000</v>
      </c>
      <c r="H14" s="17">
        <f>IF($C$2='ASE Target vs Ach(Spares)(Inpt)'!$F$5,VLOOKUP(D14,'ASE Target vs Ach(Spares)(Inpt)'!$D$6:$G$37,4,0),IF($C$2='ASE Target vs Ach(Spares)(Inpt)'!$I$5,VLOOKUP(D14,'ASE Target vs Ach(Spares)(Inpt)'!$D$6:$J$37,7,0),IF($C$2='ASE Target vs Ach(Spares)(Inpt)'!$L$5,VLOOKUP(D14,'ASE Target vs Ach(Spares)(Inpt)'!$D$6:$M$37,10,0),IF($C$2='ASE Target vs Ach(Spares)(Inpt)'!$O$5,VLOOKUP(D14,'ASE Target vs Ach(Spares)(Inpt)'!$D$6:$P$37,13,0),IF($C$2='ASE Target vs Ach(Spares)(Inpt)'!$R$5,VLOOKUP(D14,'ASE Target vs Ach(Spares)(Inpt)'!$D$6:$S$37,16,0),IF($C$2='ASE Target vs Ach(Spares)(Inpt)'!$U$5,VLOOKUP(D14,'ASE Target vs Ach(Spares)(Inpt)'!$D$6:$V$37,19,0),IF($C$2='ASE Target vs Ach(Spares)(Inpt)'!$X$5,VLOOKUP(D14,'ASE Target vs Ach(Spares)(Inpt)'!$D$6:$Y$37,22,0),IF($C$2='ASE Target vs Ach(Spares)(Inpt)'!$AA$5,VLOOKUP(D14,'ASE Target vs Ach(Spares)(Inpt)'!$D$6:$AB$37,25,0),IF($C$2='ASE Target vs Ach(Spares)(Inpt)'!$AD$5,VLOOKUP(D14,'ASE Target vs Ach(Spares)(Inpt)'!$D$6:$AE$37,28,0),IF($C$2='ASE Target vs Ach(Spares)(Inpt)'!$AG$5,VLOOKUP(D14,'ASE Target vs Ach(Spares)(Inpt)'!$D$6:$AH$37,31,0),IF($C$2='ASE Target vs Ach(Spares)(Inpt)'!$AJ$5,VLOOKUP(D14,'ASE Target vs Ach(Spares)(Inpt)'!$D$6:$AK$37,34,0),IF($C$2='ASE Target vs Ach(Spares)(Inpt)'!$AM$5,VLOOKUP(D14,'ASE Target vs Ach(Spares)(Inpt)'!$D$6:$AN$37,37,0),"N/A"))))))))))))</f>
        <v>0</v>
      </c>
      <c r="I14" s="18">
        <f t="shared" si="0"/>
        <v>0</v>
      </c>
      <c r="J14" s="17">
        <f>IF($C$2='ASE Target vs Ach(Spares)(Inpt)'!$F$5,VLOOKUP(D14,'ASE Target vs Ach(Spares)(Inpt)'!$D$42:$F$73,3,0),IF($C$2='ASE Target vs Ach(Spares)(Inpt)'!$I$5,VLOOKUP(D14,'ASE Target vs Ach(Spares)(Inpt)'!$D$42:$I$73,6,0),IF($C$2='ASE Target vs Ach(Spares)(Inpt)'!$L$5,VLOOKUP(D14,'ASE Target vs Ach(Spares)(Inpt)'!$D$42:$L$73,9,0),IF($C$2='ASE Target vs Ach(Spares)(Inpt)'!$O$5,VLOOKUP(D14,'ASE Target vs Ach(Spares)(Inpt)'!$D$42:$O$73,12,0),IF($C$2='ASE Target vs Ach(Spares)(Inpt)'!$R$5,VLOOKUP(D14,'ASE Target vs Ach(Spares)(Inpt)'!$D$42:$R$73,15,0),IF($C$2='ASE Target vs Ach(Spares)(Inpt)'!$U$5,VLOOKUP(D14,'ASE Target vs Ach(Spares)(Inpt)'!$D$42:$U$73,18,0),IF($C$2='ASE Target vs Ach(Spares)(Inpt)'!$X$5,VLOOKUP(D14,'ASE Target vs Ach(Spares)(Inpt)'!$D$42:$X$73,21,0),IF($C$2='ASE Target vs Ach(Spares)(Inpt)'!$AA$5,VLOOKUP(D14,'ASE Target vs Ach(Spares)(Inpt)'!$D$42:$AA$73,24,0),IF($C$2='ASE Target vs Ach(Spares)(Inpt)'!$AD$5,VLOOKUP(D14,'ASE Target vs Ach(Spares)(Inpt)'!$D$42:$AD$73,27,0),IF($C$2='ASE Target vs Ach(Spares)(Inpt)'!$AG$5,VLOOKUP(D14,'ASE Target vs Ach(Spares)(Inpt)'!$D$42:$AG$73,30,0),IF($C$2='ASE Target vs Ach(Spares)(Inpt)'!$AJ$5,VLOOKUP(D14,'ASE Target vs Ach(Spares)(Inpt)'!$D$42:$AJ$73,33,0),IF($C$2='ASE Target vs Ach(Spares)(Inpt)'!$AM$5,VLOOKUP(D14,'ASE Target vs Ach(Spares)(Inpt)'!$D$42:$AM$73,36,0),"N/A"))))))))))))</f>
        <v>180000</v>
      </c>
      <c r="K14" s="17">
        <f>IF($C$2='ASE Target vs Ach(Spares)(Inpt)'!$F$5,VLOOKUP(D14,'ASE Target vs Ach(Spares)(Inpt)'!$D$42:$G$73,4,0),IF($C$2='ASE Target vs Ach(Spares)(Inpt)'!$I$5,VLOOKUP(D14,'ASE Target vs Ach(Spares)(Inpt)'!$D$42:$J$73,7,0),IF($C$2='ASE Target vs Ach(Spares)(Inpt)'!$L$5,VLOOKUP(D14,'ASE Target vs Ach(Spares)(Inpt)'!$D$42:$M$73,10,0),IF($C$2='ASE Target vs Ach(Spares)(Inpt)'!$O$5,VLOOKUP(D14,'ASE Target vs Ach(Spares)(Inpt)'!$D$42:$P$73,13,0),IF($C$2='ASE Target vs Ach(Spares)(Inpt)'!$R$5,VLOOKUP(D14,'ASE Target vs Ach(Spares)(Inpt)'!$D$42:$S$73,16,0),IF($C$2='ASE Target vs Ach(Spares)(Inpt)'!$U$5,VLOOKUP(D14,'ASE Target vs Ach(Spares)(Inpt)'!$D$42:$V$73,19,0),IF($C$2='ASE Target vs Ach(Spares)(Inpt)'!$X$5,VLOOKUP(D14,'ASE Target vs Ach(Spares)(Inpt)'!$D$42:$Y$73,22,0),IF($C$2='ASE Target vs Ach(Spares)(Inpt)'!$AA$5,VLOOKUP(D14,'ASE Target vs Ach(Spares)(Inpt)'!$D$42:$AB$73,25,0),IF($C$2='ASE Target vs Ach(Spares)(Inpt)'!$AD$5,VLOOKUP(D14,'ASE Target vs Ach(Spares)(Inpt)'!$D$42:$AE$73,28,0),IF($C$2='ASE Target vs Ach(Spares)(Inpt)'!$AG$5,VLOOKUP(D14,'ASE Target vs Ach(Spares)(Inpt)'!$D$42:$AH$73,31,0),IF($C$2='ASE Target vs Ach(Spares)(Inpt)'!$AJ$5,VLOOKUP(D14,'ASE Target vs Ach(Spares)(Inpt)'!$D$42:$AK$73,34,0),IF($C$2='ASE Target vs Ach(Spares)(Inpt)'!$AM$5,VLOOKUP(D14,'ASE Target vs Ach(Spares)(Inpt)'!$D$42:$AN$73,37,0),"N/A"))))))))))))</f>
        <v>0</v>
      </c>
      <c r="L14" s="18">
        <f t="shared" si="1"/>
        <v>0</v>
      </c>
      <c r="M14" s="19" t="str">
        <f t="shared" si="2"/>
        <v>Not Eligible</v>
      </c>
      <c r="N14" s="17" t="str">
        <f>IF(M14="Eligible",IF(K14&lt;Condition!$E$4,0,IF(K14=Condition!$E$4,Condition!$C$4*K14,IF(K14&lt;Condition!$F$4,Condition!$C$4*K14,IF(K14=Condition!$F$4,Condition!$C$5*K14,IF(K14&lt;Condition!$F$5,Condition!$C$5*K14,IF(K14=Condition!$F$5,Condition!$C$6*K14,IF(K14&lt;Condition!$F$6,Condition!$C$6*K14,IF(K14=Condition!$F$6,Condition!$C$7*K14,IF(K14&lt;Condition!$F$7,Condition!$C$7*K14,IF(K14=Condition!$F$7,Condition!$C$8*K14,IF(K14&lt;Condition!$F$8,Condition!$C$8*K14,IF(K14=Condition!$F$8,Condition!$C$9*K14,IF(K14&lt;Condition!$F$9,Condition!$C$9*K14,IF(K14=Condition!$F$9,Condition!$C$10*K14,IF(K14&gt;Condition!$F$10,Condition!$C$10*K14,""))))))))))))))),"")</f>
        <v/>
      </c>
      <c r="O14" s="142" t="str">
        <f>IF(M14="Eligible",IF(K14&lt;Condition!$E$4,0,IF(K14=Condition!$E$4,Condition!$D$4,IF(K14&lt;Condition!$F$4,Condition!$D$4,IF(K14=Condition!$F$4,Condition!$D$5,IF(K14&lt;Condition!$F$5,Condition!$D$5,IF(K14=Condition!$F$5,Condition!$D$6,IF(K14&lt;Condition!$F$6,Condition!$D$6,IF(K14=Condition!$F$6,Condition!$D$7,IF(K14&lt;Condition!$F$7,Condition!$D$7,IF(K14=Condition!$F$7,Condition!$D$8,IF(K14&lt;Condition!$F$8,Condition!$D$8,IF(K14=Condition!$F$8,Condition!$D$9,IF(K14&lt;Condition!$F$9,Condition!$D$9,IF(K14=Condition!$F$9,Condition!$D$10,IF(K14&gt;Condition!$F$10,Condition!$D$10,""))))))))))))))),"")</f>
        <v/>
      </c>
      <c r="P14" s="142" t="str">
        <f t="shared" si="3"/>
        <v/>
      </c>
      <c r="Q14" s="117">
        <f>VLOOKUP(D14,'ASE Ach(Lube Oil Sales)'!$D$5:$F$40,3,0)</f>
        <v>0</v>
      </c>
      <c r="R14" s="17">
        <f>Q14*Condition!$E$27</f>
        <v>0</v>
      </c>
      <c r="S14" s="142">
        <f>VLOOKUP(D14,'ASE Ach (Service)(Input)'!$D$5:$F$34,3,0)</f>
        <v>0</v>
      </c>
      <c r="T14" s="142">
        <f>VLOOKUP(D14,'ASE Ach (Service)(Input)'!$D$5:$G$34,4,0)</f>
        <v>0</v>
      </c>
      <c r="U14" s="142">
        <f>VLOOKUP(D14,'ASE Ach (Service)(Input)'!$D$48:$F$79,3,0)</f>
        <v>0</v>
      </c>
      <c r="V14" s="142">
        <f>VLOOKUP(D14,'ASE Ach (Service)(Input)'!$D$48:$G$79,4,0)</f>
        <v>0</v>
      </c>
      <c r="W14" s="80">
        <f>IF($C$2='ASE Ach (CSA)(Input)'!$F$5,INDEX('ASE Ach (CSA)(Input)'!F:F,MATCH(D14,'ASE Ach (CSA)(Input)'!D:D,0)),IF($C$2='ASE Ach (CSA)(Input)'!$H$5,INDEX('ASE Ach (CSA)(Input)'!H:H,MATCH(D14,'ASE Ach (CSA)(Input)'!D:D,0)),IF($C$2='ASE Ach (CSA)(Input)'!$J$5,INDEX('ASE Ach (CSA)(Input)'!J:J,MATCH(D14,'ASE Ach (CSA)(Input)'!D:D,0)),IF($C$2='ASE Ach (CSA)(Input)'!$L$5,INDEX('ASE Ach (CSA)(Input)'!L:L,MATCH(D14,'ASE Ach (CSA)(Input)'!D:D,0)),IF($C$2='ASE Ach (CSA)(Input)'!$N$5,INDEX('ASE Ach (CSA)(Input)'!N:N,MATCH(D14,'ASE Ach (CSA)(Input)'!D:D,0)),IF($C$2='ASE Ach (CSA)(Input)'!$P$5,INDEX('ASE Ach (CSA)(Input)'!P:P,MATCH(D14,'ASE Ach (CSA)(Input)'!D:D,0)),IF($C$2='ASE Ach (CSA)(Input)'!$R$5,INDEX('ASE Ach (CSA)(Input)'!R:R,MATCH(D14,'ASE Ach (CSA)(Input)'!D:D,0)),IF($C$2='ASE Ach (CSA)(Input)'!$T$5,INDEX('ASE Ach (CSA)(Input)'!T:T,MATCH(D14,'ASE Ach (CSA)(Input)'!D:D,0)),IF($C$2='ASE Ach (CSA)(Input)'!$V$5,INDEX('ASE Ach (CSA)(Input)'!V:V,MATCH(D14,'ASE Ach (CSA)(Input)'!D:D,0)),IF($C$2='ASE Ach (CSA)(Input)'!$X$5,INDEX('ASE Ach (CSA)(Input)'!X:X,MATCH(D14,'ASE Ach (CSA)(Input)'!D:D,0)),IF($C$2='ASE Ach (CSA)(Input)'!$Z$5,INDEX('ASE Ach (CSA)(Input)'!Z:Z,MATCH(D14,'ASE Ach (CSA)(Input)'!D:D,0)),IF($C$2='ASE Ach (CSA)(Input)'!$AB$5,INDEX('ASE Ach (CSA)(Input)'!AB:AB,MATCH(D14,'ASE Ach (CSA)(Input)'!D:D,0)),"N/A"))))))))))))</f>
        <v>0</v>
      </c>
      <c r="X14" s="80">
        <f>IF($C$2='ASE Ach (CSA)(Input)'!$F$5,INDEX('ASE Ach (CSA)(Input)'!G:G,MATCH(D14,'ASE Ach (CSA)(Input)'!D:D,0)),IF($C$2='ASE Ach (CSA)(Input)'!$H$5,INDEX('ASE Ach (CSA)(Input)'!I:I,MATCH(D14,'ASE Ach (CSA)(Input)'!D:D,0)),IF($C$2='ASE Ach (CSA)(Input)'!$J$5,INDEX('ASE Ach (CSA)(Input)'!K:K,MATCH(D14,'ASE Ach (CSA)(Input)'!D:D,0)),IF($C$2='ASE Ach (CSA)(Input)'!$L$5,INDEX('ASE Ach (CSA)(Input)'!M:M,MATCH(D14,'ASE Ach (CSA)(Input)'!D:D,0)),IF($C$2='ASE Ach (CSA)(Input)'!$N$5,INDEX('ASE Ach (CSA)(Input)'!O:O,MATCH(D14,'ASE Ach (CSA)(Input)'!D:D,0)),IF($C$2='ASE Ach (CSA)(Input)'!$P$5,INDEX('ASE Ach (CSA)(Input)'!Q:Q,MATCH(D14,'ASE Ach (CSA)(Input)'!D:D,0)),IF($C$2='ASE Ach (CSA)(Input)'!$R$5,INDEX('ASE Ach (CSA)(Input)'!S:S,MATCH(D14,'ASE Ach (CSA)(Input)'!D:D,0)),IF($C$2='ASE Ach (CSA)(Input)'!$T$5,INDEX('ASE Ach (CSA)(Input)'!U:U,MATCH(D14,'ASE Ach (CSA)(Input)'!D:D,0)),IF($C$2='ASE Ach (CSA)(Input)'!$V$5,INDEX('ASE Ach (CSA)(Input)'!W:W,MATCH(D14,'ASE Ach (CSA)(Input)'!D:D,0)),IF($C$2='ASE Ach (CSA)(Input)'!$X$5,INDEX('ASE Ach (CSA)(Input)'!Y:Y,MATCH(D14,'ASE Ach (CSA)(Input)'!D:D,0)),IF($C$2='ASE Ach (CSA)(Input)'!$Z$5,INDEX('ASE Ach (CSA)(Input)'!AA:AA,MATCH(D14,'ASE Ach (CSA)(Input)'!D:D,0)),IF($C$2='ASE Ach (CSA)(Input)'!$AB$5,INDEX('ASE Ach (CSA)(Input)'!AC:AC,MATCH(D14,'ASE Ach (CSA)(Input)'!D:D,0)),"N/A"))))))))))))</f>
        <v>0</v>
      </c>
      <c r="Y14" s="142">
        <f>W14*Condition!$C$23+'Monthly Summary (No Input)'!X14*Condition!$E$24</f>
        <v>0</v>
      </c>
      <c r="Z14" s="17">
        <f t="shared" si="4"/>
        <v>0</v>
      </c>
    </row>
    <row r="15" spans="2:26" x14ac:dyDescent="0.25">
      <c r="B15" s="15">
        <f>'ASE Target (Spares), FY 21-22'!A13</f>
        <v>8</v>
      </c>
      <c r="C15" s="15" t="str">
        <f>IF('ASE Target (Spares), FY 21-22'!B13=0,"",'ASE Target (Spares), FY 21-22'!B13)</f>
        <v>DSL-DHK</v>
      </c>
      <c r="D15" s="16" t="str">
        <f>'ASE Target (Spares), FY 21-22'!C13</f>
        <v>Mohammad Jewel Rana</v>
      </c>
      <c r="E15" s="15" t="str">
        <f>IF('ASE Target (Spares), FY 21-22'!D13=0,"",'ASE Target (Spares), FY 21-22'!D13)</f>
        <v>3002</v>
      </c>
      <c r="F15" s="17">
        <f>IFERROR(VLOOKUP(E15,'ASE Target (Spares), FY 21-22'!$D$5:$G$260,4,0),"")</f>
        <v>3600000</v>
      </c>
      <c r="G15" s="17">
        <f>IF($C$2='ASE Target vs Ach(Spares)(Inpt)'!$F$5,VLOOKUP(D15,'ASE Target vs Ach(Spares)(Inpt)'!$D$6:$F$37,3,0),IF($C$2='ASE Target vs Ach(Spares)(Inpt)'!$I$5,VLOOKUP(D15,'ASE Target vs Ach(Spares)(Inpt)'!$D$6:$I$37,6,0),IF($C$2='ASE Target vs Ach(Spares)(Inpt)'!$L$5,VLOOKUP(D15,'ASE Target vs Ach(Spares)(Inpt)'!$D$6:$L$37,9,0),IF($C$2='ASE Target vs Ach(Spares)(Inpt)'!$O$5,VLOOKUP(D15,'ASE Target vs Ach(Spares)(Inpt)'!$D$6:$O$37,12,0),IF($C$2='ASE Target vs Ach(Spares)(Inpt)'!$R$5,VLOOKUP(D15,'ASE Target vs Ach(Spares)(Inpt)'!$D$6:$R$37,15,0),IF($C$2='ASE Target vs Ach(Spares)(Inpt)'!$U$5,VLOOKUP(D15,'ASE Target vs Ach(Spares)(Inpt)'!$D$6:$U$37,18,0),IF($C$2='ASE Target vs Ach(Spares)(Inpt)'!$X$5,VLOOKUP(D15,'ASE Target vs Ach(Spares)(Inpt)'!$D$6:$X$37,21,0),IF($C$2='ASE Target vs Ach(Spares)(Inpt)'!$AA$5,VLOOKUP(D15,'ASE Target vs Ach(Spares)(Inpt)'!$D$6:$AA$37,24,0),IF($C$2='ASE Target vs Ach(Spares)(Inpt)'!$AD$5,VLOOKUP(D15,'ASE Target vs Ach(Spares)(Inpt)'!$D$6:$AD$37,27,0),IF($C$2='ASE Target vs Ach(Spares)(Inpt)'!$AG$5,VLOOKUP(D15,'ASE Target vs Ach(Spares)(Inpt)'!$D$6:$AG$37,30,0),IF($C$2='ASE Target vs Ach(Spares)(Inpt)'!$AJ$5,VLOOKUP(D15,'ASE Target vs Ach(Spares)(Inpt)'!$D$6:$AJ$37,33,0),IF($C$2='ASE Target vs Ach(Spares)(Inpt)'!$AM$5,VLOOKUP(D15,'ASE Target vs Ach(Spares)(Inpt)'!$D$6:$AM$37,36,0),"N/A"))))))))))))</f>
        <v>600000</v>
      </c>
      <c r="H15" s="17">
        <f>IF($C$2='ASE Target vs Ach(Spares)(Inpt)'!$F$5,VLOOKUP(D15,'ASE Target vs Ach(Spares)(Inpt)'!$D$6:$G$37,4,0),IF($C$2='ASE Target vs Ach(Spares)(Inpt)'!$I$5,VLOOKUP(D15,'ASE Target vs Ach(Spares)(Inpt)'!$D$6:$J$37,7,0),IF($C$2='ASE Target vs Ach(Spares)(Inpt)'!$L$5,VLOOKUP(D15,'ASE Target vs Ach(Spares)(Inpt)'!$D$6:$M$37,10,0),IF($C$2='ASE Target vs Ach(Spares)(Inpt)'!$O$5,VLOOKUP(D15,'ASE Target vs Ach(Spares)(Inpt)'!$D$6:$P$37,13,0),IF($C$2='ASE Target vs Ach(Spares)(Inpt)'!$R$5,VLOOKUP(D15,'ASE Target vs Ach(Spares)(Inpt)'!$D$6:$S$37,16,0),IF($C$2='ASE Target vs Ach(Spares)(Inpt)'!$U$5,VLOOKUP(D15,'ASE Target vs Ach(Spares)(Inpt)'!$D$6:$V$37,19,0),IF($C$2='ASE Target vs Ach(Spares)(Inpt)'!$X$5,VLOOKUP(D15,'ASE Target vs Ach(Spares)(Inpt)'!$D$6:$Y$37,22,0),IF($C$2='ASE Target vs Ach(Spares)(Inpt)'!$AA$5,VLOOKUP(D15,'ASE Target vs Ach(Spares)(Inpt)'!$D$6:$AB$37,25,0),IF($C$2='ASE Target vs Ach(Spares)(Inpt)'!$AD$5,VLOOKUP(D15,'ASE Target vs Ach(Spares)(Inpt)'!$D$6:$AE$37,28,0),IF($C$2='ASE Target vs Ach(Spares)(Inpt)'!$AG$5,VLOOKUP(D15,'ASE Target vs Ach(Spares)(Inpt)'!$D$6:$AH$37,31,0),IF($C$2='ASE Target vs Ach(Spares)(Inpt)'!$AJ$5,VLOOKUP(D15,'ASE Target vs Ach(Spares)(Inpt)'!$D$6:$AK$37,34,0),IF($C$2='ASE Target vs Ach(Spares)(Inpt)'!$AM$5,VLOOKUP(D15,'ASE Target vs Ach(Spares)(Inpt)'!$D$6:$AN$37,37,0),"N/A"))))))))))))</f>
        <v>437175</v>
      </c>
      <c r="I15" s="18">
        <f t="shared" si="0"/>
        <v>0.72862499999999997</v>
      </c>
      <c r="J15" s="17">
        <f>IF($C$2='ASE Target vs Ach(Spares)(Inpt)'!$F$5,VLOOKUP(D15,'ASE Target vs Ach(Spares)(Inpt)'!$D$42:$F$73,3,0),IF($C$2='ASE Target vs Ach(Spares)(Inpt)'!$I$5,VLOOKUP(D15,'ASE Target vs Ach(Spares)(Inpt)'!$D$42:$I$73,6,0),IF($C$2='ASE Target vs Ach(Spares)(Inpt)'!$L$5,VLOOKUP(D15,'ASE Target vs Ach(Spares)(Inpt)'!$D$42:$L$73,9,0),IF($C$2='ASE Target vs Ach(Spares)(Inpt)'!$O$5,VLOOKUP(D15,'ASE Target vs Ach(Spares)(Inpt)'!$D$42:$O$73,12,0),IF($C$2='ASE Target vs Ach(Spares)(Inpt)'!$R$5,VLOOKUP(D15,'ASE Target vs Ach(Spares)(Inpt)'!$D$42:$R$73,15,0),IF($C$2='ASE Target vs Ach(Spares)(Inpt)'!$U$5,VLOOKUP(D15,'ASE Target vs Ach(Spares)(Inpt)'!$D$42:$U$73,18,0),IF($C$2='ASE Target vs Ach(Spares)(Inpt)'!$X$5,VLOOKUP(D15,'ASE Target vs Ach(Spares)(Inpt)'!$D$42:$X$73,21,0),IF($C$2='ASE Target vs Ach(Spares)(Inpt)'!$AA$5,VLOOKUP(D15,'ASE Target vs Ach(Spares)(Inpt)'!$D$42:$AA$73,24,0),IF($C$2='ASE Target vs Ach(Spares)(Inpt)'!$AD$5,VLOOKUP(D15,'ASE Target vs Ach(Spares)(Inpt)'!$D$42:$AD$73,27,0),IF($C$2='ASE Target vs Ach(Spares)(Inpt)'!$AG$5,VLOOKUP(D15,'ASE Target vs Ach(Spares)(Inpt)'!$D$42:$AG$73,30,0),IF($C$2='ASE Target vs Ach(Spares)(Inpt)'!$AJ$5,VLOOKUP(D15,'ASE Target vs Ach(Spares)(Inpt)'!$D$42:$AJ$73,33,0),IF($C$2='ASE Target vs Ach(Spares)(Inpt)'!$AM$5,VLOOKUP(D15,'ASE Target vs Ach(Spares)(Inpt)'!$D$42:$AM$73,36,0),"N/A"))))))))))))</f>
        <v>270000</v>
      </c>
      <c r="K15" s="17">
        <f>IF($C$2='ASE Target vs Ach(Spares)(Inpt)'!$F$5,VLOOKUP(D15,'ASE Target vs Ach(Spares)(Inpt)'!$D$42:$G$73,4,0),IF($C$2='ASE Target vs Ach(Spares)(Inpt)'!$I$5,VLOOKUP(D15,'ASE Target vs Ach(Spares)(Inpt)'!$D$42:$J$73,7,0),IF($C$2='ASE Target vs Ach(Spares)(Inpt)'!$L$5,VLOOKUP(D15,'ASE Target vs Ach(Spares)(Inpt)'!$D$42:$M$73,10,0),IF($C$2='ASE Target vs Ach(Spares)(Inpt)'!$O$5,VLOOKUP(D15,'ASE Target vs Ach(Spares)(Inpt)'!$D$42:$P$73,13,0),IF($C$2='ASE Target vs Ach(Spares)(Inpt)'!$R$5,VLOOKUP(D15,'ASE Target vs Ach(Spares)(Inpt)'!$D$42:$S$73,16,0),IF($C$2='ASE Target vs Ach(Spares)(Inpt)'!$U$5,VLOOKUP(D15,'ASE Target vs Ach(Spares)(Inpt)'!$D$42:$V$73,19,0),IF($C$2='ASE Target vs Ach(Spares)(Inpt)'!$X$5,VLOOKUP(D15,'ASE Target vs Ach(Spares)(Inpt)'!$D$42:$Y$73,22,0),IF($C$2='ASE Target vs Ach(Spares)(Inpt)'!$AA$5,VLOOKUP(D15,'ASE Target vs Ach(Spares)(Inpt)'!$D$42:$AB$73,25,0),IF($C$2='ASE Target vs Ach(Spares)(Inpt)'!$AD$5,VLOOKUP(D15,'ASE Target vs Ach(Spares)(Inpt)'!$D$42:$AE$73,28,0),IF($C$2='ASE Target vs Ach(Spares)(Inpt)'!$AG$5,VLOOKUP(D15,'ASE Target vs Ach(Spares)(Inpt)'!$D$42:$AH$73,31,0),IF($C$2='ASE Target vs Ach(Spares)(Inpt)'!$AJ$5,VLOOKUP(D15,'ASE Target vs Ach(Spares)(Inpt)'!$D$42:$AK$73,34,0),IF($C$2='ASE Target vs Ach(Spares)(Inpt)'!$AM$5,VLOOKUP(D15,'ASE Target vs Ach(Spares)(Inpt)'!$D$42:$AN$73,37,0),"N/A"))))))))))))</f>
        <v>437175</v>
      </c>
      <c r="L15" s="18">
        <f t="shared" si="1"/>
        <v>1.6191666666666666</v>
      </c>
      <c r="M15" s="19" t="str">
        <f t="shared" si="2"/>
        <v>Eligible</v>
      </c>
      <c r="N15" s="17">
        <f>IF(M15="Eligible",IF(K15&lt;Condition!$E$4,0,IF(K15=Condition!$E$4,Condition!$C$4*K15,IF(K15&lt;Condition!$F$4,Condition!$C$4*K15,IF(K15=Condition!$F$4,Condition!$C$5*K15,IF(K15&lt;Condition!$F$5,Condition!$C$5*K15,IF(K15=Condition!$F$5,Condition!$C$6*K15,IF(K15&lt;Condition!$F$6,Condition!$C$6*K15,IF(K15=Condition!$F$6,Condition!$C$7*K15,IF(K15&lt;Condition!$F$7,Condition!$C$7*K15,IF(K15=Condition!$F$7,Condition!$C$8*K15,IF(K15&lt;Condition!$F$8,Condition!$C$8*K15,IF(K15=Condition!$F$8,Condition!$C$9*K15,IF(K15&lt;Condition!$F$9,Condition!$C$9*K15,IF(K15=Condition!$F$9,Condition!$C$10*K15,IF(K15&gt;Condition!$F$10,Condition!$C$10*K15,""))))))))))))))),"")</f>
        <v>12022.3125</v>
      </c>
      <c r="O15" s="142">
        <f>IF(M15="Eligible",IF(K15&lt;Condition!$E$4,0,IF(K15=Condition!$E$4,Condition!$D$4,IF(K15&lt;Condition!$F$4,Condition!$D$4,IF(K15=Condition!$F$4,Condition!$D$5,IF(K15&lt;Condition!$F$5,Condition!$D$5,IF(K15=Condition!$F$5,Condition!$D$6,IF(K15&lt;Condition!$F$6,Condition!$D$6,IF(K15=Condition!$F$6,Condition!$D$7,IF(K15&lt;Condition!$F$7,Condition!$D$7,IF(K15=Condition!$F$7,Condition!$D$8,IF(K15&lt;Condition!$F$8,Condition!$D$8,IF(K15=Condition!$F$8,Condition!$D$9,IF(K15&lt;Condition!$F$9,Condition!$D$9,IF(K15=Condition!$F$9,Condition!$D$10,IF(K15&gt;Condition!$F$10,Condition!$D$10,""))))))))))))))),"")</f>
        <v>1750</v>
      </c>
      <c r="P15" s="142">
        <f t="shared" si="3"/>
        <v>1671.75</v>
      </c>
      <c r="Q15" s="117">
        <f>VLOOKUP(D15,'ASE Ach(Lube Oil Sales)'!$D$5:$F$40,3,0)</f>
        <v>120</v>
      </c>
      <c r="R15" s="17">
        <f>Q15*Condition!$E$27</f>
        <v>600</v>
      </c>
      <c r="S15" s="142">
        <f>VLOOKUP(D15,'ASE Ach (Service)(Input)'!$D$5:$F$34,3,0)</f>
        <v>77596</v>
      </c>
      <c r="T15" s="142">
        <f>VLOOKUP(D15,'ASE Ach (Service)(Input)'!$D$5:$G$34,4,0)</f>
        <v>0</v>
      </c>
      <c r="U15" s="142">
        <f>VLOOKUP(D15,'ASE Ach (Service)(Input)'!$D$48:$F$79,3,0)</f>
        <v>2700</v>
      </c>
      <c r="V15" s="142">
        <f>VLOOKUP(D15,'ASE Ach (Service)(Input)'!$D$48:$G$79,4,0)</f>
        <v>0</v>
      </c>
      <c r="W15" s="80">
        <f>IF($C$2='ASE Ach (CSA)(Input)'!$F$5,INDEX('ASE Ach (CSA)(Input)'!F:F,MATCH(D15,'ASE Ach (CSA)(Input)'!D:D,0)),IF($C$2='ASE Ach (CSA)(Input)'!$H$5,INDEX('ASE Ach (CSA)(Input)'!H:H,MATCH(D15,'ASE Ach (CSA)(Input)'!D:D,0)),IF($C$2='ASE Ach (CSA)(Input)'!$J$5,INDEX('ASE Ach (CSA)(Input)'!J:J,MATCH(D15,'ASE Ach (CSA)(Input)'!D:D,0)),IF($C$2='ASE Ach (CSA)(Input)'!$L$5,INDEX('ASE Ach (CSA)(Input)'!L:L,MATCH(D15,'ASE Ach (CSA)(Input)'!D:D,0)),IF($C$2='ASE Ach (CSA)(Input)'!$N$5,INDEX('ASE Ach (CSA)(Input)'!N:N,MATCH(D15,'ASE Ach (CSA)(Input)'!D:D,0)),IF($C$2='ASE Ach (CSA)(Input)'!$P$5,INDEX('ASE Ach (CSA)(Input)'!P:P,MATCH(D15,'ASE Ach (CSA)(Input)'!D:D,0)),IF($C$2='ASE Ach (CSA)(Input)'!$R$5,INDEX('ASE Ach (CSA)(Input)'!R:R,MATCH(D15,'ASE Ach (CSA)(Input)'!D:D,0)),IF($C$2='ASE Ach (CSA)(Input)'!$T$5,INDEX('ASE Ach (CSA)(Input)'!T:T,MATCH(D15,'ASE Ach (CSA)(Input)'!D:D,0)),IF($C$2='ASE Ach (CSA)(Input)'!$V$5,INDEX('ASE Ach (CSA)(Input)'!V:V,MATCH(D15,'ASE Ach (CSA)(Input)'!D:D,0)),IF($C$2='ASE Ach (CSA)(Input)'!$X$5,INDEX('ASE Ach (CSA)(Input)'!X:X,MATCH(D15,'ASE Ach (CSA)(Input)'!D:D,0)),IF($C$2='ASE Ach (CSA)(Input)'!$Z$5,INDEX('ASE Ach (CSA)(Input)'!Z:Z,MATCH(D15,'ASE Ach (CSA)(Input)'!D:D,0)),IF($C$2='ASE Ach (CSA)(Input)'!$AB$5,INDEX('ASE Ach (CSA)(Input)'!AB:AB,MATCH(D15,'ASE Ach (CSA)(Input)'!D:D,0)),"N/A"))))))))))))</f>
        <v>1</v>
      </c>
      <c r="X15" s="80">
        <f>IF($C$2='ASE Ach (CSA)(Input)'!$F$5,INDEX('ASE Ach (CSA)(Input)'!G:G,MATCH(D15,'ASE Ach (CSA)(Input)'!D:D,0)),IF($C$2='ASE Ach (CSA)(Input)'!$H$5,INDEX('ASE Ach (CSA)(Input)'!I:I,MATCH(D15,'ASE Ach (CSA)(Input)'!D:D,0)),IF($C$2='ASE Ach (CSA)(Input)'!$J$5,INDEX('ASE Ach (CSA)(Input)'!K:K,MATCH(D15,'ASE Ach (CSA)(Input)'!D:D,0)),IF($C$2='ASE Ach (CSA)(Input)'!$L$5,INDEX('ASE Ach (CSA)(Input)'!M:M,MATCH(D15,'ASE Ach (CSA)(Input)'!D:D,0)),IF($C$2='ASE Ach (CSA)(Input)'!$N$5,INDEX('ASE Ach (CSA)(Input)'!O:O,MATCH(D15,'ASE Ach (CSA)(Input)'!D:D,0)),IF($C$2='ASE Ach (CSA)(Input)'!$P$5,INDEX('ASE Ach (CSA)(Input)'!Q:Q,MATCH(D15,'ASE Ach (CSA)(Input)'!D:D,0)),IF($C$2='ASE Ach (CSA)(Input)'!$R$5,INDEX('ASE Ach (CSA)(Input)'!S:S,MATCH(D15,'ASE Ach (CSA)(Input)'!D:D,0)),IF($C$2='ASE Ach (CSA)(Input)'!$T$5,INDEX('ASE Ach (CSA)(Input)'!U:U,MATCH(D15,'ASE Ach (CSA)(Input)'!D:D,0)),IF($C$2='ASE Ach (CSA)(Input)'!$V$5,INDEX('ASE Ach (CSA)(Input)'!W:W,MATCH(D15,'ASE Ach (CSA)(Input)'!D:D,0)),IF($C$2='ASE Ach (CSA)(Input)'!$X$5,INDEX('ASE Ach (CSA)(Input)'!Y:Y,MATCH(D15,'ASE Ach (CSA)(Input)'!D:D,0)),IF($C$2='ASE Ach (CSA)(Input)'!$Z$5,INDEX('ASE Ach (CSA)(Input)'!AA:AA,MATCH(D15,'ASE Ach (CSA)(Input)'!D:D,0)),IF($C$2='ASE Ach (CSA)(Input)'!$AB$5,INDEX('ASE Ach (CSA)(Input)'!AC:AC,MATCH(D15,'ASE Ach (CSA)(Input)'!D:D,0)),"N/A"))))))))))))</f>
        <v>0</v>
      </c>
      <c r="Y15" s="142">
        <f>W15*Condition!$C$23+'Monthly Summary (No Input)'!X15*Condition!$E$24</f>
        <v>500</v>
      </c>
      <c r="Z15" s="17">
        <f t="shared" si="4"/>
        <v>19244.0625</v>
      </c>
    </row>
    <row r="16" spans="2:26" x14ac:dyDescent="0.25">
      <c r="B16" s="15">
        <f>'ASE Target (Spares), FY 21-22'!A14</f>
        <v>9</v>
      </c>
      <c r="C16" s="15" t="str">
        <f>IF('ASE Target (Spares), FY 21-22'!B14=0,"",'ASE Target (Spares), FY 21-22'!B14)</f>
        <v>DSL-DHK</v>
      </c>
      <c r="D16" s="16" t="str">
        <f>'ASE Target (Spares), FY 21-22'!C14</f>
        <v>Faysal Ahmed</v>
      </c>
      <c r="E16" s="15" t="str">
        <f>IF('ASE Target (Spares), FY 21-22'!D14=0,"",'ASE Target (Spares), FY 21-22'!D14)</f>
        <v>3004</v>
      </c>
      <c r="F16" s="17">
        <f>IFERROR(VLOOKUP(E16,'ASE Target (Spares), FY 21-22'!$D$5:$G$260,4,0),"")</f>
        <v>3600000</v>
      </c>
      <c r="G16" s="17">
        <f>IF($C$2='ASE Target vs Ach(Spares)(Inpt)'!$F$5,VLOOKUP(D16,'ASE Target vs Ach(Spares)(Inpt)'!$D$6:$F$37,3,0),IF($C$2='ASE Target vs Ach(Spares)(Inpt)'!$I$5,VLOOKUP(D16,'ASE Target vs Ach(Spares)(Inpt)'!$D$6:$I$37,6,0),IF($C$2='ASE Target vs Ach(Spares)(Inpt)'!$L$5,VLOOKUP(D16,'ASE Target vs Ach(Spares)(Inpt)'!$D$6:$L$37,9,0),IF($C$2='ASE Target vs Ach(Spares)(Inpt)'!$O$5,VLOOKUP(D16,'ASE Target vs Ach(Spares)(Inpt)'!$D$6:$O$37,12,0),IF($C$2='ASE Target vs Ach(Spares)(Inpt)'!$R$5,VLOOKUP(D16,'ASE Target vs Ach(Spares)(Inpt)'!$D$6:$R$37,15,0),IF($C$2='ASE Target vs Ach(Spares)(Inpt)'!$U$5,VLOOKUP(D16,'ASE Target vs Ach(Spares)(Inpt)'!$D$6:$U$37,18,0),IF($C$2='ASE Target vs Ach(Spares)(Inpt)'!$X$5,VLOOKUP(D16,'ASE Target vs Ach(Spares)(Inpt)'!$D$6:$X$37,21,0),IF($C$2='ASE Target vs Ach(Spares)(Inpt)'!$AA$5,VLOOKUP(D16,'ASE Target vs Ach(Spares)(Inpt)'!$D$6:$AA$37,24,0),IF($C$2='ASE Target vs Ach(Spares)(Inpt)'!$AD$5,VLOOKUP(D16,'ASE Target vs Ach(Spares)(Inpt)'!$D$6:$AD$37,27,0),IF($C$2='ASE Target vs Ach(Spares)(Inpt)'!$AG$5,VLOOKUP(D16,'ASE Target vs Ach(Spares)(Inpt)'!$D$6:$AG$37,30,0),IF($C$2='ASE Target vs Ach(Spares)(Inpt)'!$AJ$5,VLOOKUP(D16,'ASE Target vs Ach(Spares)(Inpt)'!$D$6:$AJ$37,33,0),IF($C$2='ASE Target vs Ach(Spares)(Inpt)'!$AM$5,VLOOKUP(D16,'ASE Target vs Ach(Spares)(Inpt)'!$D$6:$AM$37,36,0),"N/A"))))))))))))</f>
        <v>600000</v>
      </c>
      <c r="H16" s="17">
        <f>IF($C$2='ASE Target vs Ach(Spares)(Inpt)'!$F$5,VLOOKUP(D16,'ASE Target vs Ach(Spares)(Inpt)'!$D$6:$G$37,4,0),IF($C$2='ASE Target vs Ach(Spares)(Inpt)'!$I$5,VLOOKUP(D16,'ASE Target vs Ach(Spares)(Inpt)'!$D$6:$J$37,7,0),IF($C$2='ASE Target vs Ach(Spares)(Inpt)'!$L$5,VLOOKUP(D16,'ASE Target vs Ach(Spares)(Inpt)'!$D$6:$M$37,10,0),IF($C$2='ASE Target vs Ach(Spares)(Inpt)'!$O$5,VLOOKUP(D16,'ASE Target vs Ach(Spares)(Inpt)'!$D$6:$P$37,13,0),IF($C$2='ASE Target vs Ach(Spares)(Inpt)'!$R$5,VLOOKUP(D16,'ASE Target vs Ach(Spares)(Inpt)'!$D$6:$S$37,16,0),IF($C$2='ASE Target vs Ach(Spares)(Inpt)'!$U$5,VLOOKUP(D16,'ASE Target vs Ach(Spares)(Inpt)'!$D$6:$V$37,19,0),IF($C$2='ASE Target vs Ach(Spares)(Inpt)'!$X$5,VLOOKUP(D16,'ASE Target vs Ach(Spares)(Inpt)'!$D$6:$Y$37,22,0),IF($C$2='ASE Target vs Ach(Spares)(Inpt)'!$AA$5,VLOOKUP(D16,'ASE Target vs Ach(Spares)(Inpt)'!$D$6:$AB$37,25,0),IF($C$2='ASE Target vs Ach(Spares)(Inpt)'!$AD$5,VLOOKUP(D16,'ASE Target vs Ach(Spares)(Inpt)'!$D$6:$AE$37,28,0),IF($C$2='ASE Target vs Ach(Spares)(Inpt)'!$AG$5,VLOOKUP(D16,'ASE Target vs Ach(Spares)(Inpt)'!$D$6:$AH$37,31,0),IF($C$2='ASE Target vs Ach(Spares)(Inpt)'!$AJ$5,VLOOKUP(D16,'ASE Target vs Ach(Spares)(Inpt)'!$D$6:$AK$37,34,0),IF($C$2='ASE Target vs Ach(Spares)(Inpt)'!$AM$5,VLOOKUP(D16,'ASE Target vs Ach(Spares)(Inpt)'!$D$6:$AN$37,37,0),"N/A"))))))))))))</f>
        <v>505895</v>
      </c>
      <c r="I16" s="18">
        <f t="shared" si="0"/>
        <v>0.84315833333333334</v>
      </c>
      <c r="J16" s="17">
        <f>IF($C$2='ASE Target vs Ach(Spares)(Inpt)'!$F$5,VLOOKUP(D16,'ASE Target vs Ach(Spares)(Inpt)'!$D$42:$F$73,3,0),IF($C$2='ASE Target vs Ach(Spares)(Inpt)'!$I$5,VLOOKUP(D16,'ASE Target vs Ach(Spares)(Inpt)'!$D$42:$I$73,6,0),IF($C$2='ASE Target vs Ach(Spares)(Inpt)'!$L$5,VLOOKUP(D16,'ASE Target vs Ach(Spares)(Inpt)'!$D$42:$L$73,9,0),IF($C$2='ASE Target vs Ach(Spares)(Inpt)'!$O$5,VLOOKUP(D16,'ASE Target vs Ach(Spares)(Inpt)'!$D$42:$O$73,12,0),IF($C$2='ASE Target vs Ach(Spares)(Inpt)'!$R$5,VLOOKUP(D16,'ASE Target vs Ach(Spares)(Inpt)'!$D$42:$R$73,15,0),IF($C$2='ASE Target vs Ach(Spares)(Inpt)'!$U$5,VLOOKUP(D16,'ASE Target vs Ach(Spares)(Inpt)'!$D$42:$U$73,18,0),IF($C$2='ASE Target vs Ach(Spares)(Inpt)'!$X$5,VLOOKUP(D16,'ASE Target vs Ach(Spares)(Inpt)'!$D$42:$X$73,21,0),IF($C$2='ASE Target vs Ach(Spares)(Inpt)'!$AA$5,VLOOKUP(D16,'ASE Target vs Ach(Spares)(Inpt)'!$D$42:$AA$73,24,0),IF($C$2='ASE Target vs Ach(Spares)(Inpt)'!$AD$5,VLOOKUP(D16,'ASE Target vs Ach(Spares)(Inpt)'!$D$42:$AD$73,27,0),IF($C$2='ASE Target vs Ach(Spares)(Inpt)'!$AG$5,VLOOKUP(D16,'ASE Target vs Ach(Spares)(Inpt)'!$D$42:$AG$73,30,0),IF($C$2='ASE Target vs Ach(Spares)(Inpt)'!$AJ$5,VLOOKUP(D16,'ASE Target vs Ach(Spares)(Inpt)'!$D$42:$AJ$73,33,0),IF($C$2='ASE Target vs Ach(Spares)(Inpt)'!$AM$5,VLOOKUP(D16,'ASE Target vs Ach(Spares)(Inpt)'!$D$42:$AM$73,36,0),"N/A"))))))))))))</f>
        <v>270000</v>
      </c>
      <c r="K16" s="17">
        <f>IF($C$2='ASE Target vs Ach(Spares)(Inpt)'!$F$5,VLOOKUP(D16,'ASE Target vs Ach(Spares)(Inpt)'!$D$42:$G$73,4,0),IF($C$2='ASE Target vs Ach(Spares)(Inpt)'!$I$5,VLOOKUP(D16,'ASE Target vs Ach(Spares)(Inpt)'!$D$42:$J$73,7,0),IF($C$2='ASE Target vs Ach(Spares)(Inpt)'!$L$5,VLOOKUP(D16,'ASE Target vs Ach(Spares)(Inpt)'!$D$42:$M$73,10,0),IF($C$2='ASE Target vs Ach(Spares)(Inpt)'!$O$5,VLOOKUP(D16,'ASE Target vs Ach(Spares)(Inpt)'!$D$42:$P$73,13,0),IF($C$2='ASE Target vs Ach(Spares)(Inpt)'!$R$5,VLOOKUP(D16,'ASE Target vs Ach(Spares)(Inpt)'!$D$42:$S$73,16,0),IF($C$2='ASE Target vs Ach(Spares)(Inpt)'!$U$5,VLOOKUP(D16,'ASE Target vs Ach(Spares)(Inpt)'!$D$42:$V$73,19,0),IF($C$2='ASE Target vs Ach(Spares)(Inpt)'!$X$5,VLOOKUP(D16,'ASE Target vs Ach(Spares)(Inpt)'!$D$42:$Y$73,22,0),IF($C$2='ASE Target vs Ach(Spares)(Inpt)'!$AA$5,VLOOKUP(D16,'ASE Target vs Ach(Spares)(Inpt)'!$D$42:$AB$73,25,0),IF($C$2='ASE Target vs Ach(Spares)(Inpt)'!$AD$5,VLOOKUP(D16,'ASE Target vs Ach(Spares)(Inpt)'!$D$42:$AE$73,28,0),IF($C$2='ASE Target vs Ach(Spares)(Inpt)'!$AG$5,VLOOKUP(D16,'ASE Target vs Ach(Spares)(Inpt)'!$D$42:$AH$73,31,0),IF($C$2='ASE Target vs Ach(Spares)(Inpt)'!$AJ$5,VLOOKUP(D16,'ASE Target vs Ach(Spares)(Inpt)'!$D$42:$AK$73,34,0),IF($C$2='ASE Target vs Ach(Spares)(Inpt)'!$AM$5,VLOOKUP(D16,'ASE Target vs Ach(Spares)(Inpt)'!$D$42:$AN$73,37,0),"N/A"))))))))))))</f>
        <v>505895</v>
      </c>
      <c r="L16" s="18">
        <f t="shared" si="1"/>
        <v>1.8736851851851852</v>
      </c>
      <c r="M16" s="19" t="str">
        <f t="shared" si="2"/>
        <v>Eligible</v>
      </c>
      <c r="N16" s="17">
        <f>IF(M16="Eligible",IF(K16&lt;Condition!$E$4,0,IF(K16=Condition!$E$4,Condition!$C$4*K16,IF(K16&lt;Condition!$F$4,Condition!$C$4*K16,IF(K16=Condition!$F$4,Condition!$C$5*K16,IF(K16&lt;Condition!$F$5,Condition!$C$5*K16,IF(K16=Condition!$F$5,Condition!$C$6*K16,IF(K16&lt;Condition!$F$6,Condition!$C$6*K16,IF(K16=Condition!$F$6,Condition!$C$7*K16,IF(K16&lt;Condition!$F$7,Condition!$C$7*K16,IF(K16=Condition!$F$7,Condition!$C$8*K16,IF(K16&lt;Condition!$F$8,Condition!$C$8*K16,IF(K16=Condition!$F$8,Condition!$C$9*K16,IF(K16&lt;Condition!$F$9,Condition!$C$9*K16,IF(K16=Condition!$F$9,Condition!$C$10*K16,IF(K16&gt;Condition!$F$10,Condition!$C$10*K16,""))))))))))))))),"")</f>
        <v>15176.849999999999</v>
      </c>
      <c r="O16" s="142">
        <f>IF(M16="Eligible",IF(K16&lt;Condition!$E$4,0,IF(K16=Condition!$E$4,Condition!$D$4,IF(K16&lt;Condition!$F$4,Condition!$D$4,IF(K16=Condition!$F$4,Condition!$D$5,IF(K16&lt;Condition!$F$5,Condition!$D$5,IF(K16=Condition!$F$5,Condition!$D$6,IF(K16&lt;Condition!$F$6,Condition!$D$6,IF(K16=Condition!$F$6,Condition!$D$7,IF(K16&lt;Condition!$F$7,Condition!$D$7,IF(K16=Condition!$F$7,Condition!$D$8,IF(K16&lt;Condition!$F$8,Condition!$D$8,IF(K16=Condition!$F$8,Condition!$D$9,IF(K16&lt;Condition!$F$9,Condition!$D$9,IF(K16=Condition!$F$9,Condition!$D$10,IF(K16&gt;Condition!$F$10,Condition!$D$10,""))))))))))))))),"")</f>
        <v>2000</v>
      </c>
      <c r="P16" s="142">
        <f t="shared" si="3"/>
        <v>2358.9500000000003</v>
      </c>
      <c r="Q16" s="117">
        <f>VLOOKUP(D16,'ASE Ach(Lube Oil Sales)'!$D$5:$F$40,3,0)</f>
        <v>100</v>
      </c>
      <c r="R16" s="17">
        <f>Q16*Condition!$E$27</f>
        <v>500</v>
      </c>
      <c r="S16" s="142">
        <f>VLOOKUP(D16,'ASE Ach (Service)(Input)'!$D$5:$F$34,3,0)</f>
        <v>194107</v>
      </c>
      <c r="T16" s="142">
        <f>VLOOKUP(D16,'ASE Ach (Service)(Input)'!$D$5:$G$34,4,0)</f>
        <v>223322</v>
      </c>
      <c r="U16" s="142">
        <f>VLOOKUP(D16,'ASE Ach (Service)(Input)'!$D$48:$F$79,3,0)</f>
        <v>3200</v>
      </c>
      <c r="V16" s="142">
        <f>VLOOKUP(D16,'ASE Ach (Service)(Input)'!$D$48:$G$79,4,0)</f>
        <v>1800</v>
      </c>
      <c r="W16" s="80">
        <f>IF($C$2='ASE Ach (CSA)(Input)'!$F$5,INDEX('ASE Ach (CSA)(Input)'!F:F,MATCH(D16,'ASE Ach (CSA)(Input)'!D:D,0)),IF($C$2='ASE Ach (CSA)(Input)'!$H$5,INDEX('ASE Ach (CSA)(Input)'!H:H,MATCH(D16,'ASE Ach (CSA)(Input)'!D:D,0)),IF($C$2='ASE Ach (CSA)(Input)'!$J$5,INDEX('ASE Ach (CSA)(Input)'!J:J,MATCH(D16,'ASE Ach (CSA)(Input)'!D:D,0)),IF($C$2='ASE Ach (CSA)(Input)'!$L$5,INDEX('ASE Ach (CSA)(Input)'!L:L,MATCH(D16,'ASE Ach (CSA)(Input)'!D:D,0)),IF($C$2='ASE Ach (CSA)(Input)'!$N$5,INDEX('ASE Ach (CSA)(Input)'!N:N,MATCH(D16,'ASE Ach (CSA)(Input)'!D:D,0)),IF($C$2='ASE Ach (CSA)(Input)'!$P$5,INDEX('ASE Ach (CSA)(Input)'!P:P,MATCH(D16,'ASE Ach (CSA)(Input)'!D:D,0)),IF($C$2='ASE Ach (CSA)(Input)'!$R$5,INDEX('ASE Ach (CSA)(Input)'!R:R,MATCH(D16,'ASE Ach (CSA)(Input)'!D:D,0)),IF($C$2='ASE Ach (CSA)(Input)'!$T$5,INDEX('ASE Ach (CSA)(Input)'!T:T,MATCH(D16,'ASE Ach (CSA)(Input)'!D:D,0)),IF($C$2='ASE Ach (CSA)(Input)'!$V$5,INDEX('ASE Ach (CSA)(Input)'!V:V,MATCH(D16,'ASE Ach (CSA)(Input)'!D:D,0)),IF($C$2='ASE Ach (CSA)(Input)'!$X$5,INDEX('ASE Ach (CSA)(Input)'!X:X,MATCH(D16,'ASE Ach (CSA)(Input)'!D:D,0)),IF($C$2='ASE Ach (CSA)(Input)'!$Z$5,INDEX('ASE Ach (CSA)(Input)'!Z:Z,MATCH(D16,'ASE Ach (CSA)(Input)'!D:D,0)),IF($C$2='ASE Ach (CSA)(Input)'!$AB$5,INDEX('ASE Ach (CSA)(Input)'!AB:AB,MATCH(D16,'ASE Ach (CSA)(Input)'!D:D,0)),"N/A"))))))))))))</f>
        <v>0</v>
      </c>
      <c r="X16" s="80">
        <f>IF($C$2='ASE Ach (CSA)(Input)'!$F$5,INDEX('ASE Ach (CSA)(Input)'!G:G,MATCH(D16,'ASE Ach (CSA)(Input)'!D:D,0)),IF($C$2='ASE Ach (CSA)(Input)'!$H$5,INDEX('ASE Ach (CSA)(Input)'!I:I,MATCH(D16,'ASE Ach (CSA)(Input)'!D:D,0)),IF($C$2='ASE Ach (CSA)(Input)'!$J$5,INDEX('ASE Ach (CSA)(Input)'!K:K,MATCH(D16,'ASE Ach (CSA)(Input)'!D:D,0)),IF($C$2='ASE Ach (CSA)(Input)'!$L$5,INDEX('ASE Ach (CSA)(Input)'!M:M,MATCH(D16,'ASE Ach (CSA)(Input)'!D:D,0)),IF($C$2='ASE Ach (CSA)(Input)'!$N$5,INDEX('ASE Ach (CSA)(Input)'!O:O,MATCH(D16,'ASE Ach (CSA)(Input)'!D:D,0)),IF($C$2='ASE Ach (CSA)(Input)'!$P$5,INDEX('ASE Ach (CSA)(Input)'!Q:Q,MATCH(D16,'ASE Ach (CSA)(Input)'!D:D,0)),IF($C$2='ASE Ach (CSA)(Input)'!$R$5,INDEX('ASE Ach (CSA)(Input)'!S:S,MATCH(D16,'ASE Ach (CSA)(Input)'!D:D,0)),IF($C$2='ASE Ach (CSA)(Input)'!$T$5,INDEX('ASE Ach (CSA)(Input)'!U:U,MATCH(D16,'ASE Ach (CSA)(Input)'!D:D,0)),IF($C$2='ASE Ach (CSA)(Input)'!$V$5,INDEX('ASE Ach (CSA)(Input)'!W:W,MATCH(D16,'ASE Ach (CSA)(Input)'!D:D,0)),IF($C$2='ASE Ach (CSA)(Input)'!$X$5,INDEX('ASE Ach (CSA)(Input)'!Y:Y,MATCH(D16,'ASE Ach (CSA)(Input)'!D:D,0)),IF($C$2='ASE Ach (CSA)(Input)'!$Z$5,INDEX('ASE Ach (CSA)(Input)'!AA:AA,MATCH(D16,'ASE Ach (CSA)(Input)'!D:D,0)),IF($C$2='ASE Ach (CSA)(Input)'!$AB$5,INDEX('ASE Ach (CSA)(Input)'!AC:AC,MATCH(D16,'ASE Ach (CSA)(Input)'!D:D,0)),"N/A"))))))))))))</f>
        <v>0</v>
      </c>
      <c r="Y16" s="142">
        <f>W16*Condition!$C$23+'Monthly Summary (No Input)'!X16*Condition!$E$24</f>
        <v>0</v>
      </c>
      <c r="Z16" s="17">
        <f t="shared" si="4"/>
        <v>25035.8</v>
      </c>
    </row>
    <row r="17" spans="2:26" x14ac:dyDescent="0.25">
      <c r="B17" s="15">
        <f>'ASE Target (Spares), FY 21-22'!A15</f>
        <v>10</v>
      </c>
      <c r="C17" s="15" t="str">
        <f>IF('ASE Target (Spares), FY 21-22'!B15=0,"",'ASE Target (Spares), FY 21-22'!B15)</f>
        <v>DSL-DHK</v>
      </c>
      <c r="D17" s="16" t="str">
        <f>'ASE Target (Spares), FY 21-22'!C15</f>
        <v>Rakibul Islam Razib</v>
      </c>
      <c r="E17" s="15" t="str">
        <f>IF('ASE Target (Spares), FY 21-22'!D15=0,"",'ASE Target (Spares), FY 21-22'!D15)</f>
        <v>3006</v>
      </c>
      <c r="F17" s="17">
        <f>IFERROR(VLOOKUP(E17,'ASE Target (Spares), FY 21-22'!$D$5:$G$260,4,0),"")</f>
        <v>1210000</v>
      </c>
      <c r="G17" s="17">
        <f>IF($C$2='ASE Target vs Ach(Spares)(Inpt)'!$F$5,VLOOKUP(D17,'ASE Target vs Ach(Spares)(Inpt)'!$D$6:$F$37,3,0),IF($C$2='ASE Target vs Ach(Spares)(Inpt)'!$I$5,VLOOKUP(D17,'ASE Target vs Ach(Spares)(Inpt)'!$D$6:$I$37,6,0),IF($C$2='ASE Target vs Ach(Spares)(Inpt)'!$L$5,VLOOKUP(D17,'ASE Target vs Ach(Spares)(Inpt)'!$D$6:$L$37,9,0),IF($C$2='ASE Target vs Ach(Spares)(Inpt)'!$O$5,VLOOKUP(D17,'ASE Target vs Ach(Spares)(Inpt)'!$D$6:$O$37,12,0),IF($C$2='ASE Target vs Ach(Spares)(Inpt)'!$R$5,VLOOKUP(D17,'ASE Target vs Ach(Spares)(Inpt)'!$D$6:$R$37,15,0),IF($C$2='ASE Target vs Ach(Spares)(Inpt)'!$U$5,VLOOKUP(D17,'ASE Target vs Ach(Spares)(Inpt)'!$D$6:$U$37,18,0),IF($C$2='ASE Target vs Ach(Spares)(Inpt)'!$X$5,VLOOKUP(D17,'ASE Target vs Ach(Spares)(Inpt)'!$D$6:$X$37,21,0),IF($C$2='ASE Target vs Ach(Spares)(Inpt)'!$AA$5,VLOOKUP(D17,'ASE Target vs Ach(Spares)(Inpt)'!$D$6:$AA$37,24,0),IF($C$2='ASE Target vs Ach(Spares)(Inpt)'!$AD$5,VLOOKUP(D17,'ASE Target vs Ach(Spares)(Inpt)'!$D$6:$AD$37,27,0),IF($C$2='ASE Target vs Ach(Spares)(Inpt)'!$AG$5,VLOOKUP(D17,'ASE Target vs Ach(Spares)(Inpt)'!$D$6:$AG$37,30,0),IF($C$2='ASE Target vs Ach(Spares)(Inpt)'!$AJ$5,VLOOKUP(D17,'ASE Target vs Ach(Spares)(Inpt)'!$D$6:$AJ$37,33,0),IF($C$2='ASE Target vs Ach(Spares)(Inpt)'!$AM$5,VLOOKUP(D17,'ASE Target vs Ach(Spares)(Inpt)'!$D$6:$AM$37,36,0),"N/A"))))))))))))</f>
        <v>250000</v>
      </c>
      <c r="H17" s="17">
        <f>IF($C$2='ASE Target vs Ach(Spares)(Inpt)'!$F$5,VLOOKUP(D17,'ASE Target vs Ach(Spares)(Inpt)'!$D$6:$G$37,4,0),IF($C$2='ASE Target vs Ach(Spares)(Inpt)'!$I$5,VLOOKUP(D17,'ASE Target vs Ach(Spares)(Inpt)'!$D$6:$J$37,7,0),IF($C$2='ASE Target vs Ach(Spares)(Inpt)'!$L$5,VLOOKUP(D17,'ASE Target vs Ach(Spares)(Inpt)'!$D$6:$M$37,10,0),IF($C$2='ASE Target vs Ach(Spares)(Inpt)'!$O$5,VLOOKUP(D17,'ASE Target vs Ach(Spares)(Inpt)'!$D$6:$P$37,13,0),IF($C$2='ASE Target vs Ach(Spares)(Inpt)'!$R$5,VLOOKUP(D17,'ASE Target vs Ach(Spares)(Inpt)'!$D$6:$S$37,16,0),IF($C$2='ASE Target vs Ach(Spares)(Inpt)'!$U$5,VLOOKUP(D17,'ASE Target vs Ach(Spares)(Inpt)'!$D$6:$V$37,19,0),IF($C$2='ASE Target vs Ach(Spares)(Inpt)'!$X$5,VLOOKUP(D17,'ASE Target vs Ach(Spares)(Inpt)'!$D$6:$Y$37,22,0),IF($C$2='ASE Target vs Ach(Spares)(Inpt)'!$AA$5,VLOOKUP(D17,'ASE Target vs Ach(Spares)(Inpt)'!$D$6:$AB$37,25,0),IF($C$2='ASE Target vs Ach(Spares)(Inpt)'!$AD$5,VLOOKUP(D17,'ASE Target vs Ach(Spares)(Inpt)'!$D$6:$AE$37,28,0),IF($C$2='ASE Target vs Ach(Spares)(Inpt)'!$AG$5,VLOOKUP(D17,'ASE Target vs Ach(Spares)(Inpt)'!$D$6:$AH$37,31,0),IF($C$2='ASE Target vs Ach(Spares)(Inpt)'!$AJ$5,VLOOKUP(D17,'ASE Target vs Ach(Spares)(Inpt)'!$D$6:$AK$37,34,0),IF($C$2='ASE Target vs Ach(Spares)(Inpt)'!$AM$5,VLOOKUP(D17,'ASE Target vs Ach(Spares)(Inpt)'!$D$6:$AN$37,37,0),"N/A"))))))))))))</f>
        <v>129195</v>
      </c>
      <c r="I17" s="18">
        <f t="shared" si="0"/>
        <v>0.51678000000000002</v>
      </c>
      <c r="J17" s="17">
        <f>IF($C$2='ASE Target vs Ach(Spares)(Inpt)'!$F$5,VLOOKUP(D17,'ASE Target vs Ach(Spares)(Inpt)'!$D$42:$F$73,3,0),IF($C$2='ASE Target vs Ach(Spares)(Inpt)'!$I$5,VLOOKUP(D17,'ASE Target vs Ach(Spares)(Inpt)'!$D$42:$I$73,6,0),IF($C$2='ASE Target vs Ach(Spares)(Inpt)'!$L$5,VLOOKUP(D17,'ASE Target vs Ach(Spares)(Inpt)'!$D$42:$L$73,9,0),IF($C$2='ASE Target vs Ach(Spares)(Inpt)'!$O$5,VLOOKUP(D17,'ASE Target vs Ach(Spares)(Inpt)'!$D$42:$O$73,12,0),IF($C$2='ASE Target vs Ach(Spares)(Inpt)'!$R$5,VLOOKUP(D17,'ASE Target vs Ach(Spares)(Inpt)'!$D$42:$R$73,15,0),IF($C$2='ASE Target vs Ach(Spares)(Inpt)'!$U$5,VLOOKUP(D17,'ASE Target vs Ach(Spares)(Inpt)'!$D$42:$U$73,18,0),IF($C$2='ASE Target vs Ach(Spares)(Inpt)'!$X$5,VLOOKUP(D17,'ASE Target vs Ach(Spares)(Inpt)'!$D$42:$X$73,21,0),IF($C$2='ASE Target vs Ach(Spares)(Inpt)'!$AA$5,VLOOKUP(D17,'ASE Target vs Ach(Spares)(Inpt)'!$D$42:$AA$73,24,0),IF($C$2='ASE Target vs Ach(Spares)(Inpt)'!$AD$5,VLOOKUP(D17,'ASE Target vs Ach(Spares)(Inpt)'!$D$42:$AD$73,27,0),IF($C$2='ASE Target vs Ach(Spares)(Inpt)'!$AG$5,VLOOKUP(D17,'ASE Target vs Ach(Spares)(Inpt)'!$D$42:$AG$73,30,0),IF($C$2='ASE Target vs Ach(Spares)(Inpt)'!$AJ$5,VLOOKUP(D17,'ASE Target vs Ach(Spares)(Inpt)'!$D$42:$AJ$73,33,0),IF($C$2='ASE Target vs Ach(Spares)(Inpt)'!$AM$5,VLOOKUP(D17,'ASE Target vs Ach(Spares)(Inpt)'!$D$42:$AM$73,36,0),"N/A"))))))))))))</f>
        <v>112500</v>
      </c>
      <c r="K17" s="17">
        <f>IF($C$2='ASE Target vs Ach(Spares)(Inpt)'!$F$5,VLOOKUP(D17,'ASE Target vs Ach(Spares)(Inpt)'!$D$42:$G$73,4,0),IF($C$2='ASE Target vs Ach(Spares)(Inpt)'!$I$5,VLOOKUP(D17,'ASE Target vs Ach(Spares)(Inpt)'!$D$42:$J$73,7,0),IF($C$2='ASE Target vs Ach(Spares)(Inpt)'!$L$5,VLOOKUP(D17,'ASE Target vs Ach(Spares)(Inpt)'!$D$42:$M$73,10,0),IF($C$2='ASE Target vs Ach(Spares)(Inpt)'!$O$5,VLOOKUP(D17,'ASE Target vs Ach(Spares)(Inpt)'!$D$42:$P$73,13,0),IF($C$2='ASE Target vs Ach(Spares)(Inpt)'!$R$5,VLOOKUP(D17,'ASE Target vs Ach(Spares)(Inpt)'!$D$42:$S$73,16,0),IF($C$2='ASE Target vs Ach(Spares)(Inpt)'!$U$5,VLOOKUP(D17,'ASE Target vs Ach(Spares)(Inpt)'!$D$42:$V$73,19,0),IF($C$2='ASE Target vs Ach(Spares)(Inpt)'!$X$5,VLOOKUP(D17,'ASE Target vs Ach(Spares)(Inpt)'!$D$42:$Y$73,22,0),IF($C$2='ASE Target vs Ach(Spares)(Inpt)'!$AA$5,VLOOKUP(D17,'ASE Target vs Ach(Spares)(Inpt)'!$D$42:$AB$73,25,0),IF($C$2='ASE Target vs Ach(Spares)(Inpt)'!$AD$5,VLOOKUP(D17,'ASE Target vs Ach(Spares)(Inpt)'!$D$42:$AE$73,28,0),IF($C$2='ASE Target vs Ach(Spares)(Inpt)'!$AG$5,VLOOKUP(D17,'ASE Target vs Ach(Spares)(Inpt)'!$D$42:$AH$73,31,0),IF($C$2='ASE Target vs Ach(Spares)(Inpt)'!$AJ$5,VLOOKUP(D17,'ASE Target vs Ach(Spares)(Inpt)'!$D$42:$AK$73,34,0),IF($C$2='ASE Target vs Ach(Spares)(Inpt)'!$AM$5,VLOOKUP(D17,'ASE Target vs Ach(Spares)(Inpt)'!$D$42:$AN$73,37,0),"N/A"))))))))))))</f>
        <v>129195</v>
      </c>
      <c r="L17" s="18">
        <f t="shared" si="1"/>
        <v>1.1484000000000001</v>
      </c>
      <c r="M17" s="19" t="str">
        <f t="shared" si="2"/>
        <v>Eligible</v>
      </c>
      <c r="N17" s="17">
        <f>IF(M17="Eligible",IF(K17&lt;Condition!$E$4,0,IF(K17=Condition!$E$4,Condition!$C$4*K17,IF(K17&lt;Condition!$F$4,Condition!$C$4*K17,IF(K17=Condition!$F$4,Condition!$C$5*K17,IF(K17&lt;Condition!$F$5,Condition!$C$5*K17,IF(K17=Condition!$F$5,Condition!$C$6*K17,IF(K17&lt;Condition!$F$6,Condition!$C$6*K17,IF(K17=Condition!$F$6,Condition!$C$7*K17,IF(K17&lt;Condition!$F$7,Condition!$C$7*K17,IF(K17=Condition!$F$7,Condition!$C$8*K17,IF(K17&lt;Condition!$F$8,Condition!$C$8*K17,IF(K17=Condition!$F$8,Condition!$C$9*K17,IF(K17&lt;Condition!$F$9,Condition!$C$9*K17,IF(K17=Condition!$F$9,Condition!$C$10*K17,IF(K17&gt;Condition!$F$10,Condition!$C$10*K17,""))))))))))))))),"")</f>
        <v>2260.9125000000004</v>
      </c>
      <c r="O17" s="142">
        <f>IF(M17="Eligible",IF(K17&lt;Condition!$E$4,0,IF(K17=Condition!$E$4,Condition!$D$4,IF(K17&lt;Condition!$F$4,Condition!$D$4,IF(K17=Condition!$F$4,Condition!$D$5,IF(K17&lt;Condition!$F$5,Condition!$D$5,IF(K17=Condition!$F$5,Condition!$D$6,IF(K17&lt;Condition!$F$6,Condition!$D$6,IF(K17=Condition!$F$6,Condition!$D$7,IF(K17&lt;Condition!$F$7,Condition!$D$7,IF(K17=Condition!$F$7,Condition!$D$8,IF(K17&lt;Condition!$F$8,Condition!$D$8,IF(K17=Condition!$F$8,Condition!$D$9,IF(K17&lt;Condition!$F$9,Condition!$D$9,IF(K17=Condition!$F$9,Condition!$D$10,IF(K17&gt;Condition!$F$10,Condition!$D$10,""))))))))))))))),"")</f>
        <v>750</v>
      </c>
      <c r="P17" s="142">
        <f t="shared" si="3"/>
        <v>166.95000000000002</v>
      </c>
      <c r="Q17" s="117">
        <f>VLOOKUP(D17,'ASE Ach(Lube Oil Sales)'!$D$5:$F$40,3,0)</f>
        <v>200</v>
      </c>
      <c r="R17" s="17">
        <f>Q17*Condition!$E$27</f>
        <v>1000</v>
      </c>
      <c r="S17" s="142">
        <f>VLOOKUP(D17,'ASE Ach (Service)(Input)'!$D$5:$F$34,3,0)</f>
        <v>112059</v>
      </c>
      <c r="T17" s="142">
        <f>VLOOKUP(D17,'ASE Ach (Service)(Input)'!$D$5:$G$34,4,0)</f>
        <v>0</v>
      </c>
      <c r="U17" s="142">
        <f>VLOOKUP(D17,'ASE Ach (Service)(Input)'!$D$48:$F$79,3,0)</f>
        <v>6450</v>
      </c>
      <c r="V17" s="142">
        <f>VLOOKUP(D17,'ASE Ach (Service)(Input)'!$D$48:$G$79,4,0)</f>
        <v>0</v>
      </c>
      <c r="W17" s="80">
        <f>IF($C$2='ASE Ach (CSA)(Input)'!$F$5,INDEX('ASE Ach (CSA)(Input)'!F:F,MATCH(D17,'ASE Ach (CSA)(Input)'!D:D,0)),IF($C$2='ASE Ach (CSA)(Input)'!$H$5,INDEX('ASE Ach (CSA)(Input)'!H:H,MATCH(D17,'ASE Ach (CSA)(Input)'!D:D,0)),IF($C$2='ASE Ach (CSA)(Input)'!$J$5,INDEX('ASE Ach (CSA)(Input)'!J:J,MATCH(D17,'ASE Ach (CSA)(Input)'!D:D,0)),IF($C$2='ASE Ach (CSA)(Input)'!$L$5,INDEX('ASE Ach (CSA)(Input)'!L:L,MATCH(D17,'ASE Ach (CSA)(Input)'!D:D,0)),IF($C$2='ASE Ach (CSA)(Input)'!$N$5,INDEX('ASE Ach (CSA)(Input)'!N:N,MATCH(D17,'ASE Ach (CSA)(Input)'!D:D,0)),IF($C$2='ASE Ach (CSA)(Input)'!$P$5,INDEX('ASE Ach (CSA)(Input)'!P:P,MATCH(D17,'ASE Ach (CSA)(Input)'!D:D,0)),IF($C$2='ASE Ach (CSA)(Input)'!$R$5,INDEX('ASE Ach (CSA)(Input)'!R:R,MATCH(D17,'ASE Ach (CSA)(Input)'!D:D,0)),IF($C$2='ASE Ach (CSA)(Input)'!$T$5,INDEX('ASE Ach (CSA)(Input)'!T:T,MATCH(D17,'ASE Ach (CSA)(Input)'!D:D,0)),IF($C$2='ASE Ach (CSA)(Input)'!$V$5,INDEX('ASE Ach (CSA)(Input)'!V:V,MATCH(D17,'ASE Ach (CSA)(Input)'!D:D,0)),IF($C$2='ASE Ach (CSA)(Input)'!$X$5,INDEX('ASE Ach (CSA)(Input)'!X:X,MATCH(D17,'ASE Ach (CSA)(Input)'!D:D,0)),IF($C$2='ASE Ach (CSA)(Input)'!$Z$5,INDEX('ASE Ach (CSA)(Input)'!Z:Z,MATCH(D17,'ASE Ach (CSA)(Input)'!D:D,0)),IF($C$2='ASE Ach (CSA)(Input)'!$AB$5,INDEX('ASE Ach (CSA)(Input)'!AB:AB,MATCH(D17,'ASE Ach (CSA)(Input)'!D:D,0)),"N/A"))))))))))))</f>
        <v>2</v>
      </c>
      <c r="X17" s="80">
        <f>IF($C$2='ASE Ach (CSA)(Input)'!$F$5,INDEX('ASE Ach (CSA)(Input)'!G:G,MATCH(D17,'ASE Ach (CSA)(Input)'!D:D,0)),IF($C$2='ASE Ach (CSA)(Input)'!$H$5,INDEX('ASE Ach (CSA)(Input)'!I:I,MATCH(D17,'ASE Ach (CSA)(Input)'!D:D,0)),IF($C$2='ASE Ach (CSA)(Input)'!$J$5,INDEX('ASE Ach (CSA)(Input)'!K:K,MATCH(D17,'ASE Ach (CSA)(Input)'!D:D,0)),IF($C$2='ASE Ach (CSA)(Input)'!$L$5,INDEX('ASE Ach (CSA)(Input)'!M:M,MATCH(D17,'ASE Ach (CSA)(Input)'!D:D,0)),IF($C$2='ASE Ach (CSA)(Input)'!$N$5,INDEX('ASE Ach (CSA)(Input)'!O:O,MATCH(D17,'ASE Ach (CSA)(Input)'!D:D,0)),IF($C$2='ASE Ach (CSA)(Input)'!$P$5,INDEX('ASE Ach (CSA)(Input)'!Q:Q,MATCH(D17,'ASE Ach (CSA)(Input)'!D:D,0)),IF($C$2='ASE Ach (CSA)(Input)'!$R$5,INDEX('ASE Ach (CSA)(Input)'!S:S,MATCH(D17,'ASE Ach (CSA)(Input)'!D:D,0)),IF($C$2='ASE Ach (CSA)(Input)'!$T$5,INDEX('ASE Ach (CSA)(Input)'!U:U,MATCH(D17,'ASE Ach (CSA)(Input)'!D:D,0)),IF($C$2='ASE Ach (CSA)(Input)'!$V$5,INDEX('ASE Ach (CSA)(Input)'!W:W,MATCH(D17,'ASE Ach (CSA)(Input)'!D:D,0)),IF($C$2='ASE Ach (CSA)(Input)'!$X$5,INDEX('ASE Ach (CSA)(Input)'!Y:Y,MATCH(D17,'ASE Ach (CSA)(Input)'!D:D,0)),IF($C$2='ASE Ach (CSA)(Input)'!$Z$5,INDEX('ASE Ach (CSA)(Input)'!AA:AA,MATCH(D17,'ASE Ach (CSA)(Input)'!D:D,0)),IF($C$2='ASE Ach (CSA)(Input)'!$AB$5,INDEX('ASE Ach (CSA)(Input)'!AC:AC,MATCH(D17,'ASE Ach (CSA)(Input)'!D:D,0)),"N/A"))))))))))))</f>
        <v>0</v>
      </c>
      <c r="Y17" s="142">
        <f>W17*Condition!$C$23+'Monthly Summary (No Input)'!X17*Condition!$E$24</f>
        <v>1000</v>
      </c>
      <c r="Z17" s="17">
        <f t="shared" si="4"/>
        <v>11627.862499999999</v>
      </c>
    </row>
    <row r="18" spans="2:26" x14ac:dyDescent="0.25">
      <c r="B18" s="15">
        <f>'ASE Target (Spares), FY 21-22'!A16</f>
        <v>11</v>
      </c>
      <c r="C18" s="15" t="str">
        <f>IF('ASE Target (Spares), FY 21-22'!B16=0,"",'ASE Target (Spares), FY 21-22'!B16)</f>
        <v>DSL-DHK</v>
      </c>
      <c r="D18" s="16" t="str">
        <f>'ASE Target (Spares), FY 21-22'!C16</f>
        <v>Ashraful Islam</v>
      </c>
      <c r="E18" s="15">
        <f>IF('ASE Target (Spares), FY 21-22'!D16=0,"",'ASE Target (Spares), FY 21-22'!D16)</f>
        <v>3003</v>
      </c>
      <c r="F18" s="17">
        <f>IFERROR(VLOOKUP(E18,'ASE Target (Spares), FY 21-22'!$D$5:$G$260,4,0),"")</f>
        <v>3600000</v>
      </c>
      <c r="G18" s="17">
        <f>IF($C$2='ASE Target vs Ach(Spares)(Inpt)'!$F$5,VLOOKUP(D18,'ASE Target vs Ach(Spares)(Inpt)'!$D$6:$F$37,3,0),IF($C$2='ASE Target vs Ach(Spares)(Inpt)'!$I$5,VLOOKUP(D18,'ASE Target vs Ach(Spares)(Inpt)'!$D$6:$I$37,6,0),IF($C$2='ASE Target vs Ach(Spares)(Inpt)'!$L$5,VLOOKUP(D18,'ASE Target vs Ach(Spares)(Inpt)'!$D$6:$L$37,9,0),IF($C$2='ASE Target vs Ach(Spares)(Inpt)'!$O$5,VLOOKUP(D18,'ASE Target vs Ach(Spares)(Inpt)'!$D$6:$O$37,12,0),IF($C$2='ASE Target vs Ach(Spares)(Inpt)'!$R$5,VLOOKUP(D18,'ASE Target vs Ach(Spares)(Inpt)'!$D$6:$R$37,15,0),IF($C$2='ASE Target vs Ach(Spares)(Inpt)'!$U$5,VLOOKUP(D18,'ASE Target vs Ach(Spares)(Inpt)'!$D$6:$U$37,18,0),IF($C$2='ASE Target vs Ach(Spares)(Inpt)'!$X$5,VLOOKUP(D18,'ASE Target vs Ach(Spares)(Inpt)'!$D$6:$X$37,21,0),IF($C$2='ASE Target vs Ach(Spares)(Inpt)'!$AA$5,VLOOKUP(D18,'ASE Target vs Ach(Spares)(Inpt)'!$D$6:$AA$37,24,0),IF($C$2='ASE Target vs Ach(Spares)(Inpt)'!$AD$5,VLOOKUP(D18,'ASE Target vs Ach(Spares)(Inpt)'!$D$6:$AD$37,27,0),IF($C$2='ASE Target vs Ach(Spares)(Inpt)'!$AG$5,VLOOKUP(D18,'ASE Target vs Ach(Spares)(Inpt)'!$D$6:$AG$37,30,0),IF($C$2='ASE Target vs Ach(Spares)(Inpt)'!$AJ$5,VLOOKUP(D18,'ASE Target vs Ach(Spares)(Inpt)'!$D$6:$AJ$37,33,0),IF($C$2='ASE Target vs Ach(Spares)(Inpt)'!$AM$5,VLOOKUP(D18,'ASE Target vs Ach(Spares)(Inpt)'!$D$6:$AM$37,36,0),"N/A"))))))))))))</f>
        <v>500000</v>
      </c>
      <c r="H18" s="17">
        <f>IF($C$2='ASE Target vs Ach(Spares)(Inpt)'!$F$5,VLOOKUP(D18,'ASE Target vs Ach(Spares)(Inpt)'!$D$6:$G$37,4,0),IF($C$2='ASE Target vs Ach(Spares)(Inpt)'!$I$5,VLOOKUP(D18,'ASE Target vs Ach(Spares)(Inpt)'!$D$6:$J$37,7,0),IF($C$2='ASE Target vs Ach(Spares)(Inpt)'!$L$5,VLOOKUP(D18,'ASE Target vs Ach(Spares)(Inpt)'!$D$6:$M$37,10,0),IF($C$2='ASE Target vs Ach(Spares)(Inpt)'!$O$5,VLOOKUP(D18,'ASE Target vs Ach(Spares)(Inpt)'!$D$6:$P$37,13,0),IF($C$2='ASE Target vs Ach(Spares)(Inpt)'!$R$5,VLOOKUP(D18,'ASE Target vs Ach(Spares)(Inpt)'!$D$6:$S$37,16,0),IF($C$2='ASE Target vs Ach(Spares)(Inpt)'!$U$5,VLOOKUP(D18,'ASE Target vs Ach(Spares)(Inpt)'!$D$6:$V$37,19,0),IF($C$2='ASE Target vs Ach(Spares)(Inpt)'!$X$5,VLOOKUP(D18,'ASE Target vs Ach(Spares)(Inpt)'!$D$6:$Y$37,22,0),IF($C$2='ASE Target vs Ach(Spares)(Inpt)'!$AA$5,VLOOKUP(D18,'ASE Target vs Ach(Spares)(Inpt)'!$D$6:$AB$37,25,0),IF($C$2='ASE Target vs Ach(Spares)(Inpt)'!$AD$5,VLOOKUP(D18,'ASE Target vs Ach(Spares)(Inpt)'!$D$6:$AE$37,28,0),IF($C$2='ASE Target vs Ach(Spares)(Inpt)'!$AG$5,VLOOKUP(D18,'ASE Target vs Ach(Spares)(Inpt)'!$D$6:$AH$37,31,0),IF($C$2='ASE Target vs Ach(Spares)(Inpt)'!$AJ$5,VLOOKUP(D18,'ASE Target vs Ach(Spares)(Inpt)'!$D$6:$AK$37,34,0),IF($C$2='ASE Target vs Ach(Spares)(Inpt)'!$AM$5,VLOOKUP(D18,'ASE Target vs Ach(Spares)(Inpt)'!$D$6:$AN$37,37,0),"N/A"))))))))))))</f>
        <v>747948</v>
      </c>
      <c r="I18" s="18">
        <f t="shared" si="0"/>
        <v>1.4958959999999999</v>
      </c>
      <c r="J18" s="17">
        <f>IF($C$2='ASE Target vs Ach(Spares)(Inpt)'!$F$5,VLOOKUP(D18,'ASE Target vs Ach(Spares)(Inpt)'!$D$42:$F$73,3,0),IF($C$2='ASE Target vs Ach(Spares)(Inpt)'!$I$5,VLOOKUP(D18,'ASE Target vs Ach(Spares)(Inpt)'!$D$42:$I$73,6,0),IF($C$2='ASE Target vs Ach(Spares)(Inpt)'!$L$5,VLOOKUP(D18,'ASE Target vs Ach(Spares)(Inpt)'!$D$42:$L$73,9,0),IF($C$2='ASE Target vs Ach(Spares)(Inpt)'!$O$5,VLOOKUP(D18,'ASE Target vs Ach(Spares)(Inpt)'!$D$42:$O$73,12,0),IF($C$2='ASE Target vs Ach(Spares)(Inpt)'!$R$5,VLOOKUP(D18,'ASE Target vs Ach(Spares)(Inpt)'!$D$42:$R$73,15,0),IF($C$2='ASE Target vs Ach(Spares)(Inpt)'!$U$5,VLOOKUP(D18,'ASE Target vs Ach(Spares)(Inpt)'!$D$42:$U$73,18,0),IF($C$2='ASE Target vs Ach(Spares)(Inpt)'!$X$5,VLOOKUP(D18,'ASE Target vs Ach(Spares)(Inpt)'!$D$42:$X$73,21,0),IF($C$2='ASE Target vs Ach(Spares)(Inpt)'!$AA$5,VLOOKUP(D18,'ASE Target vs Ach(Spares)(Inpt)'!$D$42:$AA$73,24,0),IF($C$2='ASE Target vs Ach(Spares)(Inpt)'!$AD$5,VLOOKUP(D18,'ASE Target vs Ach(Spares)(Inpt)'!$D$42:$AD$73,27,0),IF($C$2='ASE Target vs Ach(Spares)(Inpt)'!$AG$5,VLOOKUP(D18,'ASE Target vs Ach(Spares)(Inpt)'!$D$42:$AG$73,30,0),IF($C$2='ASE Target vs Ach(Spares)(Inpt)'!$AJ$5,VLOOKUP(D18,'ASE Target vs Ach(Spares)(Inpt)'!$D$42:$AJ$73,33,0),IF($C$2='ASE Target vs Ach(Spares)(Inpt)'!$AM$5,VLOOKUP(D18,'ASE Target vs Ach(Spares)(Inpt)'!$D$42:$AM$73,36,0),"N/A"))))))))))))</f>
        <v>225000</v>
      </c>
      <c r="K18" s="17">
        <f>IF($C$2='ASE Target vs Ach(Spares)(Inpt)'!$F$5,VLOOKUP(D18,'ASE Target vs Ach(Spares)(Inpt)'!$D$42:$G$73,4,0),IF($C$2='ASE Target vs Ach(Spares)(Inpt)'!$I$5,VLOOKUP(D18,'ASE Target vs Ach(Spares)(Inpt)'!$D$42:$J$73,7,0),IF($C$2='ASE Target vs Ach(Spares)(Inpt)'!$L$5,VLOOKUP(D18,'ASE Target vs Ach(Spares)(Inpt)'!$D$42:$M$73,10,0),IF($C$2='ASE Target vs Ach(Spares)(Inpt)'!$O$5,VLOOKUP(D18,'ASE Target vs Ach(Spares)(Inpt)'!$D$42:$P$73,13,0),IF($C$2='ASE Target vs Ach(Spares)(Inpt)'!$R$5,VLOOKUP(D18,'ASE Target vs Ach(Spares)(Inpt)'!$D$42:$S$73,16,0),IF($C$2='ASE Target vs Ach(Spares)(Inpt)'!$U$5,VLOOKUP(D18,'ASE Target vs Ach(Spares)(Inpt)'!$D$42:$V$73,19,0),IF($C$2='ASE Target vs Ach(Spares)(Inpt)'!$X$5,VLOOKUP(D18,'ASE Target vs Ach(Spares)(Inpt)'!$D$42:$Y$73,22,0),IF($C$2='ASE Target vs Ach(Spares)(Inpt)'!$AA$5,VLOOKUP(D18,'ASE Target vs Ach(Spares)(Inpt)'!$D$42:$AB$73,25,0),IF($C$2='ASE Target vs Ach(Spares)(Inpt)'!$AD$5,VLOOKUP(D18,'ASE Target vs Ach(Spares)(Inpt)'!$D$42:$AE$73,28,0),IF($C$2='ASE Target vs Ach(Spares)(Inpt)'!$AG$5,VLOOKUP(D18,'ASE Target vs Ach(Spares)(Inpt)'!$D$42:$AH$73,31,0),IF($C$2='ASE Target vs Ach(Spares)(Inpt)'!$AJ$5,VLOOKUP(D18,'ASE Target vs Ach(Spares)(Inpt)'!$D$42:$AK$73,34,0),IF($C$2='ASE Target vs Ach(Spares)(Inpt)'!$AM$5,VLOOKUP(D18,'ASE Target vs Ach(Spares)(Inpt)'!$D$42:$AN$73,37,0),"N/A"))))))))))))</f>
        <v>747948</v>
      </c>
      <c r="L18" s="18">
        <f t="shared" si="1"/>
        <v>3.3242133333333332</v>
      </c>
      <c r="M18" s="19" t="str">
        <f t="shared" si="2"/>
        <v>Eligible</v>
      </c>
      <c r="N18" s="17">
        <f>IF(M18="Eligible",IF(K18&lt;Condition!$E$4,0,IF(K18=Condition!$E$4,Condition!$C$4*K18,IF(K18&lt;Condition!$F$4,Condition!$C$4*K18,IF(K18=Condition!$F$4,Condition!$C$5*K18,IF(K18&lt;Condition!$F$5,Condition!$C$5*K18,IF(K18=Condition!$F$5,Condition!$C$6*K18,IF(K18&lt;Condition!$F$6,Condition!$C$6*K18,IF(K18=Condition!$F$6,Condition!$C$7*K18,IF(K18&lt;Condition!$F$7,Condition!$C$7*K18,IF(K18=Condition!$F$7,Condition!$C$8*K18,IF(K18&lt;Condition!$F$8,Condition!$C$8*K18,IF(K18=Condition!$F$8,Condition!$C$9*K18,IF(K18&lt;Condition!$F$9,Condition!$C$9*K18,IF(K18=Condition!$F$9,Condition!$C$10*K18,IF(K18&gt;Condition!$F$10,Condition!$C$10*K18,""))))))))))))))),"")</f>
        <v>24308.31</v>
      </c>
      <c r="O18" s="142">
        <f>IF(M18="Eligible",IF(K18&lt;Condition!$E$4,0,IF(K18=Condition!$E$4,Condition!$D$4,IF(K18&lt;Condition!$F$4,Condition!$D$4,IF(K18=Condition!$F$4,Condition!$D$5,IF(K18&lt;Condition!$F$5,Condition!$D$5,IF(K18=Condition!$F$5,Condition!$D$6,IF(K18&lt;Condition!$F$6,Condition!$D$6,IF(K18=Condition!$F$6,Condition!$D$7,IF(K18&lt;Condition!$F$7,Condition!$D$7,IF(K18=Condition!$F$7,Condition!$D$8,IF(K18&lt;Condition!$F$8,Condition!$D$8,IF(K18=Condition!$F$8,Condition!$D$9,IF(K18&lt;Condition!$F$9,Condition!$D$9,IF(K18=Condition!$F$9,Condition!$D$10,IF(K18&gt;Condition!$F$10,Condition!$D$10,""))))))))))))))),"")</f>
        <v>2500</v>
      </c>
      <c r="P18" s="142">
        <f t="shared" si="3"/>
        <v>5229.4800000000005</v>
      </c>
      <c r="Q18" s="117">
        <f>VLOOKUP(D18,'ASE Ach(Lube Oil Sales)'!$D$5:$F$40,3,0)</f>
        <v>350</v>
      </c>
      <c r="R18" s="17">
        <f>Q18*Condition!$E$27</f>
        <v>1750</v>
      </c>
      <c r="S18" s="142">
        <f>VLOOKUP(D18,'ASE Ach (Service)(Input)'!$D$5:$F$34,3,0)</f>
        <v>259519</v>
      </c>
      <c r="T18" s="142">
        <f>VLOOKUP(D18,'ASE Ach (Service)(Input)'!$D$5:$G$34,4,0)</f>
        <v>0</v>
      </c>
      <c r="U18" s="142">
        <f>VLOOKUP(D18,'ASE Ach (Service)(Input)'!$D$48:$F$79,3,0)</f>
        <v>5250</v>
      </c>
      <c r="V18" s="142">
        <f>VLOOKUP(D18,'ASE Ach (Service)(Input)'!$D$48:$G$79,4,0)</f>
        <v>0</v>
      </c>
      <c r="W18" s="80">
        <f>IF($C$2='ASE Ach (CSA)(Input)'!$F$5,INDEX('ASE Ach (CSA)(Input)'!F:F,MATCH(D18,'ASE Ach (CSA)(Input)'!D:D,0)),IF($C$2='ASE Ach (CSA)(Input)'!$H$5,INDEX('ASE Ach (CSA)(Input)'!H:H,MATCH(D18,'ASE Ach (CSA)(Input)'!D:D,0)),IF($C$2='ASE Ach (CSA)(Input)'!$J$5,INDEX('ASE Ach (CSA)(Input)'!J:J,MATCH(D18,'ASE Ach (CSA)(Input)'!D:D,0)),IF($C$2='ASE Ach (CSA)(Input)'!$L$5,INDEX('ASE Ach (CSA)(Input)'!L:L,MATCH(D18,'ASE Ach (CSA)(Input)'!D:D,0)),IF($C$2='ASE Ach (CSA)(Input)'!$N$5,INDEX('ASE Ach (CSA)(Input)'!N:N,MATCH(D18,'ASE Ach (CSA)(Input)'!D:D,0)),IF($C$2='ASE Ach (CSA)(Input)'!$P$5,INDEX('ASE Ach (CSA)(Input)'!P:P,MATCH(D18,'ASE Ach (CSA)(Input)'!D:D,0)),IF($C$2='ASE Ach (CSA)(Input)'!$R$5,INDEX('ASE Ach (CSA)(Input)'!R:R,MATCH(D18,'ASE Ach (CSA)(Input)'!D:D,0)),IF($C$2='ASE Ach (CSA)(Input)'!$T$5,INDEX('ASE Ach (CSA)(Input)'!T:T,MATCH(D18,'ASE Ach (CSA)(Input)'!D:D,0)),IF($C$2='ASE Ach (CSA)(Input)'!$V$5,INDEX('ASE Ach (CSA)(Input)'!V:V,MATCH(D18,'ASE Ach (CSA)(Input)'!D:D,0)),IF($C$2='ASE Ach (CSA)(Input)'!$X$5,INDEX('ASE Ach (CSA)(Input)'!X:X,MATCH(D18,'ASE Ach (CSA)(Input)'!D:D,0)),IF($C$2='ASE Ach (CSA)(Input)'!$Z$5,INDEX('ASE Ach (CSA)(Input)'!Z:Z,MATCH(D18,'ASE Ach (CSA)(Input)'!D:D,0)),IF($C$2='ASE Ach (CSA)(Input)'!$AB$5,INDEX('ASE Ach (CSA)(Input)'!AB:AB,MATCH(D18,'ASE Ach (CSA)(Input)'!D:D,0)),"N/A"))))))))))))</f>
        <v>0</v>
      </c>
      <c r="X18" s="80">
        <f>IF($C$2='ASE Ach (CSA)(Input)'!$F$5,INDEX('ASE Ach (CSA)(Input)'!G:G,MATCH(D18,'ASE Ach (CSA)(Input)'!D:D,0)),IF($C$2='ASE Ach (CSA)(Input)'!$H$5,INDEX('ASE Ach (CSA)(Input)'!I:I,MATCH(D18,'ASE Ach (CSA)(Input)'!D:D,0)),IF($C$2='ASE Ach (CSA)(Input)'!$J$5,INDEX('ASE Ach (CSA)(Input)'!K:K,MATCH(D18,'ASE Ach (CSA)(Input)'!D:D,0)),IF($C$2='ASE Ach (CSA)(Input)'!$L$5,INDEX('ASE Ach (CSA)(Input)'!M:M,MATCH(D18,'ASE Ach (CSA)(Input)'!D:D,0)),IF($C$2='ASE Ach (CSA)(Input)'!$N$5,INDEX('ASE Ach (CSA)(Input)'!O:O,MATCH(D18,'ASE Ach (CSA)(Input)'!D:D,0)),IF($C$2='ASE Ach (CSA)(Input)'!$P$5,INDEX('ASE Ach (CSA)(Input)'!Q:Q,MATCH(D18,'ASE Ach (CSA)(Input)'!D:D,0)),IF($C$2='ASE Ach (CSA)(Input)'!$R$5,INDEX('ASE Ach (CSA)(Input)'!S:S,MATCH(D18,'ASE Ach (CSA)(Input)'!D:D,0)),IF($C$2='ASE Ach (CSA)(Input)'!$T$5,INDEX('ASE Ach (CSA)(Input)'!U:U,MATCH(D18,'ASE Ach (CSA)(Input)'!D:D,0)),IF($C$2='ASE Ach (CSA)(Input)'!$V$5,INDEX('ASE Ach (CSA)(Input)'!W:W,MATCH(D18,'ASE Ach (CSA)(Input)'!D:D,0)),IF($C$2='ASE Ach (CSA)(Input)'!$X$5,INDEX('ASE Ach (CSA)(Input)'!Y:Y,MATCH(D18,'ASE Ach (CSA)(Input)'!D:D,0)),IF($C$2='ASE Ach (CSA)(Input)'!$Z$5,INDEX('ASE Ach (CSA)(Input)'!AA:AA,MATCH(D18,'ASE Ach (CSA)(Input)'!D:D,0)),IF($C$2='ASE Ach (CSA)(Input)'!$AB$5,INDEX('ASE Ach (CSA)(Input)'!AC:AC,MATCH(D18,'ASE Ach (CSA)(Input)'!D:D,0)),"N/A"))))))))))))</f>
        <v>0</v>
      </c>
      <c r="Y18" s="142">
        <f>W18*Condition!$C$23+'Monthly Summary (No Input)'!X18*Condition!$E$24</f>
        <v>0</v>
      </c>
      <c r="Z18" s="17">
        <f t="shared" si="4"/>
        <v>39037.79</v>
      </c>
    </row>
    <row r="19" spans="2:26" x14ac:dyDescent="0.25">
      <c r="B19" s="15">
        <f>'ASE Target (Spares), FY 21-22'!A17</f>
        <v>12</v>
      </c>
      <c r="C19" s="15" t="str">
        <f>IF('ASE Target (Spares), FY 21-22'!B17=0,"",'ASE Target (Spares), FY 21-22'!B17)</f>
        <v>DSL-DHK</v>
      </c>
      <c r="D19" s="16" t="str">
        <f>'ASE Target (Spares), FY 21-22'!C17</f>
        <v>Md. Rakibul Islam</v>
      </c>
      <c r="E19" s="15">
        <f>IF('ASE Target (Spares), FY 21-22'!D17=0,"",'ASE Target (Spares), FY 21-22'!D17)</f>
        <v>5690</v>
      </c>
      <c r="F19" s="17">
        <f>IFERROR(VLOOKUP(E19,'ASE Target (Spares), FY 21-22'!$D$5:$G$260,4,0),"")</f>
        <v>3600000</v>
      </c>
      <c r="G19" s="17">
        <f>IF($C$2='ASE Target vs Ach(Spares)(Inpt)'!$F$5,VLOOKUP(D19,'ASE Target vs Ach(Spares)(Inpt)'!$D$6:$F$37,3,0),IF($C$2='ASE Target vs Ach(Spares)(Inpt)'!$I$5,VLOOKUP(D19,'ASE Target vs Ach(Spares)(Inpt)'!$D$6:$I$37,6,0),IF($C$2='ASE Target vs Ach(Spares)(Inpt)'!$L$5,VLOOKUP(D19,'ASE Target vs Ach(Spares)(Inpt)'!$D$6:$L$37,9,0),IF($C$2='ASE Target vs Ach(Spares)(Inpt)'!$O$5,VLOOKUP(D19,'ASE Target vs Ach(Spares)(Inpt)'!$D$6:$O$37,12,0),IF($C$2='ASE Target vs Ach(Spares)(Inpt)'!$R$5,VLOOKUP(D19,'ASE Target vs Ach(Spares)(Inpt)'!$D$6:$R$37,15,0),IF($C$2='ASE Target vs Ach(Spares)(Inpt)'!$U$5,VLOOKUP(D19,'ASE Target vs Ach(Spares)(Inpt)'!$D$6:$U$37,18,0),IF($C$2='ASE Target vs Ach(Spares)(Inpt)'!$X$5,VLOOKUP(D19,'ASE Target vs Ach(Spares)(Inpt)'!$D$6:$X$37,21,0),IF($C$2='ASE Target vs Ach(Spares)(Inpt)'!$AA$5,VLOOKUP(D19,'ASE Target vs Ach(Spares)(Inpt)'!$D$6:$AA$37,24,0),IF($C$2='ASE Target vs Ach(Spares)(Inpt)'!$AD$5,VLOOKUP(D19,'ASE Target vs Ach(Spares)(Inpt)'!$D$6:$AD$37,27,0),IF($C$2='ASE Target vs Ach(Spares)(Inpt)'!$AG$5,VLOOKUP(D19,'ASE Target vs Ach(Spares)(Inpt)'!$D$6:$AG$37,30,0),IF($C$2='ASE Target vs Ach(Spares)(Inpt)'!$AJ$5,VLOOKUP(D19,'ASE Target vs Ach(Spares)(Inpt)'!$D$6:$AJ$37,33,0),IF($C$2='ASE Target vs Ach(Spares)(Inpt)'!$AM$5,VLOOKUP(D19,'ASE Target vs Ach(Spares)(Inpt)'!$D$6:$AM$37,36,0),"N/A"))))))))))))</f>
        <v>600000</v>
      </c>
      <c r="H19" s="17">
        <f>IF($C$2='ASE Target vs Ach(Spares)(Inpt)'!$F$5,VLOOKUP(D19,'ASE Target vs Ach(Spares)(Inpt)'!$D$6:$G$37,4,0),IF($C$2='ASE Target vs Ach(Spares)(Inpt)'!$I$5,VLOOKUP(D19,'ASE Target vs Ach(Spares)(Inpt)'!$D$6:$J$37,7,0),IF($C$2='ASE Target vs Ach(Spares)(Inpt)'!$L$5,VLOOKUP(D19,'ASE Target vs Ach(Spares)(Inpt)'!$D$6:$M$37,10,0),IF($C$2='ASE Target vs Ach(Spares)(Inpt)'!$O$5,VLOOKUP(D19,'ASE Target vs Ach(Spares)(Inpt)'!$D$6:$P$37,13,0),IF($C$2='ASE Target vs Ach(Spares)(Inpt)'!$R$5,VLOOKUP(D19,'ASE Target vs Ach(Spares)(Inpt)'!$D$6:$S$37,16,0),IF($C$2='ASE Target vs Ach(Spares)(Inpt)'!$U$5,VLOOKUP(D19,'ASE Target vs Ach(Spares)(Inpt)'!$D$6:$V$37,19,0),IF($C$2='ASE Target vs Ach(Spares)(Inpt)'!$X$5,VLOOKUP(D19,'ASE Target vs Ach(Spares)(Inpt)'!$D$6:$Y$37,22,0),IF($C$2='ASE Target vs Ach(Spares)(Inpt)'!$AA$5,VLOOKUP(D19,'ASE Target vs Ach(Spares)(Inpt)'!$D$6:$AB$37,25,0),IF($C$2='ASE Target vs Ach(Spares)(Inpt)'!$AD$5,VLOOKUP(D19,'ASE Target vs Ach(Spares)(Inpt)'!$D$6:$AE$37,28,0),IF($C$2='ASE Target vs Ach(Spares)(Inpt)'!$AG$5,VLOOKUP(D19,'ASE Target vs Ach(Spares)(Inpt)'!$D$6:$AH$37,31,0),IF($C$2='ASE Target vs Ach(Spares)(Inpt)'!$AJ$5,VLOOKUP(D19,'ASE Target vs Ach(Spares)(Inpt)'!$D$6:$AK$37,34,0),IF($C$2='ASE Target vs Ach(Spares)(Inpt)'!$AM$5,VLOOKUP(D19,'ASE Target vs Ach(Spares)(Inpt)'!$D$6:$AN$37,37,0),"N/A"))))))))))))</f>
        <v>542743</v>
      </c>
      <c r="I19" s="18">
        <f t="shared" si="0"/>
        <v>0.90457166666666666</v>
      </c>
      <c r="J19" s="17">
        <f>IF($C$2='ASE Target vs Ach(Spares)(Inpt)'!$F$5,VLOOKUP(D19,'ASE Target vs Ach(Spares)(Inpt)'!$D$42:$F$73,3,0),IF($C$2='ASE Target vs Ach(Spares)(Inpt)'!$I$5,VLOOKUP(D19,'ASE Target vs Ach(Spares)(Inpt)'!$D$42:$I$73,6,0),IF($C$2='ASE Target vs Ach(Spares)(Inpt)'!$L$5,VLOOKUP(D19,'ASE Target vs Ach(Spares)(Inpt)'!$D$42:$L$73,9,0),IF($C$2='ASE Target vs Ach(Spares)(Inpt)'!$O$5,VLOOKUP(D19,'ASE Target vs Ach(Spares)(Inpt)'!$D$42:$O$73,12,0),IF($C$2='ASE Target vs Ach(Spares)(Inpt)'!$R$5,VLOOKUP(D19,'ASE Target vs Ach(Spares)(Inpt)'!$D$42:$R$73,15,0),IF($C$2='ASE Target vs Ach(Spares)(Inpt)'!$U$5,VLOOKUP(D19,'ASE Target vs Ach(Spares)(Inpt)'!$D$42:$U$73,18,0),IF($C$2='ASE Target vs Ach(Spares)(Inpt)'!$X$5,VLOOKUP(D19,'ASE Target vs Ach(Spares)(Inpt)'!$D$42:$X$73,21,0),IF($C$2='ASE Target vs Ach(Spares)(Inpt)'!$AA$5,VLOOKUP(D19,'ASE Target vs Ach(Spares)(Inpt)'!$D$42:$AA$73,24,0),IF($C$2='ASE Target vs Ach(Spares)(Inpt)'!$AD$5,VLOOKUP(D19,'ASE Target vs Ach(Spares)(Inpt)'!$D$42:$AD$73,27,0),IF($C$2='ASE Target vs Ach(Spares)(Inpt)'!$AG$5,VLOOKUP(D19,'ASE Target vs Ach(Spares)(Inpt)'!$D$42:$AG$73,30,0),IF($C$2='ASE Target vs Ach(Spares)(Inpt)'!$AJ$5,VLOOKUP(D19,'ASE Target vs Ach(Spares)(Inpt)'!$D$42:$AJ$73,33,0),IF($C$2='ASE Target vs Ach(Spares)(Inpt)'!$AM$5,VLOOKUP(D19,'ASE Target vs Ach(Spares)(Inpt)'!$D$42:$AM$73,36,0),"N/A"))))))))))))</f>
        <v>270000</v>
      </c>
      <c r="K19" s="17">
        <f>IF($C$2='ASE Target vs Ach(Spares)(Inpt)'!$F$5,VLOOKUP(D19,'ASE Target vs Ach(Spares)(Inpt)'!$D$42:$G$73,4,0),IF($C$2='ASE Target vs Ach(Spares)(Inpt)'!$I$5,VLOOKUP(D19,'ASE Target vs Ach(Spares)(Inpt)'!$D$42:$J$73,7,0),IF($C$2='ASE Target vs Ach(Spares)(Inpt)'!$L$5,VLOOKUP(D19,'ASE Target vs Ach(Spares)(Inpt)'!$D$42:$M$73,10,0),IF($C$2='ASE Target vs Ach(Spares)(Inpt)'!$O$5,VLOOKUP(D19,'ASE Target vs Ach(Spares)(Inpt)'!$D$42:$P$73,13,0),IF($C$2='ASE Target vs Ach(Spares)(Inpt)'!$R$5,VLOOKUP(D19,'ASE Target vs Ach(Spares)(Inpt)'!$D$42:$S$73,16,0),IF($C$2='ASE Target vs Ach(Spares)(Inpt)'!$U$5,VLOOKUP(D19,'ASE Target vs Ach(Spares)(Inpt)'!$D$42:$V$73,19,0),IF($C$2='ASE Target vs Ach(Spares)(Inpt)'!$X$5,VLOOKUP(D19,'ASE Target vs Ach(Spares)(Inpt)'!$D$42:$Y$73,22,0),IF($C$2='ASE Target vs Ach(Spares)(Inpt)'!$AA$5,VLOOKUP(D19,'ASE Target vs Ach(Spares)(Inpt)'!$D$42:$AB$73,25,0),IF($C$2='ASE Target vs Ach(Spares)(Inpt)'!$AD$5,VLOOKUP(D19,'ASE Target vs Ach(Spares)(Inpt)'!$D$42:$AE$73,28,0),IF($C$2='ASE Target vs Ach(Spares)(Inpt)'!$AG$5,VLOOKUP(D19,'ASE Target vs Ach(Spares)(Inpt)'!$D$42:$AH$73,31,0),IF($C$2='ASE Target vs Ach(Spares)(Inpt)'!$AJ$5,VLOOKUP(D19,'ASE Target vs Ach(Spares)(Inpt)'!$D$42:$AK$73,34,0),IF($C$2='ASE Target vs Ach(Spares)(Inpt)'!$AM$5,VLOOKUP(D19,'ASE Target vs Ach(Spares)(Inpt)'!$D$42:$AN$73,37,0),"N/A"))))))))))))</f>
        <v>542743</v>
      </c>
      <c r="L19" s="18">
        <f t="shared" si="1"/>
        <v>2.0101592592592592</v>
      </c>
      <c r="M19" s="19" t="str">
        <f t="shared" si="2"/>
        <v>Eligible</v>
      </c>
      <c r="N19" s="17">
        <f>IF(M19="Eligible",IF(K19&lt;Condition!$E$4,0,IF(K19=Condition!$E$4,Condition!$C$4*K19,IF(K19&lt;Condition!$F$4,Condition!$C$4*K19,IF(K19=Condition!$F$4,Condition!$C$5*K19,IF(K19&lt;Condition!$F$5,Condition!$C$5*K19,IF(K19=Condition!$F$5,Condition!$C$6*K19,IF(K19&lt;Condition!$F$6,Condition!$C$6*K19,IF(K19=Condition!$F$6,Condition!$C$7*K19,IF(K19&lt;Condition!$F$7,Condition!$C$7*K19,IF(K19=Condition!$F$7,Condition!$C$8*K19,IF(K19&lt;Condition!$F$8,Condition!$C$8*K19,IF(K19=Condition!$F$8,Condition!$C$9*K19,IF(K19&lt;Condition!$F$9,Condition!$C$9*K19,IF(K19=Condition!$F$9,Condition!$C$10*K19,IF(K19&gt;Condition!$F$10,Condition!$C$10*K19,""))))))))))))))),"")</f>
        <v>16282.289999999999</v>
      </c>
      <c r="O19" s="142">
        <f>IF(M19="Eligible",IF(K19&lt;Condition!$E$4,0,IF(K19=Condition!$E$4,Condition!$D$4,IF(K19&lt;Condition!$F$4,Condition!$D$4,IF(K19=Condition!$F$4,Condition!$D$5,IF(K19&lt;Condition!$F$5,Condition!$D$5,IF(K19=Condition!$F$5,Condition!$D$6,IF(K19&lt;Condition!$F$6,Condition!$D$6,IF(K19=Condition!$F$6,Condition!$D$7,IF(K19&lt;Condition!$F$7,Condition!$D$7,IF(K19=Condition!$F$7,Condition!$D$8,IF(K19&lt;Condition!$F$8,Condition!$D$8,IF(K19=Condition!$F$8,Condition!$D$9,IF(K19&lt;Condition!$F$9,Condition!$D$9,IF(K19=Condition!$F$9,Condition!$D$10,IF(K19&gt;Condition!$F$10,Condition!$D$10,""))))))))))))))),"")</f>
        <v>2000</v>
      </c>
      <c r="P19" s="142">
        <f t="shared" si="3"/>
        <v>2727.43</v>
      </c>
      <c r="Q19" s="117">
        <f>VLOOKUP(D19,'ASE Ach(Lube Oil Sales)'!$D$5:$F$40,3,0)</f>
        <v>60</v>
      </c>
      <c r="R19" s="17">
        <f>Q19*Condition!$E$27</f>
        <v>300</v>
      </c>
      <c r="S19" s="142">
        <f>VLOOKUP(D19,'ASE Ach (Service)(Input)'!$D$5:$F$34,3,0)</f>
        <v>0</v>
      </c>
      <c r="T19" s="142">
        <f>VLOOKUP(D19,'ASE Ach (Service)(Input)'!$D$5:$G$34,4,0)</f>
        <v>0</v>
      </c>
      <c r="U19" s="142">
        <f>VLOOKUP(D19,'ASE Ach (Service)(Input)'!$D$48:$F$79,3,0)</f>
        <v>0</v>
      </c>
      <c r="V19" s="142">
        <f>VLOOKUP(D19,'ASE Ach (Service)(Input)'!$D$48:$G$79,4,0)</f>
        <v>0</v>
      </c>
      <c r="W19" s="80">
        <f>IF($C$2='ASE Ach (CSA)(Input)'!$F$5,INDEX('ASE Ach (CSA)(Input)'!F:F,MATCH(D19,'ASE Ach (CSA)(Input)'!D:D,0)),IF($C$2='ASE Ach (CSA)(Input)'!$H$5,INDEX('ASE Ach (CSA)(Input)'!H:H,MATCH(D19,'ASE Ach (CSA)(Input)'!D:D,0)),IF($C$2='ASE Ach (CSA)(Input)'!$J$5,INDEX('ASE Ach (CSA)(Input)'!J:J,MATCH(D19,'ASE Ach (CSA)(Input)'!D:D,0)),IF($C$2='ASE Ach (CSA)(Input)'!$L$5,INDEX('ASE Ach (CSA)(Input)'!L:L,MATCH(D19,'ASE Ach (CSA)(Input)'!D:D,0)),IF($C$2='ASE Ach (CSA)(Input)'!$N$5,INDEX('ASE Ach (CSA)(Input)'!N:N,MATCH(D19,'ASE Ach (CSA)(Input)'!D:D,0)),IF($C$2='ASE Ach (CSA)(Input)'!$P$5,INDEX('ASE Ach (CSA)(Input)'!P:P,MATCH(D19,'ASE Ach (CSA)(Input)'!D:D,0)),IF($C$2='ASE Ach (CSA)(Input)'!$R$5,INDEX('ASE Ach (CSA)(Input)'!R:R,MATCH(D19,'ASE Ach (CSA)(Input)'!D:D,0)),IF($C$2='ASE Ach (CSA)(Input)'!$T$5,INDEX('ASE Ach (CSA)(Input)'!T:T,MATCH(D19,'ASE Ach (CSA)(Input)'!D:D,0)),IF($C$2='ASE Ach (CSA)(Input)'!$V$5,INDEX('ASE Ach (CSA)(Input)'!V:V,MATCH(D19,'ASE Ach (CSA)(Input)'!D:D,0)),IF($C$2='ASE Ach (CSA)(Input)'!$X$5,INDEX('ASE Ach (CSA)(Input)'!X:X,MATCH(D19,'ASE Ach (CSA)(Input)'!D:D,0)),IF($C$2='ASE Ach (CSA)(Input)'!$Z$5,INDEX('ASE Ach (CSA)(Input)'!Z:Z,MATCH(D19,'ASE Ach (CSA)(Input)'!D:D,0)),IF($C$2='ASE Ach (CSA)(Input)'!$AB$5,INDEX('ASE Ach (CSA)(Input)'!AB:AB,MATCH(D19,'ASE Ach (CSA)(Input)'!D:D,0)),"N/A"))))))))))))</f>
        <v>0</v>
      </c>
      <c r="X19" s="80">
        <f>IF($C$2='ASE Ach (CSA)(Input)'!$F$5,INDEX('ASE Ach (CSA)(Input)'!G:G,MATCH(D19,'ASE Ach (CSA)(Input)'!D:D,0)),IF($C$2='ASE Ach (CSA)(Input)'!$H$5,INDEX('ASE Ach (CSA)(Input)'!I:I,MATCH(D19,'ASE Ach (CSA)(Input)'!D:D,0)),IF($C$2='ASE Ach (CSA)(Input)'!$J$5,INDEX('ASE Ach (CSA)(Input)'!K:K,MATCH(D19,'ASE Ach (CSA)(Input)'!D:D,0)),IF($C$2='ASE Ach (CSA)(Input)'!$L$5,INDEX('ASE Ach (CSA)(Input)'!M:M,MATCH(D19,'ASE Ach (CSA)(Input)'!D:D,0)),IF($C$2='ASE Ach (CSA)(Input)'!$N$5,INDEX('ASE Ach (CSA)(Input)'!O:O,MATCH(D19,'ASE Ach (CSA)(Input)'!D:D,0)),IF($C$2='ASE Ach (CSA)(Input)'!$P$5,INDEX('ASE Ach (CSA)(Input)'!Q:Q,MATCH(D19,'ASE Ach (CSA)(Input)'!D:D,0)),IF($C$2='ASE Ach (CSA)(Input)'!$R$5,INDEX('ASE Ach (CSA)(Input)'!S:S,MATCH(D19,'ASE Ach (CSA)(Input)'!D:D,0)),IF($C$2='ASE Ach (CSA)(Input)'!$T$5,INDEX('ASE Ach (CSA)(Input)'!U:U,MATCH(D19,'ASE Ach (CSA)(Input)'!D:D,0)),IF($C$2='ASE Ach (CSA)(Input)'!$V$5,INDEX('ASE Ach (CSA)(Input)'!W:W,MATCH(D19,'ASE Ach (CSA)(Input)'!D:D,0)),IF($C$2='ASE Ach (CSA)(Input)'!$X$5,INDEX('ASE Ach (CSA)(Input)'!Y:Y,MATCH(D19,'ASE Ach (CSA)(Input)'!D:D,0)),IF($C$2='ASE Ach (CSA)(Input)'!$Z$5,INDEX('ASE Ach (CSA)(Input)'!AA:AA,MATCH(D19,'ASE Ach (CSA)(Input)'!D:D,0)),IF($C$2='ASE Ach (CSA)(Input)'!$AB$5,INDEX('ASE Ach (CSA)(Input)'!AC:AC,MATCH(D19,'ASE Ach (CSA)(Input)'!D:D,0)),"N/A"))))))))))))</f>
        <v>0</v>
      </c>
      <c r="Y19" s="142">
        <f>W19*Condition!$C$23+'Monthly Summary (No Input)'!X19*Condition!$E$24</f>
        <v>0</v>
      </c>
      <c r="Z19" s="17">
        <f t="shared" si="4"/>
        <v>21309.72</v>
      </c>
    </row>
    <row r="20" spans="2:26" x14ac:dyDescent="0.25">
      <c r="B20" s="15">
        <f>'ASE Target (Spares), FY 21-22'!A18</f>
        <v>13</v>
      </c>
      <c r="C20" s="15" t="str">
        <f>IF('ASE Target (Spares), FY 21-22'!B18=0,"",'ASE Target (Spares), FY 21-22'!B18)</f>
        <v>DSL-DHK</v>
      </c>
      <c r="D20" s="16" t="str">
        <f>'ASE Target (Spares), FY 21-22'!C18</f>
        <v>Ohid Hasan Saikat</v>
      </c>
      <c r="E20" s="15">
        <f>IF('ASE Target (Spares), FY 21-22'!D18=0,"",'ASE Target (Spares), FY 21-22'!D18)</f>
        <v>5691</v>
      </c>
      <c r="F20" s="17">
        <f>IFERROR(VLOOKUP(E20,'ASE Target (Spares), FY 21-22'!$D$5:$G$260,4,0),"")</f>
        <v>1900000</v>
      </c>
      <c r="G20" s="17">
        <f>IF($C$2='ASE Target vs Ach(Spares)(Inpt)'!$F$5,VLOOKUP(D20,'ASE Target vs Ach(Spares)(Inpt)'!$D$6:$F$37,3,0),IF($C$2='ASE Target vs Ach(Spares)(Inpt)'!$I$5,VLOOKUP(D20,'ASE Target vs Ach(Spares)(Inpt)'!$D$6:$I$37,6,0),IF($C$2='ASE Target vs Ach(Spares)(Inpt)'!$L$5,VLOOKUP(D20,'ASE Target vs Ach(Spares)(Inpt)'!$D$6:$L$37,9,0),IF($C$2='ASE Target vs Ach(Spares)(Inpt)'!$O$5,VLOOKUP(D20,'ASE Target vs Ach(Spares)(Inpt)'!$D$6:$O$37,12,0),IF($C$2='ASE Target vs Ach(Spares)(Inpt)'!$R$5,VLOOKUP(D20,'ASE Target vs Ach(Spares)(Inpt)'!$D$6:$R$37,15,0),IF($C$2='ASE Target vs Ach(Spares)(Inpt)'!$U$5,VLOOKUP(D20,'ASE Target vs Ach(Spares)(Inpt)'!$D$6:$U$37,18,0),IF($C$2='ASE Target vs Ach(Spares)(Inpt)'!$X$5,VLOOKUP(D20,'ASE Target vs Ach(Spares)(Inpt)'!$D$6:$X$37,21,0),IF($C$2='ASE Target vs Ach(Spares)(Inpt)'!$AA$5,VLOOKUP(D20,'ASE Target vs Ach(Spares)(Inpt)'!$D$6:$AA$37,24,0),IF($C$2='ASE Target vs Ach(Spares)(Inpt)'!$AD$5,VLOOKUP(D20,'ASE Target vs Ach(Spares)(Inpt)'!$D$6:$AD$37,27,0),IF($C$2='ASE Target vs Ach(Spares)(Inpt)'!$AG$5,VLOOKUP(D20,'ASE Target vs Ach(Spares)(Inpt)'!$D$6:$AG$37,30,0),IF($C$2='ASE Target vs Ach(Spares)(Inpt)'!$AJ$5,VLOOKUP(D20,'ASE Target vs Ach(Spares)(Inpt)'!$D$6:$AJ$37,33,0),IF($C$2='ASE Target vs Ach(Spares)(Inpt)'!$AM$5,VLOOKUP(D20,'ASE Target vs Ach(Spares)(Inpt)'!$D$6:$AM$37,36,0),"N/A"))))))))))))</f>
        <v>300000</v>
      </c>
      <c r="H20" s="17">
        <f>IF($C$2='ASE Target vs Ach(Spares)(Inpt)'!$F$5,VLOOKUP(D20,'ASE Target vs Ach(Spares)(Inpt)'!$D$6:$G$37,4,0),IF($C$2='ASE Target vs Ach(Spares)(Inpt)'!$I$5,VLOOKUP(D20,'ASE Target vs Ach(Spares)(Inpt)'!$D$6:$J$37,7,0),IF($C$2='ASE Target vs Ach(Spares)(Inpt)'!$L$5,VLOOKUP(D20,'ASE Target vs Ach(Spares)(Inpt)'!$D$6:$M$37,10,0),IF($C$2='ASE Target vs Ach(Spares)(Inpt)'!$O$5,VLOOKUP(D20,'ASE Target vs Ach(Spares)(Inpt)'!$D$6:$P$37,13,0),IF($C$2='ASE Target vs Ach(Spares)(Inpt)'!$R$5,VLOOKUP(D20,'ASE Target vs Ach(Spares)(Inpt)'!$D$6:$S$37,16,0),IF($C$2='ASE Target vs Ach(Spares)(Inpt)'!$U$5,VLOOKUP(D20,'ASE Target vs Ach(Spares)(Inpt)'!$D$6:$V$37,19,0),IF($C$2='ASE Target vs Ach(Spares)(Inpt)'!$X$5,VLOOKUP(D20,'ASE Target vs Ach(Spares)(Inpt)'!$D$6:$Y$37,22,0),IF($C$2='ASE Target vs Ach(Spares)(Inpt)'!$AA$5,VLOOKUP(D20,'ASE Target vs Ach(Spares)(Inpt)'!$D$6:$AB$37,25,0),IF($C$2='ASE Target vs Ach(Spares)(Inpt)'!$AD$5,VLOOKUP(D20,'ASE Target vs Ach(Spares)(Inpt)'!$D$6:$AE$37,28,0),IF($C$2='ASE Target vs Ach(Spares)(Inpt)'!$AG$5,VLOOKUP(D20,'ASE Target vs Ach(Spares)(Inpt)'!$D$6:$AH$37,31,0),IF($C$2='ASE Target vs Ach(Spares)(Inpt)'!$AJ$5,VLOOKUP(D20,'ASE Target vs Ach(Spares)(Inpt)'!$D$6:$AK$37,34,0),IF($C$2='ASE Target vs Ach(Spares)(Inpt)'!$AM$5,VLOOKUP(D20,'ASE Target vs Ach(Spares)(Inpt)'!$D$6:$AN$37,37,0),"N/A"))))))))))))</f>
        <v>0</v>
      </c>
      <c r="I20" s="18">
        <f t="shared" si="0"/>
        <v>0</v>
      </c>
      <c r="J20" s="17">
        <f>IF($C$2='ASE Target vs Ach(Spares)(Inpt)'!$F$5,VLOOKUP(D20,'ASE Target vs Ach(Spares)(Inpt)'!$D$42:$F$73,3,0),IF($C$2='ASE Target vs Ach(Spares)(Inpt)'!$I$5,VLOOKUP(D20,'ASE Target vs Ach(Spares)(Inpt)'!$D$42:$I$73,6,0),IF($C$2='ASE Target vs Ach(Spares)(Inpt)'!$L$5,VLOOKUP(D20,'ASE Target vs Ach(Spares)(Inpt)'!$D$42:$L$73,9,0),IF($C$2='ASE Target vs Ach(Spares)(Inpt)'!$O$5,VLOOKUP(D20,'ASE Target vs Ach(Spares)(Inpt)'!$D$42:$O$73,12,0),IF($C$2='ASE Target vs Ach(Spares)(Inpt)'!$R$5,VLOOKUP(D20,'ASE Target vs Ach(Spares)(Inpt)'!$D$42:$R$73,15,0),IF($C$2='ASE Target vs Ach(Spares)(Inpt)'!$U$5,VLOOKUP(D20,'ASE Target vs Ach(Spares)(Inpt)'!$D$42:$U$73,18,0),IF($C$2='ASE Target vs Ach(Spares)(Inpt)'!$X$5,VLOOKUP(D20,'ASE Target vs Ach(Spares)(Inpt)'!$D$42:$X$73,21,0),IF($C$2='ASE Target vs Ach(Spares)(Inpt)'!$AA$5,VLOOKUP(D20,'ASE Target vs Ach(Spares)(Inpt)'!$D$42:$AA$73,24,0),IF($C$2='ASE Target vs Ach(Spares)(Inpt)'!$AD$5,VLOOKUP(D20,'ASE Target vs Ach(Spares)(Inpt)'!$D$42:$AD$73,27,0),IF($C$2='ASE Target vs Ach(Spares)(Inpt)'!$AG$5,VLOOKUP(D20,'ASE Target vs Ach(Spares)(Inpt)'!$D$42:$AG$73,30,0),IF($C$2='ASE Target vs Ach(Spares)(Inpt)'!$AJ$5,VLOOKUP(D20,'ASE Target vs Ach(Spares)(Inpt)'!$D$42:$AJ$73,33,0),IF($C$2='ASE Target vs Ach(Spares)(Inpt)'!$AM$5,VLOOKUP(D20,'ASE Target vs Ach(Spares)(Inpt)'!$D$42:$AM$73,36,0),"N/A"))))))))))))</f>
        <v>135000</v>
      </c>
      <c r="K20" s="17">
        <f>IF($C$2='ASE Target vs Ach(Spares)(Inpt)'!$F$5,VLOOKUP(D20,'ASE Target vs Ach(Spares)(Inpt)'!$D$42:$G$73,4,0),IF($C$2='ASE Target vs Ach(Spares)(Inpt)'!$I$5,VLOOKUP(D20,'ASE Target vs Ach(Spares)(Inpt)'!$D$42:$J$73,7,0),IF($C$2='ASE Target vs Ach(Spares)(Inpt)'!$L$5,VLOOKUP(D20,'ASE Target vs Ach(Spares)(Inpt)'!$D$42:$M$73,10,0),IF($C$2='ASE Target vs Ach(Spares)(Inpt)'!$O$5,VLOOKUP(D20,'ASE Target vs Ach(Spares)(Inpt)'!$D$42:$P$73,13,0),IF($C$2='ASE Target vs Ach(Spares)(Inpt)'!$R$5,VLOOKUP(D20,'ASE Target vs Ach(Spares)(Inpt)'!$D$42:$S$73,16,0),IF($C$2='ASE Target vs Ach(Spares)(Inpt)'!$U$5,VLOOKUP(D20,'ASE Target vs Ach(Spares)(Inpt)'!$D$42:$V$73,19,0),IF($C$2='ASE Target vs Ach(Spares)(Inpt)'!$X$5,VLOOKUP(D20,'ASE Target vs Ach(Spares)(Inpt)'!$D$42:$Y$73,22,0),IF($C$2='ASE Target vs Ach(Spares)(Inpt)'!$AA$5,VLOOKUP(D20,'ASE Target vs Ach(Spares)(Inpt)'!$D$42:$AB$73,25,0),IF($C$2='ASE Target vs Ach(Spares)(Inpt)'!$AD$5,VLOOKUP(D20,'ASE Target vs Ach(Spares)(Inpt)'!$D$42:$AE$73,28,0),IF($C$2='ASE Target vs Ach(Spares)(Inpt)'!$AG$5,VLOOKUP(D20,'ASE Target vs Ach(Spares)(Inpt)'!$D$42:$AH$73,31,0),IF($C$2='ASE Target vs Ach(Spares)(Inpt)'!$AJ$5,VLOOKUP(D20,'ASE Target vs Ach(Spares)(Inpt)'!$D$42:$AK$73,34,0),IF($C$2='ASE Target vs Ach(Spares)(Inpt)'!$AM$5,VLOOKUP(D20,'ASE Target vs Ach(Spares)(Inpt)'!$D$42:$AN$73,37,0),"N/A"))))))))))))</f>
        <v>0</v>
      </c>
      <c r="L20" s="18">
        <f t="shared" si="1"/>
        <v>0</v>
      </c>
      <c r="M20" s="19" t="str">
        <f t="shared" si="2"/>
        <v>Not Eligible</v>
      </c>
      <c r="N20" s="17" t="str">
        <f>IF(M20="Eligible",IF(K20&lt;Condition!$E$4,0,IF(K20=Condition!$E$4,Condition!$C$4*K20,IF(K20&lt;Condition!$F$4,Condition!$C$4*K20,IF(K20=Condition!$F$4,Condition!$C$5*K20,IF(K20&lt;Condition!$F$5,Condition!$C$5*K20,IF(K20=Condition!$F$5,Condition!$C$6*K20,IF(K20&lt;Condition!$F$6,Condition!$C$6*K20,IF(K20=Condition!$F$6,Condition!$C$7*K20,IF(K20&lt;Condition!$F$7,Condition!$C$7*K20,IF(K20=Condition!$F$7,Condition!$C$8*K20,IF(K20&lt;Condition!$F$8,Condition!$C$8*K20,IF(K20=Condition!$F$8,Condition!$C$9*K20,IF(K20&lt;Condition!$F$9,Condition!$C$9*K20,IF(K20=Condition!$F$9,Condition!$C$10*K20,IF(K20&gt;Condition!$F$10,Condition!$C$10*K20,""))))))))))))))),"")</f>
        <v/>
      </c>
      <c r="O20" s="142" t="str">
        <f>IF(M20="Eligible",IF(K20&lt;Condition!$E$4,0,IF(K20=Condition!$E$4,Condition!$D$4,IF(K20&lt;Condition!$F$4,Condition!$D$4,IF(K20=Condition!$F$4,Condition!$D$5,IF(K20&lt;Condition!$F$5,Condition!$D$5,IF(K20=Condition!$F$5,Condition!$D$6,IF(K20&lt;Condition!$F$6,Condition!$D$6,IF(K20=Condition!$F$6,Condition!$D$7,IF(K20&lt;Condition!$F$7,Condition!$D$7,IF(K20=Condition!$F$7,Condition!$D$8,IF(K20&lt;Condition!$F$8,Condition!$D$8,IF(K20=Condition!$F$8,Condition!$D$9,IF(K20&lt;Condition!$F$9,Condition!$D$9,IF(K20=Condition!$F$9,Condition!$D$10,IF(K20&gt;Condition!$F$10,Condition!$D$10,""))))))))))))))),"")</f>
        <v/>
      </c>
      <c r="P20" s="142" t="str">
        <f t="shared" si="3"/>
        <v/>
      </c>
      <c r="Q20" s="117">
        <f>VLOOKUP(D20,'ASE Ach(Lube Oil Sales)'!$D$5:$F$40,3,0)</f>
        <v>0</v>
      </c>
      <c r="R20" s="17">
        <f>Q20*Condition!$E$27</f>
        <v>0</v>
      </c>
      <c r="S20" s="142">
        <f>VLOOKUP(D20,'ASE Ach (Service)(Input)'!$D$5:$F$34,3,0)</f>
        <v>293913</v>
      </c>
      <c r="T20" s="142">
        <f>VLOOKUP(D20,'ASE Ach (Service)(Input)'!$D$5:$G$34,4,0)</f>
        <v>12830</v>
      </c>
      <c r="U20" s="142">
        <f>VLOOKUP(D20,'ASE Ach (Service)(Input)'!$D$48:$F$79,3,0)</f>
        <v>6900</v>
      </c>
      <c r="V20" s="142">
        <f>VLOOKUP(D20,'ASE Ach (Service)(Input)'!$D$48:$G$79,4,0)</f>
        <v>700</v>
      </c>
      <c r="W20" s="80">
        <f>IF($C$2='ASE Ach (CSA)(Input)'!$F$5,INDEX('ASE Ach (CSA)(Input)'!F:F,MATCH(D20,'ASE Ach (CSA)(Input)'!D:D,0)),IF($C$2='ASE Ach (CSA)(Input)'!$H$5,INDEX('ASE Ach (CSA)(Input)'!H:H,MATCH(D20,'ASE Ach (CSA)(Input)'!D:D,0)),IF($C$2='ASE Ach (CSA)(Input)'!$J$5,INDEX('ASE Ach (CSA)(Input)'!J:J,MATCH(D20,'ASE Ach (CSA)(Input)'!D:D,0)),IF($C$2='ASE Ach (CSA)(Input)'!$L$5,INDEX('ASE Ach (CSA)(Input)'!L:L,MATCH(D20,'ASE Ach (CSA)(Input)'!D:D,0)),IF($C$2='ASE Ach (CSA)(Input)'!$N$5,INDEX('ASE Ach (CSA)(Input)'!N:N,MATCH(D20,'ASE Ach (CSA)(Input)'!D:D,0)),IF($C$2='ASE Ach (CSA)(Input)'!$P$5,INDEX('ASE Ach (CSA)(Input)'!P:P,MATCH(D20,'ASE Ach (CSA)(Input)'!D:D,0)),IF($C$2='ASE Ach (CSA)(Input)'!$R$5,INDEX('ASE Ach (CSA)(Input)'!R:R,MATCH(D20,'ASE Ach (CSA)(Input)'!D:D,0)),IF($C$2='ASE Ach (CSA)(Input)'!$T$5,INDEX('ASE Ach (CSA)(Input)'!T:T,MATCH(D20,'ASE Ach (CSA)(Input)'!D:D,0)),IF($C$2='ASE Ach (CSA)(Input)'!$V$5,INDEX('ASE Ach (CSA)(Input)'!V:V,MATCH(D20,'ASE Ach (CSA)(Input)'!D:D,0)),IF($C$2='ASE Ach (CSA)(Input)'!$X$5,INDEX('ASE Ach (CSA)(Input)'!X:X,MATCH(D20,'ASE Ach (CSA)(Input)'!D:D,0)),IF($C$2='ASE Ach (CSA)(Input)'!$Z$5,INDEX('ASE Ach (CSA)(Input)'!Z:Z,MATCH(D20,'ASE Ach (CSA)(Input)'!D:D,0)),IF($C$2='ASE Ach (CSA)(Input)'!$AB$5,INDEX('ASE Ach (CSA)(Input)'!AB:AB,MATCH(D20,'ASE Ach (CSA)(Input)'!D:D,0)),"N/A"))))))))))))</f>
        <v>0</v>
      </c>
      <c r="X20" s="80">
        <f>IF($C$2='ASE Ach (CSA)(Input)'!$F$5,INDEX('ASE Ach (CSA)(Input)'!G:G,MATCH(D20,'ASE Ach (CSA)(Input)'!D:D,0)),IF($C$2='ASE Ach (CSA)(Input)'!$H$5,INDEX('ASE Ach (CSA)(Input)'!I:I,MATCH(D20,'ASE Ach (CSA)(Input)'!D:D,0)),IF($C$2='ASE Ach (CSA)(Input)'!$J$5,INDEX('ASE Ach (CSA)(Input)'!K:K,MATCH(D20,'ASE Ach (CSA)(Input)'!D:D,0)),IF($C$2='ASE Ach (CSA)(Input)'!$L$5,INDEX('ASE Ach (CSA)(Input)'!M:M,MATCH(D20,'ASE Ach (CSA)(Input)'!D:D,0)),IF($C$2='ASE Ach (CSA)(Input)'!$N$5,INDEX('ASE Ach (CSA)(Input)'!O:O,MATCH(D20,'ASE Ach (CSA)(Input)'!D:D,0)),IF($C$2='ASE Ach (CSA)(Input)'!$P$5,INDEX('ASE Ach (CSA)(Input)'!Q:Q,MATCH(D20,'ASE Ach (CSA)(Input)'!D:D,0)),IF($C$2='ASE Ach (CSA)(Input)'!$R$5,INDEX('ASE Ach (CSA)(Input)'!S:S,MATCH(D20,'ASE Ach (CSA)(Input)'!D:D,0)),IF($C$2='ASE Ach (CSA)(Input)'!$T$5,INDEX('ASE Ach (CSA)(Input)'!U:U,MATCH(D20,'ASE Ach (CSA)(Input)'!D:D,0)),IF($C$2='ASE Ach (CSA)(Input)'!$V$5,INDEX('ASE Ach (CSA)(Input)'!W:W,MATCH(D20,'ASE Ach (CSA)(Input)'!D:D,0)),IF($C$2='ASE Ach (CSA)(Input)'!$X$5,INDEX('ASE Ach (CSA)(Input)'!Y:Y,MATCH(D20,'ASE Ach (CSA)(Input)'!D:D,0)),IF($C$2='ASE Ach (CSA)(Input)'!$Z$5,INDEX('ASE Ach (CSA)(Input)'!AA:AA,MATCH(D20,'ASE Ach (CSA)(Input)'!D:D,0)),IF($C$2='ASE Ach (CSA)(Input)'!$AB$5,INDEX('ASE Ach (CSA)(Input)'!AC:AC,MATCH(D20,'ASE Ach (CSA)(Input)'!D:D,0)),"N/A"))))))))))))</f>
        <v>0</v>
      </c>
      <c r="Y20" s="142">
        <f>W20*Condition!$C$23+'Monthly Summary (No Input)'!X20*Condition!$E$24</f>
        <v>0</v>
      </c>
      <c r="Z20" s="17">
        <f t="shared" si="4"/>
        <v>7600</v>
      </c>
    </row>
    <row r="21" spans="2:26" x14ac:dyDescent="0.25">
      <c r="B21" s="15">
        <f>'ASE Target (Spares), FY 21-22'!A19</f>
        <v>14</v>
      </c>
      <c r="C21" s="15" t="str">
        <f>IF('ASE Target (Spares), FY 21-22'!B19=0,"",'ASE Target (Spares), FY 21-22'!B19)</f>
        <v>DSL-DHK</v>
      </c>
      <c r="D21" s="16" t="str">
        <f>'ASE Target (Spares), FY 21-22'!C19</f>
        <v>Abdullah Al Mahmud</v>
      </c>
      <c r="E21" s="15">
        <f>IF('ASE Target (Spares), FY 21-22'!D19=0,"",'ASE Target (Spares), FY 21-22'!D19)</f>
        <v>5692</v>
      </c>
      <c r="F21" s="17">
        <f>IFERROR(VLOOKUP(E21,'ASE Target (Spares), FY 21-22'!$D$5:$G$260,4,0),"")</f>
        <v>2700000</v>
      </c>
      <c r="G21" s="17">
        <f>IF($C$2='ASE Target vs Ach(Spares)(Inpt)'!$F$5,VLOOKUP(D21,'ASE Target vs Ach(Spares)(Inpt)'!$D$6:$F$37,3,0),IF($C$2='ASE Target vs Ach(Spares)(Inpt)'!$I$5,VLOOKUP(D21,'ASE Target vs Ach(Spares)(Inpt)'!$D$6:$I$37,6,0),IF($C$2='ASE Target vs Ach(Spares)(Inpt)'!$L$5,VLOOKUP(D21,'ASE Target vs Ach(Spares)(Inpt)'!$D$6:$L$37,9,0),IF($C$2='ASE Target vs Ach(Spares)(Inpt)'!$O$5,VLOOKUP(D21,'ASE Target vs Ach(Spares)(Inpt)'!$D$6:$O$37,12,0),IF($C$2='ASE Target vs Ach(Spares)(Inpt)'!$R$5,VLOOKUP(D21,'ASE Target vs Ach(Spares)(Inpt)'!$D$6:$R$37,15,0),IF($C$2='ASE Target vs Ach(Spares)(Inpt)'!$U$5,VLOOKUP(D21,'ASE Target vs Ach(Spares)(Inpt)'!$D$6:$U$37,18,0),IF($C$2='ASE Target vs Ach(Spares)(Inpt)'!$X$5,VLOOKUP(D21,'ASE Target vs Ach(Spares)(Inpt)'!$D$6:$X$37,21,0),IF($C$2='ASE Target vs Ach(Spares)(Inpt)'!$AA$5,VLOOKUP(D21,'ASE Target vs Ach(Spares)(Inpt)'!$D$6:$AA$37,24,0),IF($C$2='ASE Target vs Ach(Spares)(Inpt)'!$AD$5,VLOOKUP(D21,'ASE Target vs Ach(Spares)(Inpt)'!$D$6:$AD$37,27,0),IF($C$2='ASE Target vs Ach(Spares)(Inpt)'!$AG$5,VLOOKUP(D21,'ASE Target vs Ach(Spares)(Inpt)'!$D$6:$AG$37,30,0),IF($C$2='ASE Target vs Ach(Spares)(Inpt)'!$AJ$5,VLOOKUP(D21,'ASE Target vs Ach(Spares)(Inpt)'!$D$6:$AJ$37,33,0),IF($C$2='ASE Target vs Ach(Spares)(Inpt)'!$AM$5,VLOOKUP(D21,'ASE Target vs Ach(Spares)(Inpt)'!$D$6:$AM$37,36,0),"N/A"))))))))))))</f>
        <v>400000</v>
      </c>
      <c r="H21" s="17">
        <f>IF($C$2='ASE Target vs Ach(Spares)(Inpt)'!$F$5,VLOOKUP(D21,'ASE Target vs Ach(Spares)(Inpt)'!$D$6:$G$37,4,0),IF($C$2='ASE Target vs Ach(Spares)(Inpt)'!$I$5,VLOOKUP(D21,'ASE Target vs Ach(Spares)(Inpt)'!$D$6:$J$37,7,0),IF($C$2='ASE Target vs Ach(Spares)(Inpt)'!$L$5,VLOOKUP(D21,'ASE Target vs Ach(Spares)(Inpt)'!$D$6:$M$37,10,0),IF($C$2='ASE Target vs Ach(Spares)(Inpt)'!$O$5,VLOOKUP(D21,'ASE Target vs Ach(Spares)(Inpt)'!$D$6:$P$37,13,0),IF($C$2='ASE Target vs Ach(Spares)(Inpt)'!$R$5,VLOOKUP(D21,'ASE Target vs Ach(Spares)(Inpt)'!$D$6:$S$37,16,0),IF($C$2='ASE Target vs Ach(Spares)(Inpt)'!$U$5,VLOOKUP(D21,'ASE Target vs Ach(Spares)(Inpt)'!$D$6:$V$37,19,0),IF($C$2='ASE Target vs Ach(Spares)(Inpt)'!$X$5,VLOOKUP(D21,'ASE Target vs Ach(Spares)(Inpt)'!$D$6:$Y$37,22,0),IF($C$2='ASE Target vs Ach(Spares)(Inpt)'!$AA$5,VLOOKUP(D21,'ASE Target vs Ach(Spares)(Inpt)'!$D$6:$AB$37,25,0),IF($C$2='ASE Target vs Ach(Spares)(Inpt)'!$AD$5,VLOOKUP(D21,'ASE Target vs Ach(Spares)(Inpt)'!$D$6:$AE$37,28,0),IF($C$2='ASE Target vs Ach(Spares)(Inpt)'!$AG$5,VLOOKUP(D21,'ASE Target vs Ach(Spares)(Inpt)'!$D$6:$AH$37,31,0),IF($C$2='ASE Target vs Ach(Spares)(Inpt)'!$AJ$5,VLOOKUP(D21,'ASE Target vs Ach(Spares)(Inpt)'!$D$6:$AK$37,34,0),IF($C$2='ASE Target vs Ach(Spares)(Inpt)'!$AM$5,VLOOKUP(D21,'ASE Target vs Ach(Spares)(Inpt)'!$D$6:$AN$37,37,0),"N/A"))))))))))))</f>
        <v>0</v>
      </c>
      <c r="I21" s="18">
        <f t="shared" si="0"/>
        <v>0</v>
      </c>
      <c r="J21" s="17">
        <f>IF($C$2='ASE Target vs Ach(Spares)(Inpt)'!$F$5,VLOOKUP(D21,'ASE Target vs Ach(Spares)(Inpt)'!$D$42:$F$73,3,0),IF($C$2='ASE Target vs Ach(Spares)(Inpt)'!$I$5,VLOOKUP(D21,'ASE Target vs Ach(Spares)(Inpt)'!$D$42:$I$73,6,0),IF($C$2='ASE Target vs Ach(Spares)(Inpt)'!$L$5,VLOOKUP(D21,'ASE Target vs Ach(Spares)(Inpt)'!$D$42:$L$73,9,0),IF($C$2='ASE Target vs Ach(Spares)(Inpt)'!$O$5,VLOOKUP(D21,'ASE Target vs Ach(Spares)(Inpt)'!$D$42:$O$73,12,0),IF($C$2='ASE Target vs Ach(Spares)(Inpt)'!$R$5,VLOOKUP(D21,'ASE Target vs Ach(Spares)(Inpt)'!$D$42:$R$73,15,0),IF($C$2='ASE Target vs Ach(Spares)(Inpt)'!$U$5,VLOOKUP(D21,'ASE Target vs Ach(Spares)(Inpt)'!$D$42:$U$73,18,0),IF($C$2='ASE Target vs Ach(Spares)(Inpt)'!$X$5,VLOOKUP(D21,'ASE Target vs Ach(Spares)(Inpt)'!$D$42:$X$73,21,0),IF($C$2='ASE Target vs Ach(Spares)(Inpt)'!$AA$5,VLOOKUP(D21,'ASE Target vs Ach(Spares)(Inpt)'!$D$42:$AA$73,24,0),IF($C$2='ASE Target vs Ach(Spares)(Inpt)'!$AD$5,VLOOKUP(D21,'ASE Target vs Ach(Spares)(Inpt)'!$D$42:$AD$73,27,0),IF($C$2='ASE Target vs Ach(Spares)(Inpt)'!$AG$5,VLOOKUP(D21,'ASE Target vs Ach(Spares)(Inpt)'!$D$42:$AG$73,30,0),IF($C$2='ASE Target vs Ach(Spares)(Inpt)'!$AJ$5,VLOOKUP(D21,'ASE Target vs Ach(Spares)(Inpt)'!$D$42:$AJ$73,33,0),IF($C$2='ASE Target vs Ach(Spares)(Inpt)'!$AM$5,VLOOKUP(D21,'ASE Target vs Ach(Spares)(Inpt)'!$D$42:$AM$73,36,0),"N/A"))))))))))))</f>
        <v>180000</v>
      </c>
      <c r="K21" s="17">
        <f>IF($C$2='ASE Target vs Ach(Spares)(Inpt)'!$F$5,VLOOKUP(D21,'ASE Target vs Ach(Spares)(Inpt)'!$D$42:$G$73,4,0),IF($C$2='ASE Target vs Ach(Spares)(Inpt)'!$I$5,VLOOKUP(D21,'ASE Target vs Ach(Spares)(Inpt)'!$D$42:$J$73,7,0),IF($C$2='ASE Target vs Ach(Spares)(Inpt)'!$L$5,VLOOKUP(D21,'ASE Target vs Ach(Spares)(Inpt)'!$D$42:$M$73,10,0),IF($C$2='ASE Target vs Ach(Spares)(Inpt)'!$O$5,VLOOKUP(D21,'ASE Target vs Ach(Spares)(Inpt)'!$D$42:$P$73,13,0),IF($C$2='ASE Target vs Ach(Spares)(Inpt)'!$R$5,VLOOKUP(D21,'ASE Target vs Ach(Spares)(Inpt)'!$D$42:$S$73,16,0),IF($C$2='ASE Target vs Ach(Spares)(Inpt)'!$U$5,VLOOKUP(D21,'ASE Target vs Ach(Spares)(Inpt)'!$D$42:$V$73,19,0),IF($C$2='ASE Target vs Ach(Spares)(Inpt)'!$X$5,VLOOKUP(D21,'ASE Target vs Ach(Spares)(Inpt)'!$D$42:$Y$73,22,0),IF($C$2='ASE Target vs Ach(Spares)(Inpt)'!$AA$5,VLOOKUP(D21,'ASE Target vs Ach(Spares)(Inpt)'!$D$42:$AB$73,25,0),IF($C$2='ASE Target vs Ach(Spares)(Inpt)'!$AD$5,VLOOKUP(D21,'ASE Target vs Ach(Spares)(Inpt)'!$D$42:$AE$73,28,0),IF($C$2='ASE Target vs Ach(Spares)(Inpt)'!$AG$5,VLOOKUP(D21,'ASE Target vs Ach(Spares)(Inpt)'!$D$42:$AH$73,31,0),IF($C$2='ASE Target vs Ach(Spares)(Inpt)'!$AJ$5,VLOOKUP(D21,'ASE Target vs Ach(Spares)(Inpt)'!$D$42:$AK$73,34,0),IF($C$2='ASE Target vs Ach(Spares)(Inpt)'!$AM$5,VLOOKUP(D21,'ASE Target vs Ach(Spares)(Inpt)'!$D$42:$AN$73,37,0),"N/A"))))))))))))</f>
        <v>0</v>
      </c>
      <c r="L21" s="18">
        <f t="shared" si="1"/>
        <v>0</v>
      </c>
      <c r="M21" s="19" t="str">
        <f t="shared" si="2"/>
        <v>Not Eligible</v>
      </c>
      <c r="N21" s="17" t="str">
        <f>IF(M21="Eligible",IF(K21&lt;Condition!$E$4,0,IF(K21=Condition!$E$4,Condition!$C$4*K21,IF(K21&lt;Condition!$F$4,Condition!$C$4*K21,IF(K21=Condition!$F$4,Condition!$C$5*K21,IF(K21&lt;Condition!$F$5,Condition!$C$5*K21,IF(K21=Condition!$F$5,Condition!$C$6*K21,IF(K21&lt;Condition!$F$6,Condition!$C$6*K21,IF(K21=Condition!$F$6,Condition!$C$7*K21,IF(K21&lt;Condition!$F$7,Condition!$C$7*K21,IF(K21=Condition!$F$7,Condition!$C$8*K21,IF(K21&lt;Condition!$F$8,Condition!$C$8*K21,IF(K21=Condition!$F$8,Condition!$C$9*K21,IF(K21&lt;Condition!$F$9,Condition!$C$9*K21,IF(K21=Condition!$F$9,Condition!$C$10*K21,IF(K21&gt;Condition!$F$10,Condition!$C$10*K21,""))))))))))))))),"")</f>
        <v/>
      </c>
      <c r="O21" s="142" t="str">
        <f>IF(M21="Eligible",IF(K21&lt;Condition!$E$4,0,IF(K21=Condition!$E$4,Condition!$D$4,IF(K21&lt;Condition!$F$4,Condition!$D$4,IF(K21=Condition!$F$4,Condition!$D$5,IF(K21&lt;Condition!$F$5,Condition!$D$5,IF(K21=Condition!$F$5,Condition!$D$6,IF(K21&lt;Condition!$F$6,Condition!$D$6,IF(K21=Condition!$F$6,Condition!$D$7,IF(K21&lt;Condition!$F$7,Condition!$D$7,IF(K21=Condition!$F$7,Condition!$D$8,IF(K21&lt;Condition!$F$8,Condition!$D$8,IF(K21=Condition!$F$8,Condition!$D$9,IF(K21&lt;Condition!$F$9,Condition!$D$9,IF(K21=Condition!$F$9,Condition!$D$10,IF(K21&gt;Condition!$F$10,Condition!$D$10,""))))))))))))))),"")</f>
        <v/>
      </c>
      <c r="P21" s="142" t="str">
        <f t="shared" si="3"/>
        <v/>
      </c>
      <c r="Q21" s="117">
        <f>VLOOKUP(D21,'ASE Ach(Lube Oil Sales)'!$D$5:$F$40,3,0)</f>
        <v>0</v>
      </c>
      <c r="R21" s="17">
        <f>Q21*Condition!$E$27</f>
        <v>0</v>
      </c>
      <c r="S21" s="142">
        <f>VLOOKUP(D21,'ASE Ach (Service)(Input)'!$D$5:$F$34,3,0)</f>
        <v>74600</v>
      </c>
      <c r="T21" s="142">
        <f>VLOOKUP(D21,'ASE Ach (Service)(Input)'!$D$5:$G$34,4,0)</f>
        <v>0</v>
      </c>
      <c r="U21" s="142">
        <f>VLOOKUP(D21,'ASE Ach (Service)(Input)'!$D$48:$F$79,3,0)</f>
        <v>4200</v>
      </c>
      <c r="V21" s="142">
        <f>VLOOKUP(D21,'ASE Ach (Service)(Input)'!$D$48:$G$79,4,0)</f>
        <v>0</v>
      </c>
      <c r="W21" s="80">
        <f>IF($C$2='ASE Ach (CSA)(Input)'!$F$5,INDEX('ASE Ach (CSA)(Input)'!F:F,MATCH(D21,'ASE Ach (CSA)(Input)'!D:D,0)),IF($C$2='ASE Ach (CSA)(Input)'!$H$5,INDEX('ASE Ach (CSA)(Input)'!H:H,MATCH(D21,'ASE Ach (CSA)(Input)'!D:D,0)),IF($C$2='ASE Ach (CSA)(Input)'!$J$5,INDEX('ASE Ach (CSA)(Input)'!J:J,MATCH(D21,'ASE Ach (CSA)(Input)'!D:D,0)),IF($C$2='ASE Ach (CSA)(Input)'!$L$5,INDEX('ASE Ach (CSA)(Input)'!L:L,MATCH(D21,'ASE Ach (CSA)(Input)'!D:D,0)),IF($C$2='ASE Ach (CSA)(Input)'!$N$5,INDEX('ASE Ach (CSA)(Input)'!N:N,MATCH(D21,'ASE Ach (CSA)(Input)'!D:D,0)),IF($C$2='ASE Ach (CSA)(Input)'!$P$5,INDEX('ASE Ach (CSA)(Input)'!P:P,MATCH(D21,'ASE Ach (CSA)(Input)'!D:D,0)),IF($C$2='ASE Ach (CSA)(Input)'!$R$5,INDEX('ASE Ach (CSA)(Input)'!R:R,MATCH(D21,'ASE Ach (CSA)(Input)'!D:D,0)),IF($C$2='ASE Ach (CSA)(Input)'!$T$5,INDEX('ASE Ach (CSA)(Input)'!T:T,MATCH(D21,'ASE Ach (CSA)(Input)'!D:D,0)),IF($C$2='ASE Ach (CSA)(Input)'!$V$5,INDEX('ASE Ach (CSA)(Input)'!V:V,MATCH(D21,'ASE Ach (CSA)(Input)'!D:D,0)),IF($C$2='ASE Ach (CSA)(Input)'!$X$5,INDEX('ASE Ach (CSA)(Input)'!X:X,MATCH(D21,'ASE Ach (CSA)(Input)'!D:D,0)),IF($C$2='ASE Ach (CSA)(Input)'!$Z$5,INDEX('ASE Ach (CSA)(Input)'!Z:Z,MATCH(D21,'ASE Ach (CSA)(Input)'!D:D,0)),IF($C$2='ASE Ach (CSA)(Input)'!$AB$5,INDEX('ASE Ach (CSA)(Input)'!AB:AB,MATCH(D21,'ASE Ach (CSA)(Input)'!D:D,0)),"N/A"))))))))))))</f>
        <v>0</v>
      </c>
      <c r="X21" s="80">
        <f>IF($C$2='ASE Ach (CSA)(Input)'!$F$5,INDEX('ASE Ach (CSA)(Input)'!G:G,MATCH(D21,'ASE Ach (CSA)(Input)'!D:D,0)),IF($C$2='ASE Ach (CSA)(Input)'!$H$5,INDEX('ASE Ach (CSA)(Input)'!I:I,MATCH(D21,'ASE Ach (CSA)(Input)'!D:D,0)),IF($C$2='ASE Ach (CSA)(Input)'!$J$5,INDEX('ASE Ach (CSA)(Input)'!K:K,MATCH(D21,'ASE Ach (CSA)(Input)'!D:D,0)),IF($C$2='ASE Ach (CSA)(Input)'!$L$5,INDEX('ASE Ach (CSA)(Input)'!M:M,MATCH(D21,'ASE Ach (CSA)(Input)'!D:D,0)),IF($C$2='ASE Ach (CSA)(Input)'!$N$5,INDEX('ASE Ach (CSA)(Input)'!O:O,MATCH(D21,'ASE Ach (CSA)(Input)'!D:D,0)),IF($C$2='ASE Ach (CSA)(Input)'!$P$5,INDEX('ASE Ach (CSA)(Input)'!Q:Q,MATCH(D21,'ASE Ach (CSA)(Input)'!D:D,0)),IF($C$2='ASE Ach (CSA)(Input)'!$R$5,INDEX('ASE Ach (CSA)(Input)'!S:S,MATCH(D21,'ASE Ach (CSA)(Input)'!D:D,0)),IF($C$2='ASE Ach (CSA)(Input)'!$T$5,INDEX('ASE Ach (CSA)(Input)'!U:U,MATCH(D21,'ASE Ach (CSA)(Input)'!D:D,0)),IF($C$2='ASE Ach (CSA)(Input)'!$V$5,INDEX('ASE Ach (CSA)(Input)'!W:W,MATCH(D21,'ASE Ach (CSA)(Input)'!D:D,0)),IF($C$2='ASE Ach (CSA)(Input)'!$X$5,INDEX('ASE Ach (CSA)(Input)'!Y:Y,MATCH(D21,'ASE Ach (CSA)(Input)'!D:D,0)),IF($C$2='ASE Ach (CSA)(Input)'!$Z$5,INDEX('ASE Ach (CSA)(Input)'!AA:AA,MATCH(D21,'ASE Ach (CSA)(Input)'!D:D,0)),IF($C$2='ASE Ach (CSA)(Input)'!$AB$5,INDEX('ASE Ach (CSA)(Input)'!AC:AC,MATCH(D21,'ASE Ach (CSA)(Input)'!D:D,0)),"N/A"))))))))))))</f>
        <v>0</v>
      </c>
      <c r="Y21" s="142">
        <f>W21*Condition!$C$23+'Monthly Summary (No Input)'!X21*Condition!$E$24</f>
        <v>0</v>
      </c>
      <c r="Z21" s="17">
        <f t="shared" si="4"/>
        <v>4200</v>
      </c>
    </row>
    <row r="22" spans="2:26" x14ac:dyDescent="0.25">
      <c r="B22" s="15">
        <f>'ASE Target (Spares), FY 21-22'!A20</f>
        <v>15</v>
      </c>
      <c r="C22" s="15" t="str">
        <f>IF('ASE Target (Spares), FY 21-22'!B20=0,"",'ASE Target (Spares), FY 21-22'!B20)</f>
        <v>DSL-DHK</v>
      </c>
      <c r="D22" s="16" t="str">
        <f>'ASE Target (Spares), FY 21-22'!C20</f>
        <v>Apurba Kumar Gain</v>
      </c>
      <c r="E22" s="15">
        <f>IF('ASE Target (Spares), FY 21-22'!D20=0,"",'ASE Target (Spares), FY 21-22'!D20)</f>
        <v>5927</v>
      </c>
      <c r="F22" s="17">
        <f>IFERROR(VLOOKUP(E22,'ASE Target (Spares), FY 21-22'!$D$5:$G$260,4,0),"")</f>
        <v>1150000</v>
      </c>
      <c r="G22" s="17">
        <f>IF($C$2='ASE Target vs Ach(Spares)(Inpt)'!$F$5,VLOOKUP(D22,'ASE Target vs Ach(Spares)(Inpt)'!$D$6:$F$37,3,0),IF($C$2='ASE Target vs Ach(Spares)(Inpt)'!$I$5,VLOOKUP(D22,'ASE Target vs Ach(Spares)(Inpt)'!$D$6:$I$37,6,0),IF($C$2='ASE Target vs Ach(Spares)(Inpt)'!$L$5,VLOOKUP(D22,'ASE Target vs Ach(Spares)(Inpt)'!$D$6:$L$37,9,0),IF($C$2='ASE Target vs Ach(Spares)(Inpt)'!$O$5,VLOOKUP(D22,'ASE Target vs Ach(Spares)(Inpt)'!$D$6:$O$37,12,0),IF($C$2='ASE Target vs Ach(Spares)(Inpt)'!$R$5,VLOOKUP(D22,'ASE Target vs Ach(Spares)(Inpt)'!$D$6:$R$37,15,0),IF($C$2='ASE Target vs Ach(Spares)(Inpt)'!$U$5,VLOOKUP(D22,'ASE Target vs Ach(Spares)(Inpt)'!$D$6:$U$37,18,0),IF($C$2='ASE Target vs Ach(Spares)(Inpt)'!$X$5,VLOOKUP(D22,'ASE Target vs Ach(Spares)(Inpt)'!$D$6:$X$37,21,0),IF($C$2='ASE Target vs Ach(Spares)(Inpt)'!$AA$5,VLOOKUP(D22,'ASE Target vs Ach(Spares)(Inpt)'!$D$6:$AA$37,24,0),IF($C$2='ASE Target vs Ach(Spares)(Inpt)'!$AD$5,VLOOKUP(D22,'ASE Target vs Ach(Spares)(Inpt)'!$D$6:$AD$37,27,0),IF($C$2='ASE Target vs Ach(Spares)(Inpt)'!$AG$5,VLOOKUP(D22,'ASE Target vs Ach(Spares)(Inpt)'!$D$6:$AG$37,30,0),IF($C$2='ASE Target vs Ach(Spares)(Inpt)'!$AJ$5,VLOOKUP(D22,'ASE Target vs Ach(Spares)(Inpt)'!$D$6:$AJ$37,33,0),IF($C$2='ASE Target vs Ach(Spares)(Inpt)'!$AM$5,VLOOKUP(D22,'ASE Target vs Ach(Spares)(Inpt)'!$D$6:$AM$37,36,0),"N/A"))))))))))))</f>
        <v>230000</v>
      </c>
      <c r="H22" s="17">
        <f>IF($C$2='ASE Target vs Ach(Spares)(Inpt)'!$F$5,VLOOKUP(D22,'ASE Target vs Ach(Spares)(Inpt)'!$D$6:$G$37,4,0),IF($C$2='ASE Target vs Ach(Spares)(Inpt)'!$I$5,VLOOKUP(D22,'ASE Target vs Ach(Spares)(Inpt)'!$D$6:$J$37,7,0),IF($C$2='ASE Target vs Ach(Spares)(Inpt)'!$L$5,VLOOKUP(D22,'ASE Target vs Ach(Spares)(Inpt)'!$D$6:$M$37,10,0),IF($C$2='ASE Target vs Ach(Spares)(Inpt)'!$O$5,VLOOKUP(D22,'ASE Target vs Ach(Spares)(Inpt)'!$D$6:$P$37,13,0),IF($C$2='ASE Target vs Ach(Spares)(Inpt)'!$R$5,VLOOKUP(D22,'ASE Target vs Ach(Spares)(Inpt)'!$D$6:$S$37,16,0),IF($C$2='ASE Target vs Ach(Spares)(Inpt)'!$U$5,VLOOKUP(D22,'ASE Target vs Ach(Spares)(Inpt)'!$D$6:$V$37,19,0),IF($C$2='ASE Target vs Ach(Spares)(Inpt)'!$X$5,VLOOKUP(D22,'ASE Target vs Ach(Spares)(Inpt)'!$D$6:$Y$37,22,0),IF($C$2='ASE Target vs Ach(Spares)(Inpt)'!$AA$5,VLOOKUP(D22,'ASE Target vs Ach(Spares)(Inpt)'!$D$6:$AB$37,25,0),IF($C$2='ASE Target vs Ach(Spares)(Inpt)'!$AD$5,VLOOKUP(D22,'ASE Target vs Ach(Spares)(Inpt)'!$D$6:$AE$37,28,0),IF($C$2='ASE Target vs Ach(Spares)(Inpt)'!$AG$5,VLOOKUP(D22,'ASE Target vs Ach(Spares)(Inpt)'!$D$6:$AH$37,31,0),IF($C$2='ASE Target vs Ach(Spares)(Inpt)'!$AJ$5,VLOOKUP(D22,'ASE Target vs Ach(Spares)(Inpt)'!$D$6:$AK$37,34,0),IF($C$2='ASE Target vs Ach(Spares)(Inpt)'!$AM$5,VLOOKUP(D22,'ASE Target vs Ach(Spares)(Inpt)'!$D$6:$AN$37,37,0),"N/A"))))))))))))</f>
        <v>80890</v>
      </c>
      <c r="I22" s="18">
        <f t="shared" si="0"/>
        <v>0.35169565217391302</v>
      </c>
      <c r="J22" s="17">
        <f>IF($C$2='ASE Target vs Ach(Spares)(Inpt)'!$F$5,VLOOKUP(D22,'ASE Target vs Ach(Spares)(Inpt)'!$D$42:$F$73,3,0),IF($C$2='ASE Target vs Ach(Spares)(Inpt)'!$I$5,VLOOKUP(D22,'ASE Target vs Ach(Spares)(Inpt)'!$D$42:$I$73,6,0),IF($C$2='ASE Target vs Ach(Spares)(Inpt)'!$L$5,VLOOKUP(D22,'ASE Target vs Ach(Spares)(Inpt)'!$D$42:$L$73,9,0),IF($C$2='ASE Target vs Ach(Spares)(Inpt)'!$O$5,VLOOKUP(D22,'ASE Target vs Ach(Spares)(Inpt)'!$D$42:$O$73,12,0),IF($C$2='ASE Target vs Ach(Spares)(Inpt)'!$R$5,VLOOKUP(D22,'ASE Target vs Ach(Spares)(Inpt)'!$D$42:$R$73,15,0),IF($C$2='ASE Target vs Ach(Spares)(Inpt)'!$U$5,VLOOKUP(D22,'ASE Target vs Ach(Spares)(Inpt)'!$D$42:$U$73,18,0),IF($C$2='ASE Target vs Ach(Spares)(Inpt)'!$X$5,VLOOKUP(D22,'ASE Target vs Ach(Spares)(Inpt)'!$D$42:$X$73,21,0),IF($C$2='ASE Target vs Ach(Spares)(Inpt)'!$AA$5,VLOOKUP(D22,'ASE Target vs Ach(Spares)(Inpt)'!$D$42:$AA$73,24,0),IF($C$2='ASE Target vs Ach(Spares)(Inpt)'!$AD$5,VLOOKUP(D22,'ASE Target vs Ach(Spares)(Inpt)'!$D$42:$AD$73,27,0),IF($C$2='ASE Target vs Ach(Spares)(Inpt)'!$AG$5,VLOOKUP(D22,'ASE Target vs Ach(Spares)(Inpt)'!$D$42:$AG$73,30,0),IF($C$2='ASE Target vs Ach(Spares)(Inpt)'!$AJ$5,VLOOKUP(D22,'ASE Target vs Ach(Spares)(Inpt)'!$D$42:$AJ$73,33,0),IF($C$2='ASE Target vs Ach(Spares)(Inpt)'!$AM$5,VLOOKUP(D22,'ASE Target vs Ach(Spares)(Inpt)'!$D$42:$AM$73,36,0),"N/A"))))))))))))</f>
        <v>103500</v>
      </c>
      <c r="K22" s="17">
        <f>IF($C$2='ASE Target vs Ach(Spares)(Inpt)'!$F$5,VLOOKUP(D22,'ASE Target vs Ach(Spares)(Inpt)'!$D$42:$G$73,4,0),IF($C$2='ASE Target vs Ach(Spares)(Inpt)'!$I$5,VLOOKUP(D22,'ASE Target vs Ach(Spares)(Inpt)'!$D$42:$J$73,7,0),IF($C$2='ASE Target vs Ach(Spares)(Inpt)'!$L$5,VLOOKUP(D22,'ASE Target vs Ach(Spares)(Inpt)'!$D$42:$M$73,10,0),IF($C$2='ASE Target vs Ach(Spares)(Inpt)'!$O$5,VLOOKUP(D22,'ASE Target vs Ach(Spares)(Inpt)'!$D$42:$P$73,13,0),IF($C$2='ASE Target vs Ach(Spares)(Inpt)'!$R$5,VLOOKUP(D22,'ASE Target vs Ach(Spares)(Inpt)'!$D$42:$S$73,16,0),IF($C$2='ASE Target vs Ach(Spares)(Inpt)'!$U$5,VLOOKUP(D22,'ASE Target vs Ach(Spares)(Inpt)'!$D$42:$V$73,19,0),IF($C$2='ASE Target vs Ach(Spares)(Inpt)'!$X$5,VLOOKUP(D22,'ASE Target vs Ach(Spares)(Inpt)'!$D$42:$Y$73,22,0),IF($C$2='ASE Target vs Ach(Spares)(Inpt)'!$AA$5,VLOOKUP(D22,'ASE Target vs Ach(Spares)(Inpt)'!$D$42:$AB$73,25,0),IF($C$2='ASE Target vs Ach(Spares)(Inpt)'!$AD$5,VLOOKUP(D22,'ASE Target vs Ach(Spares)(Inpt)'!$D$42:$AE$73,28,0),IF($C$2='ASE Target vs Ach(Spares)(Inpt)'!$AG$5,VLOOKUP(D22,'ASE Target vs Ach(Spares)(Inpt)'!$D$42:$AH$73,31,0),IF($C$2='ASE Target vs Ach(Spares)(Inpt)'!$AJ$5,VLOOKUP(D22,'ASE Target vs Ach(Spares)(Inpt)'!$D$42:$AK$73,34,0),IF($C$2='ASE Target vs Ach(Spares)(Inpt)'!$AM$5,VLOOKUP(D22,'ASE Target vs Ach(Spares)(Inpt)'!$D$42:$AN$73,37,0),"N/A"))))))))))))</f>
        <v>75251</v>
      </c>
      <c r="L22" s="18">
        <f t="shared" si="1"/>
        <v>0.72706280193236716</v>
      </c>
      <c r="M22" s="19" t="str">
        <f t="shared" si="2"/>
        <v>Eligible</v>
      </c>
      <c r="N22" s="17">
        <f>IF(M22="Eligible",IF(K22&lt;Condition!$E$4,0,IF(K22=Condition!$E$4,Condition!$C$4*K22,IF(K22&lt;Condition!$F$4,Condition!$C$4*K22,IF(K22=Condition!$F$4,Condition!$C$5*K22,IF(K22&lt;Condition!$F$5,Condition!$C$5*K22,IF(K22=Condition!$F$5,Condition!$C$6*K22,IF(K22&lt;Condition!$F$6,Condition!$C$6*K22,IF(K22=Condition!$F$6,Condition!$C$7*K22,IF(K22&lt;Condition!$F$7,Condition!$C$7*K22,IF(K22=Condition!$F$7,Condition!$C$8*K22,IF(K22&lt;Condition!$F$8,Condition!$C$8*K22,IF(K22=Condition!$F$8,Condition!$C$9*K22,IF(K22&lt;Condition!$F$9,Condition!$C$9*K22,IF(K22=Condition!$F$9,Condition!$C$10*K22,IF(K22&gt;Condition!$F$10,Condition!$C$10*K22,""))))))))))))))),"")</f>
        <v>0</v>
      </c>
      <c r="O22" s="142">
        <f>IF(M22="Eligible",IF(K22&lt;Condition!$E$4,0,IF(K22=Condition!$E$4,Condition!$D$4,IF(K22&lt;Condition!$F$4,Condition!$D$4,IF(K22=Condition!$F$4,Condition!$D$5,IF(K22&lt;Condition!$F$5,Condition!$D$5,IF(K22=Condition!$F$5,Condition!$D$6,IF(K22&lt;Condition!$F$6,Condition!$D$6,IF(K22=Condition!$F$6,Condition!$D$7,IF(K22&lt;Condition!$F$7,Condition!$D$7,IF(K22=Condition!$F$7,Condition!$D$8,IF(K22&lt;Condition!$F$8,Condition!$D$8,IF(K22=Condition!$F$8,Condition!$D$9,IF(K22&lt;Condition!$F$9,Condition!$D$9,IF(K22=Condition!$F$9,Condition!$D$10,IF(K22&gt;Condition!$F$10,Condition!$D$10,""))))))))))))))),"")</f>
        <v>0</v>
      </c>
      <c r="P22" s="142" t="str">
        <f t="shared" si="3"/>
        <v/>
      </c>
      <c r="Q22" s="117">
        <f>VLOOKUP(D22,'ASE Ach(Lube Oil Sales)'!$D$5:$F$40,3,0)</f>
        <v>80</v>
      </c>
      <c r="R22" s="17">
        <f>Q22*Condition!$E$27</f>
        <v>400</v>
      </c>
      <c r="S22" s="142">
        <f>VLOOKUP(D22,'ASE Ach (Service)(Input)'!$D$5:$F$34,3,0)</f>
        <v>64300</v>
      </c>
      <c r="T22" s="142">
        <f>VLOOKUP(D22,'ASE Ach (Service)(Input)'!$D$5:$G$34,4,0)</f>
        <v>0</v>
      </c>
      <c r="U22" s="142">
        <f>VLOOKUP(D22,'ASE Ach (Service)(Input)'!$D$48:$F$79,3,0)</f>
        <v>3350</v>
      </c>
      <c r="V22" s="142">
        <f>VLOOKUP(D22,'ASE Ach (Service)(Input)'!$D$48:$G$79,4,0)</f>
        <v>0</v>
      </c>
      <c r="W22" s="80">
        <f>IF($C$2='ASE Ach (CSA)(Input)'!$F$5,INDEX('ASE Ach (CSA)(Input)'!F:F,MATCH(D22,'ASE Ach (CSA)(Input)'!D:D,0)),IF($C$2='ASE Ach (CSA)(Input)'!$H$5,INDEX('ASE Ach (CSA)(Input)'!H:H,MATCH(D22,'ASE Ach (CSA)(Input)'!D:D,0)),IF($C$2='ASE Ach (CSA)(Input)'!$J$5,INDEX('ASE Ach (CSA)(Input)'!J:J,MATCH(D22,'ASE Ach (CSA)(Input)'!D:D,0)),IF($C$2='ASE Ach (CSA)(Input)'!$L$5,INDEX('ASE Ach (CSA)(Input)'!L:L,MATCH(D22,'ASE Ach (CSA)(Input)'!D:D,0)),IF($C$2='ASE Ach (CSA)(Input)'!$N$5,INDEX('ASE Ach (CSA)(Input)'!N:N,MATCH(D22,'ASE Ach (CSA)(Input)'!D:D,0)),IF($C$2='ASE Ach (CSA)(Input)'!$P$5,INDEX('ASE Ach (CSA)(Input)'!P:P,MATCH(D22,'ASE Ach (CSA)(Input)'!D:D,0)),IF($C$2='ASE Ach (CSA)(Input)'!$R$5,INDEX('ASE Ach (CSA)(Input)'!R:R,MATCH(D22,'ASE Ach (CSA)(Input)'!D:D,0)),IF($C$2='ASE Ach (CSA)(Input)'!$T$5,INDEX('ASE Ach (CSA)(Input)'!T:T,MATCH(D22,'ASE Ach (CSA)(Input)'!D:D,0)),IF($C$2='ASE Ach (CSA)(Input)'!$V$5,INDEX('ASE Ach (CSA)(Input)'!V:V,MATCH(D22,'ASE Ach (CSA)(Input)'!D:D,0)),IF($C$2='ASE Ach (CSA)(Input)'!$X$5,INDEX('ASE Ach (CSA)(Input)'!X:X,MATCH(D22,'ASE Ach (CSA)(Input)'!D:D,0)),IF($C$2='ASE Ach (CSA)(Input)'!$Z$5,INDEX('ASE Ach (CSA)(Input)'!Z:Z,MATCH(D22,'ASE Ach (CSA)(Input)'!D:D,0)),IF($C$2='ASE Ach (CSA)(Input)'!$AB$5,INDEX('ASE Ach (CSA)(Input)'!AB:AB,MATCH(D22,'ASE Ach (CSA)(Input)'!D:D,0)),"N/A"))))))))))))</f>
        <v>0</v>
      </c>
      <c r="X22" s="80">
        <f>IF($C$2='ASE Ach (CSA)(Input)'!$F$5,INDEX('ASE Ach (CSA)(Input)'!G:G,MATCH(D22,'ASE Ach (CSA)(Input)'!D:D,0)),IF($C$2='ASE Ach (CSA)(Input)'!$H$5,INDEX('ASE Ach (CSA)(Input)'!I:I,MATCH(D22,'ASE Ach (CSA)(Input)'!D:D,0)),IF($C$2='ASE Ach (CSA)(Input)'!$J$5,INDEX('ASE Ach (CSA)(Input)'!K:K,MATCH(D22,'ASE Ach (CSA)(Input)'!D:D,0)),IF($C$2='ASE Ach (CSA)(Input)'!$L$5,INDEX('ASE Ach (CSA)(Input)'!M:M,MATCH(D22,'ASE Ach (CSA)(Input)'!D:D,0)),IF($C$2='ASE Ach (CSA)(Input)'!$N$5,INDEX('ASE Ach (CSA)(Input)'!O:O,MATCH(D22,'ASE Ach (CSA)(Input)'!D:D,0)),IF($C$2='ASE Ach (CSA)(Input)'!$P$5,INDEX('ASE Ach (CSA)(Input)'!Q:Q,MATCH(D22,'ASE Ach (CSA)(Input)'!D:D,0)),IF($C$2='ASE Ach (CSA)(Input)'!$R$5,INDEX('ASE Ach (CSA)(Input)'!S:S,MATCH(D22,'ASE Ach (CSA)(Input)'!D:D,0)),IF($C$2='ASE Ach (CSA)(Input)'!$T$5,INDEX('ASE Ach (CSA)(Input)'!U:U,MATCH(D22,'ASE Ach (CSA)(Input)'!D:D,0)),IF($C$2='ASE Ach (CSA)(Input)'!$V$5,INDEX('ASE Ach (CSA)(Input)'!W:W,MATCH(D22,'ASE Ach (CSA)(Input)'!D:D,0)),IF($C$2='ASE Ach (CSA)(Input)'!$X$5,INDEX('ASE Ach (CSA)(Input)'!Y:Y,MATCH(D22,'ASE Ach (CSA)(Input)'!D:D,0)),IF($C$2='ASE Ach (CSA)(Input)'!$Z$5,INDEX('ASE Ach (CSA)(Input)'!AA:AA,MATCH(D22,'ASE Ach (CSA)(Input)'!D:D,0)),IF($C$2='ASE Ach (CSA)(Input)'!$AB$5,INDEX('ASE Ach (CSA)(Input)'!AC:AC,MATCH(D22,'ASE Ach (CSA)(Input)'!D:D,0)),"N/A"))))))))))))</f>
        <v>0</v>
      </c>
      <c r="Y22" s="142">
        <f>W22*Condition!$C$23+'Monthly Summary (No Input)'!X22*Condition!$E$24</f>
        <v>0</v>
      </c>
      <c r="Z22" s="17">
        <f t="shared" si="4"/>
        <v>3750</v>
      </c>
    </row>
    <row r="23" spans="2:26" x14ac:dyDescent="0.25">
      <c r="B23" s="15">
        <f>'ASE Target (Spares), FY 21-22'!A21</f>
        <v>16</v>
      </c>
      <c r="C23" s="15" t="str">
        <f>IF('ASE Target (Spares), FY 21-22'!B21=0,"",'ASE Target (Spares), FY 21-22'!B21)</f>
        <v>DSL-DHK</v>
      </c>
      <c r="D23" s="16" t="str">
        <f>'ASE Target (Spares), FY 21-22'!C21</f>
        <v>Amirul Islam</v>
      </c>
      <c r="E23" s="15">
        <f>IF('ASE Target (Spares), FY 21-22'!D21=0,"",'ASE Target (Spares), FY 21-22'!D21)</f>
        <v>5928</v>
      </c>
      <c r="F23" s="17">
        <f>IFERROR(VLOOKUP(E23,'ASE Target (Spares), FY 21-22'!$D$5:$G$260,4,0),"")</f>
        <v>1250000</v>
      </c>
      <c r="G23" s="17">
        <f>IF($C$2='ASE Target vs Ach(Spares)(Inpt)'!$F$5,VLOOKUP(D23,'ASE Target vs Ach(Spares)(Inpt)'!$D$6:$F$37,3,0),IF($C$2='ASE Target vs Ach(Spares)(Inpt)'!$I$5,VLOOKUP(D23,'ASE Target vs Ach(Spares)(Inpt)'!$D$6:$I$37,6,0),IF($C$2='ASE Target vs Ach(Spares)(Inpt)'!$L$5,VLOOKUP(D23,'ASE Target vs Ach(Spares)(Inpt)'!$D$6:$L$37,9,0),IF($C$2='ASE Target vs Ach(Spares)(Inpt)'!$O$5,VLOOKUP(D23,'ASE Target vs Ach(Spares)(Inpt)'!$D$6:$O$37,12,0),IF($C$2='ASE Target vs Ach(Spares)(Inpt)'!$R$5,VLOOKUP(D23,'ASE Target vs Ach(Spares)(Inpt)'!$D$6:$R$37,15,0),IF($C$2='ASE Target vs Ach(Spares)(Inpt)'!$U$5,VLOOKUP(D23,'ASE Target vs Ach(Spares)(Inpt)'!$D$6:$U$37,18,0),IF($C$2='ASE Target vs Ach(Spares)(Inpt)'!$X$5,VLOOKUP(D23,'ASE Target vs Ach(Spares)(Inpt)'!$D$6:$X$37,21,0),IF($C$2='ASE Target vs Ach(Spares)(Inpt)'!$AA$5,VLOOKUP(D23,'ASE Target vs Ach(Spares)(Inpt)'!$D$6:$AA$37,24,0),IF($C$2='ASE Target vs Ach(Spares)(Inpt)'!$AD$5,VLOOKUP(D23,'ASE Target vs Ach(Spares)(Inpt)'!$D$6:$AD$37,27,0),IF($C$2='ASE Target vs Ach(Spares)(Inpt)'!$AG$5,VLOOKUP(D23,'ASE Target vs Ach(Spares)(Inpt)'!$D$6:$AG$37,30,0),IF($C$2='ASE Target vs Ach(Spares)(Inpt)'!$AJ$5,VLOOKUP(D23,'ASE Target vs Ach(Spares)(Inpt)'!$D$6:$AJ$37,33,0),IF($C$2='ASE Target vs Ach(Spares)(Inpt)'!$AM$5,VLOOKUP(D23,'ASE Target vs Ach(Spares)(Inpt)'!$D$6:$AM$37,36,0),"N/A"))))))))))))</f>
        <v>250000</v>
      </c>
      <c r="H23" s="17">
        <f>IF($C$2='ASE Target vs Ach(Spares)(Inpt)'!$F$5,VLOOKUP(D23,'ASE Target vs Ach(Spares)(Inpt)'!$D$6:$G$37,4,0),IF($C$2='ASE Target vs Ach(Spares)(Inpt)'!$I$5,VLOOKUP(D23,'ASE Target vs Ach(Spares)(Inpt)'!$D$6:$J$37,7,0),IF($C$2='ASE Target vs Ach(Spares)(Inpt)'!$L$5,VLOOKUP(D23,'ASE Target vs Ach(Spares)(Inpt)'!$D$6:$M$37,10,0),IF($C$2='ASE Target vs Ach(Spares)(Inpt)'!$O$5,VLOOKUP(D23,'ASE Target vs Ach(Spares)(Inpt)'!$D$6:$P$37,13,0),IF($C$2='ASE Target vs Ach(Spares)(Inpt)'!$R$5,VLOOKUP(D23,'ASE Target vs Ach(Spares)(Inpt)'!$D$6:$S$37,16,0),IF($C$2='ASE Target vs Ach(Spares)(Inpt)'!$U$5,VLOOKUP(D23,'ASE Target vs Ach(Spares)(Inpt)'!$D$6:$V$37,19,0),IF($C$2='ASE Target vs Ach(Spares)(Inpt)'!$X$5,VLOOKUP(D23,'ASE Target vs Ach(Spares)(Inpt)'!$D$6:$Y$37,22,0),IF($C$2='ASE Target vs Ach(Spares)(Inpt)'!$AA$5,VLOOKUP(D23,'ASE Target vs Ach(Spares)(Inpt)'!$D$6:$AB$37,25,0),IF($C$2='ASE Target vs Ach(Spares)(Inpt)'!$AD$5,VLOOKUP(D23,'ASE Target vs Ach(Spares)(Inpt)'!$D$6:$AE$37,28,0),IF($C$2='ASE Target vs Ach(Spares)(Inpt)'!$AG$5,VLOOKUP(D23,'ASE Target vs Ach(Spares)(Inpt)'!$D$6:$AH$37,31,0),IF($C$2='ASE Target vs Ach(Spares)(Inpt)'!$AJ$5,VLOOKUP(D23,'ASE Target vs Ach(Spares)(Inpt)'!$D$6:$AK$37,34,0),IF($C$2='ASE Target vs Ach(Spares)(Inpt)'!$AM$5,VLOOKUP(D23,'ASE Target vs Ach(Spares)(Inpt)'!$D$6:$AN$37,37,0),"N/A"))))))))))))</f>
        <v>0</v>
      </c>
      <c r="I23" s="18">
        <f t="shared" si="0"/>
        <v>0</v>
      </c>
      <c r="J23" s="17">
        <f>IF($C$2='ASE Target vs Ach(Spares)(Inpt)'!$F$5,VLOOKUP(D23,'ASE Target vs Ach(Spares)(Inpt)'!$D$42:$F$73,3,0),IF($C$2='ASE Target vs Ach(Spares)(Inpt)'!$I$5,VLOOKUP(D23,'ASE Target vs Ach(Spares)(Inpt)'!$D$42:$I$73,6,0),IF($C$2='ASE Target vs Ach(Spares)(Inpt)'!$L$5,VLOOKUP(D23,'ASE Target vs Ach(Spares)(Inpt)'!$D$42:$L$73,9,0),IF($C$2='ASE Target vs Ach(Spares)(Inpt)'!$O$5,VLOOKUP(D23,'ASE Target vs Ach(Spares)(Inpt)'!$D$42:$O$73,12,0),IF($C$2='ASE Target vs Ach(Spares)(Inpt)'!$R$5,VLOOKUP(D23,'ASE Target vs Ach(Spares)(Inpt)'!$D$42:$R$73,15,0),IF($C$2='ASE Target vs Ach(Spares)(Inpt)'!$U$5,VLOOKUP(D23,'ASE Target vs Ach(Spares)(Inpt)'!$D$42:$U$73,18,0),IF($C$2='ASE Target vs Ach(Spares)(Inpt)'!$X$5,VLOOKUP(D23,'ASE Target vs Ach(Spares)(Inpt)'!$D$42:$X$73,21,0),IF($C$2='ASE Target vs Ach(Spares)(Inpt)'!$AA$5,VLOOKUP(D23,'ASE Target vs Ach(Spares)(Inpt)'!$D$42:$AA$73,24,0),IF($C$2='ASE Target vs Ach(Spares)(Inpt)'!$AD$5,VLOOKUP(D23,'ASE Target vs Ach(Spares)(Inpt)'!$D$42:$AD$73,27,0),IF($C$2='ASE Target vs Ach(Spares)(Inpt)'!$AG$5,VLOOKUP(D23,'ASE Target vs Ach(Spares)(Inpt)'!$D$42:$AG$73,30,0),IF($C$2='ASE Target vs Ach(Spares)(Inpt)'!$AJ$5,VLOOKUP(D23,'ASE Target vs Ach(Spares)(Inpt)'!$D$42:$AJ$73,33,0),IF($C$2='ASE Target vs Ach(Spares)(Inpt)'!$AM$5,VLOOKUP(D23,'ASE Target vs Ach(Spares)(Inpt)'!$D$42:$AM$73,36,0),"N/A"))))))))))))</f>
        <v>112500</v>
      </c>
      <c r="K23" s="17">
        <f>IF($C$2='ASE Target vs Ach(Spares)(Inpt)'!$F$5,VLOOKUP(D23,'ASE Target vs Ach(Spares)(Inpt)'!$D$42:$G$73,4,0),IF($C$2='ASE Target vs Ach(Spares)(Inpt)'!$I$5,VLOOKUP(D23,'ASE Target vs Ach(Spares)(Inpt)'!$D$42:$J$73,7,0),IF($C$2='ASE Target vs Ach(Spares)(Inpt)'!$L$5,VLOOKUP(D23,'ASE Target vs Ach(Spares)(Inpt)'!$D$42:$M$73,10,0),IF($C$2='ASE Target vs Ach(Spares)(Inpt)'!$O$5,VLOOKUP(D23,'ASE Target vs Ach(Spares)(Inpt)'!$D$42:$P$73,13,0),IF($C$2='ASE Target vs Ach(Spares)(Inpt)'!$R$5,VLOOKUP(D23,'ASE Target vs Ach(Spares)(Inpt)'!$D$42:$S$73,16,0),IF($C$2='ASE Target vs Ach(Spares)(Inpt)'!$U$5,VLOOKUP(D23,'ASE Target vs Ach(Spares)(Inpt)'!$D$42:$V$73,19,0),IF($C$2='ASE Target vs Ach(Spares)(Inpt)'!$X$5,VLOOKUP(D23,'ASE Target vs Ach(Spares)(Inpt)'!$D$42:$Y$73,22,0),IF($C$2='ASE Target vs Ach(Spares)(Inpt)'!$AA$5,VLOOKUP(D23,'ASE Target vs Ach(Spares)(Inpt)'!$D$42:$AB$73,25,0),IF($C$2='ASE Target vs Ach(Spares)(Inpt)'!$AD$5,VLOOKUP(D23,'ASE Target vs Ach(Spares)(Inpt)'!$D$42:$AE$73,28,0),IF($C$2='ASE Target vs Ach(Spares)(Inpt)'!$AG$5,VLOOKUP(D23,'ASE Target vs Ach(Spares)(Inpt)'!$D$42:$AH$73,31,0),IF($C$2='ASE Target vs Ach(Spares)(Inpt)'!$AJ$5,VLOOKUP(D23,'ASE Target vs Ach(Spares)(Inpt)'!$D$42:$AK$73,34,0),IF($C$2='ASE Target vs Ach(Spares)(Inpt)'!$AM$5,VLOOKUP(D23,'ASE Target vs Ach(Spares)(Inpt)'!$D$42:$AN$73,37,0),"N/A"))))))))))))</f>
        <v>0</v>
      </c>
      <c r="L23" s="18">
        <f t="shared" si="1"/>
        <v>0</v>
      </c>
      <c r="M23" s="19" t="str">
        <f t="shared" si="2"/>
        <v>Not Eligible</v>
      </c>
      <c r="N23" s="17" t="str">
        <f>IF(M23="Eligible",IF(K23&lt;Condition!$E$4,0,IF(K23=Condition!$E$4,Condition!$C$4*K23,IF(K23&lt;Condition!$F$4,Condition!$C$4*K23,IF(K23=Condition!$F$4,Condition!$C$5*K23,IF(K23&lt;Condition!$F$5,Condition!$C$5*K23,IF(K23=Condition!$F$5,Condition!$C$6*K23,IF(K23&lt;Condition!$F$6,Condition!$C$6*K23,IF(K23=Condition!$F$6,Condition!$C$7*K23,IF(K23&lt;Condition!$F$7,Condition!$C$7*K23,IF(K23=Condition!$F$7,Condition!$C$8*K23,IF(K23&lt;Condition!$F$8,Condition!$C$8*K23,IF(K23=Condition!$F$8,Condition!$C$9*K23,IF(K23&lt;Condition!$F$9,Condition!$C$9*K23,IF(K23=Condition!$F$9,Condition!$C$10*K23,IF(K23&gt;Condition!$F$10,Condition!$C$10*K23,""))))))))))))))),"")</f>
        <v/>
      </c>
      <c r="O23" s="142" t="str">
        <f>IF(M23="Eligible",IF(K23&lt;Condition!$E$4,0,IF(K23=Condition!$E$4,Condition!$D$4,IF(K23&lt;Condition!$F$4,Condition!$D$4,IF(K23=Condition!$F$4,Condition!$D$5,IF(K23&lt;Condition!$F$5,Condition!$D$5,IF(K23=Condition!$F$5,Condition!$D$6,IF(K23&lt;Condition!$F$6,Condition!$D$6,IF(K23=Condition!$F$6,Condition!$D$7,IF(K23&lt;Condition!$F$7,Condition!$D$7,IF(K23=Condition!$F$7,Condition!$D$8,IF(K23&lt;Condition!$F$8,Condition!$D$8,IF(K23=Condition!$F$8,Condition!$D$9,IF(K23&lt;Condition!$F$9,Condition!$D$9,IF(K23=Condition!$F$9,Condition!$D$10,IF(K23&gt;Condition!$F$10,Condition!$D$10,""))))))))))))))),"")</f>
        <v/>
      </c>
      <c r="P23" s="142" t="str">
        <f t="shared" si="3"/>
        <v/>
      </c>
      <c r="Q23" s="117">
        <f>VLOOKUP(D23,'ASE Ach(Lube Oil Sales)'!$D$5:$F$40,3,0)</f>
        <v>0</v>
      </c>
      <c r="R23" s="17">
        <f>Q23*Condition!$E$27</f>
        <v>0</v>
      </c>
      <c r="S23" s="142">
        <f>VLOOKUP(D23,'ASE Ach (Service)(Input)'!$D$5:$F$34,3,0)</f>
        <v>58900</v>
      </c>
      <c r="T23" s="142">
        <f>VLOOKUP(D23,'ASE Ach (Service)(Input)'!$D$5:$G$34,4,0)</f>
        <v>0</v>
      </c>
      <c r="U23" s="142">
        <f>VLOOKUP(D23,'ASE Ach (Service)(Input)'!$D$48:$F$79,3,0)</f>
        <v>3900</v>
      </c>
      <c r="V23" s="142">
        <f>VLOOKUP(D23,'ASE Ach (Service)(Input)'!$D$48:$G$79,4,0)</f>
        <v>0</v>
      </c>
      <c r="W23" s="80">
        <f>IF($C$2='ASE Ach (CSA)(Input)'!$F$5,INDEX('ASE Ach (CSA)(Input)'!F:F,MATCH(D23,'ASE Ach (CSA)(Input)'!D:D,0)),IF($C$2='ASE Ach (CSA)(Input)'!$H$5,INDEX('ASE Ach (CSA)(Input)'!H:H,MATCH(D23,'ASE Ach (CSA)(Input)'!D:D,0)),IF($C$2='ASE Ach (CSA)(Input)'!$J$5,INDEX('ASE Ach (CSA)(Input)'!J:J,MATCH(D23,'ASE Ach (CSA)(Input)'!D:D,0)),IF($C$2='ASE Ach (CSA)(Input)'!$L$5,INDEX('ASE Ach (CSA)(Input)'!L:L,MATCH(D23,'ASE Ach (CSA)(Input)'!D:D,0)),IF($C$2='ASE Ach (CSA)(Input)'!$N$5,INDEX('ASE Ach (CSA)(Input)'!N:N,MATCH(D23,'ASE Ach (CSA)(Input)'!D:D,0)),IF($C$2='ASE Ach (CSA)(Input)'!$P$5,INDEX('ASE Ach (CSA)(Input)'!P:P,MATCH(D23,'ASE Ach (CSA)(Input)'!D:D,0)),IF($C$2='ASE Ach (CSA)(Input)'!$R$5,INDEX('ASE Ach (CSA)(Input)'!R:R,MATCH(D23,'ASE Ach (CSA)(Input)'!D:D,0)),IF($C$2='ASE Ach (CSA)(Input)'!$T$5,INDEX('ASE Ach (CSA)(Input)'!T:T,MATCH(D23,'ASE Ach (CSA)(Input)'!D:D,0)),IF($C$2='ASE Ach (CSA)(Input)'!$V$5,INDEX('ASE Ach (CSA)(Input)'!V:V,MATCH(D23,'ASE Ach (CSA)(Input)'!D:D,0)),IF($C$2='ASE Ach (CSA)(Input)'!$X$5,INDEX('ASE Ach (CSA)(Input)'!X:X,MATCH(D23,'ASE Ach (CSA)(Input)'!D:D,0)),IF($C$2='ASE Ach (CSA)(Input)'!$Z$5,INDEX('ASE Ach (CSA)(Input)'!Z:Z,MATCH(D23,'ASE Ach (CSA)(Input)'!D:D,0)),IF($C$2='ASE Ach (CSA)(Input)'!$AB$5,INDEX('ASE Ach (CSA)(Input)'!AB:AB,MATCH(D23,'ASE Ach (CSA)(Input)'!D:D,0)),"N/A"))))))))))))</f>
        <v>1</v>
      </c>
      <c r="X23" s="80">
        <f>IF($C$2='ASE Ach (CSA)(Input)'!$F$5,INDEX('ASE Ach (CSA)(Input)'!G:G,MATCH(D23,'ASE Ach (CSA)(Input)'!D:D,0)),IF($C$2='ASE Ach (CSA)(Input)'!$H$5,INDEX('ASE Ach (CSA)(Input)'!I:I,MATCH(D23,'ASE Ach (CSA)(Input)'!D:D,0)),IF($C$2='ASE Ach (CSA)(Input)'!$J$5,INDEX('ASE Ach (CSA)(Input)'!K:K,MATCH(D23,'ASE Ach (CSA)(Input)'!D:D,0)),IF($C$2='ASE Ach (CSA)(Input)'!$L$5,INDEX('ASE Ach (CSA)(Input)'!M:M,MATCH(D23,'ASE Ach (CSA)(Input)'!D:D,0)),IF($C$2='ASE Ach (CSA)(Input)'!$N$5,INDEX('ASE Ach (CSA)(Input)'!O:O,MATCH(D23,'ASE Ach (CSA)(Input)'!D:D,0)),IF($C$2='ASE Ach (CSA)(Input)'!$P$5,INDEX('ASE Ach (CSA)(Input)'!Q:Q,MATCH(D23,'ASE Ach (CSA)(Input)'!D:D,0)),IF($C$2='ASE Ach (CSA)(Input)'!$R$5,INDEX('ASE Ach (CSA)(Input)'!S:S,MATCH(D23,'ASE Ach (CSA)(Input)'!D:D,0)),IF($C$2='ASE Ach (CSA)(Input)'!$T$5,INDEX('ASE Ach (CSA)(Input)'!U:U,MATCH(D23,'ASE Ach (CSA)(Input)'!D:D,0)),IF($C$2='ASE Ach (CSA)(Input)'!$V$5,INDEX('ASE Ach (CSA)(Input)'!W:W,MATCH(D23,'ASE Ach (CSA)(Input)'!D:D,0)),IF($C$2='ASE Ach (CSA)(Input)'!$X$5,INDEX('ASE Ach (CSA)(Input)'!Y:Y,MATCH(D23,'ASE Ach (CSA)(Input)'!D:D,0)),IF($C$2='ASE Ach (CSA)(Input)'!$Z$5,INDEX('ASE Ach (CSA)(Input)'!AA:AA,MATCH(D23,'ASE Ach (CSA)(Input)'!D:D,0)),IF($C$2='ASE Ach (CSA)(Input)'!$AB$5,INDEX('ASE Ach (CSA)(Input)'!AC:AC,MATCH(D23,'ASE Ach (CSA)(Input)'!D:D,0)),"N/A"))))))))))))</f>
        <v>1</v>
      </c>
      <c r="Y23" s="142">
        <f>W23*Condition!$C$23+'Monthly Summary (No Input)'!X23*Condition!$E$24</f>
        <v>1500</v>
      </c>
      <c r="Z23" s="17">
        <f t="shared" si="4"/>
        <v>5400</v>
      </c>
    </row>
    <row r="24" spans="2:26" x14ac:dyDescent="0.25">
      <c r="B24" s="15">
        <f>'ASE Target (Spares), FY 21-22'!A22</f>
        <v>17</v>
      </c>
      <c r="C24" s="15" t="str">
        <f>IF('ASE Target (Spares), FY 21-22'!B22=0,"",'ASE Target (Spares), FY 21-22'!B22)</f>
        <v>DSL-DHK</v>
      </c>
      <c r="D24" s="16" t="str">
        <f>'ASE Target (Spares), FY 21-22'!C22</f>
        <v>Md. Jafor Ikbal</v>
      </c>
      <c r="E24" s="15">
        <f>IF('ASE Target (Spares), FY 21-22'!D22=0,"",'ASE Target (Spares), FY 21-22'!D22)</f>
        <v>5929</v>
      </c>
      <c r="F24" s="17">
        <f>IFERROR(VLOOKUP(E24,'ASE Target (Spares), FY 21-22'!$D$5:$G$260,4,0),"")</f>
        <v>0</v>
      </c>
      <c r="G24" s="17">
        <f>IF($C$2='ASE Target vs Ach(Spares)(Inpt)'!$F$5,VLOOKUP(D24,'ASE Target vs Ach(Spares)(Inpt)'!$D$6:$F$37,3,0),IF($C$2='ASE Target vs Ach(Spares)(Inpt)'!$I$5,VLOOKUP(D24,'ASE Target vs Ach(Spares)(Inpt)'!$D$6:$I$37,6,0),IF($C$2='ASE Target vs Ach(Spares)(Inpt)'!$L$5,VLOOKUP(D24,'ASE Target vs Ach(Spares)(Inpt)'!$D$6:$L$37,9,0),IF($C$2='ASE Target vs Ach(Spares)(Inpt)'!$O$5,VLOOKUP(D24,'ASE Target vs Ach(Spares)(Inpt)'!$D$6:$O$37,12,0),IF($C$2='ASE Target vs Ach(Spares)(Inpt)'!$R$5,VLOOKUP(D24,'ASE Target vs Ach(Spares)(Inpt)'!$D$6:$R$37,15,0),IF($C$2='ASE Target vs Ach(Spares)(Inpt)'!$U$5,VLOOKUP(D24,'ASE Target vs Ach(Spares)(Inpt)'!$D$6:$U$37,18,0),IF($C$2='ASE Target vs Ach(Spares)(Inpt)'!$X$5,VLOOKUP(D24,'ASE Target vs Ach(Spares)(Inpt)'!$D$6:$X$37,21,0),IF($C$2='ASE Target vs Ach(Spares)(Inpt)'!$AA$5,VLOOKUP(D24,'ASE Target vs Ach(Spares)(Inpt)'!$D$6:$AA$37,24,0),IF($C$2='ASE Target vs Ach(Spares)(Inpt)'!$AD$5,VLOOKUP(D24,'ASE Target vs Ach(Spares)(Inpt)'!$D$6:$AD$37,27,0),IF($C$2='ASE Target vs Ach(Spares)(Inpt)'!$AG$5,VLOOKUP(D24,'ASE Target vs Ach(Spares)(Inpt)'!$D$6:$AG$37,30,0),IF($C$2='ASE Target vs Ach(Spares)(Inpt)'!$AJ$5,VLOOKUP(D24,'ASE Target vs Ach(Spares)(Inpt)'!$D$6:$AJ$37,33,0),IF($C$2='ASE Target vs Ach(Spares)(Inpt)'!$AM$5,VLOOKUP(D24,'ASE Target vs Ach(Spares)(Inpt)'!$D$6:$AM$37,36,0),"N/A"))))))))))))</f>
        <v>0</v>
      </c>
      <c r="H24" s="17">
        <f>IF($C$2='ASE Target vs Ach(Spares)(Inpt)'!$F$5,VLOOKUP(D24,'ASE Target vs Ach(Spares)(Inpt)'!$D$6:$G$37,4,0),IF($C$2='ASE Target vs Ach(Spares)(Inpt)'!$I$5,VLOOKUP(D24,'ASE Target vs Ach(Spares)(Inpt)'!$D$6:$J$37,7,0),IF($C$2='ASE Target vs Ach(Spares)(Inpt)'!$L$5,VLOOKUP(D24,'ASE Target vs Ach(Spares)(Inpt)'!$D$6:$M$37,10,0),IF($C$2='ASE Target vs Ach(Spares)(Inpt)'!$O$5,VLOOKUP(D24,'ASE Target vs Ach(Spares)(Inpt)'!$D$6:$P$37,13,0),IF($C$2='ASE Target vs Ach(Spares)(Inpt)'!$R$5,VLOOKUP(D24,'ASE Target vs Ach(Spares)(Inpt)'!$D$6:$S$37,16,0),IF($C$2='ASE Target vs Ach(Spares)(Inpt)'!$U$5,VLOOKUP(D24,'ASE Target vs Ach(Spares)(Inpt)'!$D$6:$V$37,19,0),IF($C$2='ASE Target vs Ach(Spares)(Inpt)'!$X$5,VLOOKUP(D24,'ASE Target vs Ach(Spares)(Inpt)'!$D$6:$Y$37,22,0),IF($C$2='ASE Target vs Ach(Spares)(Inpt)'!$AA$5,VLOOKUP(D24,'ASE Target vs Ach(Spares)(Inpt)'!$D$6:$AB$37,25,0),IF($C$2='ASE Target vs Ach(Spares)(Inpt)'!$AD$5,VLOOKUP(D24,'ASE Target vs Ach(Spares)(Inpt)'!$D$6:$AE$37,28,0),IF($C$2='ASE Target vs Ach(Spares)(Inpt)'!$AG$5,VLOOKUP(D24,'ASE Target vs Ach(Spares)(Inpt)'!$D$6:$AH$37,31,0),IF($C$2='ASE Target vs Ach(Spares)(Inpt)'!$AJ$5,VLOOKUP(D24,'ASE Target vs Ach(Spares)(Inpt)'!$D$6:$AK$37,34,0),IF($C$2='ASE Target vs Ach(Spares)(Inpt)'!$AM$5,VLOOKUP(D24,'ASE Target vs Ach(Spares)(Inpt)'!$D$6:$AN$37,37,0),"N/A"))))))))))))</f>
        <v>0</v>
      </c>
      <c r="I24" s="18">
        <f t="shared" si="0"/>
        <v>0</v>
      </c>
      <c r="J24" s="17">
        <f>IF($C$2='ASE Target vs Ach(Spares)(Inpt)'!$F$5,VLOOKUP(D24,'ASE Target vs Ach(Spares)(Inpt)'!$D$42:$F$73,3,0),IF($C$2='ASE Target vs Ach(Spares)(Inpt)'!$I$5,VLOOKUP(D24,'ASE Target vs Ach(Spares)(Inpt)'!$D$42:$I$73,6,0),IF($C$2='ASE Target vs Ach(Spares)(Inpt)'!$L$5,VLOOKUP(D24,'ASE Target vs Ach(Spares)(Inpt)'!$D$42:$L$73,9,0),IF($C$2='ASE Target vs Ach(Spares)(Inpt)'!$O$5,VLOOKUP(D24,'ASE Target vs Ach(Spares)(Inpt)'!$D$42:$O$73,12,0),IF($C$2='ASE Target vs Ach(Spares)(Inpt)'!$R$5,VLOOKUP(D24,'ASE Target vs Ach(Spares)(Inpt)'!$D$42:$R$73,15,0),IF($C$2='ASE Target vs Ach(Spares)(Inpt)'!$U$5,VLOOKUP(D24,'ASE Target vs Ach(Spares)(Inpt)'!$D$42:$U$73,18,0),IF($C$2='ASE Target vs Ach(Spares)(Inpt)'!$X$5,VLOOKUP(D24,'ASE Target vs Ach(Spares)(Inpt)'!$D$42:$X$73,21,0),IF($C$2='ASE Target vs Ach(Spares)(Inpt)'!$AA$5,VLOOKUP(D24,'ASE Target vs Ach(Spares)(Inpt)'!$D$42:$AA$73,24,0),IF($C$2='ASE Target vs Ach(Spares)(Inpt)'!$AD$5,VLOOKUP(D24,'ASE Target vs Ach(Spares)(Inpt)'!$D$42:$AD$73,27,0),IF($C$2='ASE Target vs Ach(Spares)(Inpt)'!$AG$5,VLOOKUP(D24,'ASE Target vs Ach(Spares)(Inpt)'!$D$42:$AG$73,30,0),IF($C$2='ASE Target vs Ach(Spares)(Inpt)'!$AJ$5,VLOOKUP(D24,'ASE Target vs Ach(Spares)(Inpt)'!$D$42:$AJ$73,33,0),IF($C$2='ASE Target vs Ach(Spares)(Inpt)'!$AM$5,VLOOKUP(D24,'ASE Target vs Ach(Spares)(Inpt)'!$D$42:$AM$73,36,0),"N/A"))))))))))))</f>
        <v>0</v>
      </c>
      <c r="K24" s="17">
        <f>IF($C$2='ASE Target vs Ach(Spares)(Inpt)'!$F$5,VLOOKUP(D24,'ASE Target vs Ach(Spares)(Inpt)'!$D$42:$G$73,4,0),IF($C$2='ASE Target vs Ach(Spares)(Inpt)'!$I$5,VLOOKUP(D24,'ASE Target vs Ach(Spares)(Inpt)'!$D$42:$J$73,7,0),IF($C$2='ASE Target vs Ach(Spares)(Inpt)'!$L$5,VLOOKUP(D24,'ASE Target vs Ach(Spares)(Inpt)'!$D$42:$M$73,10,0),IF($C$2='ASE Target vs Ach(Spares)(Inpt)'!$O$5,VLOOKUP(D24,'ASE Target vs Ach(Spares)(Inpt)'!$D$42:$P$73,13,0),IF($C$2='ASE Target vs Ach(Spares)(Inpt)'!$R$5,VLOOKUP(D24,'ASE Target vs Ach(Spares)(Inpt)'!$D$42:$S$73,16,0),IF($C$2='ASE Target vs Ach(Spares)(Inpt)'!$U$5,VLOOKUP(D24,'ASE Target vs Ach(Spares)(Inpt)'!$D$42:$V$73,19,0),IF($C$2='ASE Target vs Ach(Spares)(Inpt)'!$X$5,VLOOKUP(D24,'ASE Target vs Ach(Spares)(Inpt)'!$D$42:$Y$73,22,0),IF($C$2='ASE Target vs Ach(Spares)(Inpt)'!$AA$5,VLOOKUP(D24,'ASE Target vs Ach(Spares)(Inpt)'!$D$42:$AB$73,25,0),IF($C$2='ASE Target vs Ach(Spares)(Inpt)'!$AD$5,VLOOKUP(D24,'ASE Target vs Ach(Spares)(Inpt)'!$D$42:$AE$73,28,0),IF($C$2='ASE Target vs Ach(Spares)(Inpt)'!$AG$5,VLOOKUP(D24,'ASE Target vs Ach(Spares)(Inpt)'!$D$42:$AH$73,31,0),IF($C$2='ASE Target vs Ach(Spares)(Inpt)'!$AJ$5,VLOOKUP(D24,'ASE Target vs Ach(Spares)(Inpt)'!$D$42:$AK$73,34,0),IF($C$2='ASE Target vs Ach(Spares)(Inpt)'!$AM$5,VLOOKUP(D24,'ASE Target vs Ach(Spares)(Inpt)'!$D$42:$AN$73,37,0),"N/A"))))))))))))</f>
        <v>0</v>
      </c>
      <c r="L24" s="18">
        <f t="shared" si="1"/>
        <v>0</v>
      </c>
      <c r="M24" s="19" t="str">
        <f t="shared" si="2"/>
        <v>Not Eligible</v>
      </c>
      <c r="N24" s="17" t="str">
        <f>IF(M24="Eligible",IF(K24&lt;Condition!$E$4,0,IF(K24=Condition!$E$4,Condition!$C$4*K24,IF(K24&lt;Condition!$F$4,Condition!$C$4*K24,IF(K24=Condition!$F$4,Condition!$C$5*K24,IF(K24&lt;Condition!$F$5,Condition!$C$5*K24,IF(K24=Condition!$F$5,Condition!$C$6*K24,IF(K24&lt;Condition!$F$6,Condition!$C$6*K24,IF(K24=Condition!$F$6,Condition!$C$7*K24,IF(K24&lt;Condition!$F$7,Condition!$C$7*K24,IF(K24=Condition!$F$7,Condition!$C$8*K24,IF(K24&lt;Condition!$F$8,Condition!$C$8*K24,IF(K24=Condition!$F$8,Condition!$C$9*K24,IF(K24&lt;Condition!$F$9,Condition!$C$9*K24,IF(K24=Condition!$F$9,Condition!$C$10*K24,IF(K24&gt;Condition!$F$10,Condition!$C$10*K24,""))))))))))))))),"")</f>
        <v/>
      </c>
      <c r="O24" s="142" t="str">
        <f>IF(M24="Eligible",IF(K24&lt;Condition!$E$4,0,IF(K24=Condition!$E$4,Condition!$D$4,IF(K24&lt;Condition!$F$4,Condition!$D$4,IF(K24=Condition!$F$4,Condition!$D$5,IF(K24&lt;Condition!$F$5,Condition!$D$5,IF(K24=Condition!$F$5,Condition!$D$6,IF(K24&lt;Condition!$F$6,Condition!$D$6,IF(K24=Condition!$F$6,Condition!$D$7,IF(K24&lt;Condition!$F$7,Condition!$D$7,IF(K24=Condition!$F$7,Condition!$D$8,IF(K24&lt;Condition!$F$8,Condition!$D$8,IF(K24=Condition!$F$8,Condition!$D$9,IF(K24&lt;Condition!$F$9,Condition!$D$9,IF(K24=Condition!$F$9,Condition!$D$10,IF(K24&gt;Condition!$F$10,Condition!$D$10,""))))))))))))))),"")</f>
        <v/>
      </c>
      <c r="P24" s="142" t="str">
        <f t="shared" si="3"/>
        <v/>
      </c>
      <c r="Q24" s="117">
        <f>VLOOKUP(D24,'ASE Ach(Lube Oil Sales)'!$D$5:$F$40,3,0)</f>
        <v>0</v>
      </c>
      <c r="R24" s="17">
        <f>Q24*Condition!$E$27</f>
        <v>0</v>
      </c>
      <c r="S24" s="142">
        <f>VLOOKUP(D24,'ASE Ach (Service)(Input)'!$D$5:$F$34,3,0)</f>
        <v>324166</v>
      </c>
      <c r="T24" s="142">
        <f>VLOOKUP(D24,'ASE Ach (Service)(Input)'!$D$5:$G$34,4,0)</f>
        <v>360094</v>
      </c>
      <c r="U24" s="142">
        <f>VLOOKUP(D24,'ASE Ach (Service)(Input)'!$D$48:$F$79,3,0)</f>
        <v>6000</v>
      </c>
      <c r="V24" s="142">
        <f>VLOOKUP(D24,'ASE Ach (Service)(Input)'!$D$48:$G$79,4,0)</f>
        <v>4250</v>
      </c>
      <c r="W24" s="80">
        <f>IF($C$2='ASE Ach (CSA)(Input)'!$F$5,INDEX('ASE Ach (CSA)(Input)'!F:F,MATCH(D24,'ASE Ach (CSA)(Input)'!D:D,0)),IF($C$2='ASE Ach (CSA)(Input)'!$H$5,INDEX('ASE Ach (CSA)(Input)'!H:H,MATCH(D24,'ASE Ach (CSA)(Input)'!D:D,0)),IF($C$2='ASE Ach (CSA)(Input)'!$J$5,INDEX('ASE Ach (CSA)(Input)'!J:J,MATCH(D24,'ASE Ach (CSA)(Input)'!D:D,0)),IF($C$2='ASE Ach (CSA)(Input)'!$L$5,INDEX('ASE Ach (CSA)(Input)'!L:L,MATCH(D24,'ASE Ach (CSA)(Input)'!D:D,0)),IF($C$2='ASE Ach (CSA)(Input)'!$N$5,INDEX('ASE Ach (CSA)(Input)'!N:N,MATCH(D24,'ASE Ach (CSA)(Input)'!D:D,0)),IF($C$2='ASE Ach (CSA)(Input)'!$P$5,INDEX('ASE Ach (CSA)(Input)'!P:P,MATCH(D24,'ASE Ach (CSA)(Input)'!D:D,0)),IF($C$2='ASE Ach (CSA)(Input)'!$R$5,INDEX('ASE Ach (CSA)(Input)'!R:R,MATCH(D24,'ASE Ach (CSA)(Input)'!D:D,0)),IF($C$2='ASE Ach (CSA)(Input)'!$T$5,INDEX('ASE Ach (CSA)(Input)'!T:T,MATCH(D24,'ASE Ach (CSA)(Input)'!D:D,0)),IF($C$2='ASE Ach (CSA)(Input)'!$V$5,INDEX('ASE Ach (CSA)(Input)'!V:V,MATCH(D24,'ASE Ach (CSA)(Input)'!D:D,0)),IF($C$2='ASE Ach (CSA)(Input)'!$X$5,INDEX('ASE Ach (CSA)(Input)'!X:X,MATCH(D24,'ASE Ach (CSA)(Input)'!D:D,0)),IF($C$2='ASE Ach (CSA)(Input)'!$Z$5,INDEX('ASE Ach (CSA)(Input)'!Z:Z,MATCH(D24,'ASE Ach (CSA)(Input)'!D:D,0)),IF($C$2='ASE Ach (CSA)(Input)'!$AB$5,INDEX('ASE Ach (CSA)(Input)'!AB:AB,MATCH(D24,'ASE Ach (CSA)(Input)'!D:D,0)),"N/A"))))))))))))</f>
        <v>0</v>
      </c>
      <c r="X24" s="80">
        <f>IF($C$2='ASE Ach (CSA)(Input)'!$F$5,INDEX('ASE Ach (CSA)(Input)'!G:G,MATCH(D24,'ASE Ach (CSA)(Input)'!D:D,0)),IF($C$2='ASE Ach (CSA)(Input)'!$H$5,INDEX('ASE Ach (CSA)(Input)'!I:I,MATCH(D24,'ASE Ach (CSA)(Input)'!D:D,0)),IF($C$2='ASE Ach (CSA)(Input)'!$J$5,INDEX('ASE Ach (CSA)(Input)'!K:K,MATCH(D24,'ASE Ach (CSA)(Input)'!D:D,0)),IF($C$2='ASE Ach (CSA)(Input)'!$L$5,INDEX('ASE Ach (CSA)(Input)'!M:M,MATCH(D24,'ASE Ach (CSA)(Input)'!D:D,0)),IF($C$2='ASE Ach (CSA)(Input)'!$N$5,INDEX('ASE Ach (CSA)(Input)'!O:O,MATCH(D24,'ASE Ach (CSA)(Input)'!D:D,0)),IF($C$2='ASE Ach (CSA)(Input)'!$P$5,INDEX('ASE Ach (CSA)(Input)'!Q:Q,MATCH(D24,'ASE Ach (CSA)(Input)'!D:D,0)),IF($C$2='ASE Ach (CSA)(Input)'!$R$5,INDEX('ASE Ach (CSA)(Input)'!S:S,MATCH(D24,'ASE Ach (CSA)(Input)'!D:D,0)),IF($C$2='ASE Ach (CSA)(Input)'!$T$5,INDEX('ASE Ach (CSA)(Input)'!U:U,MATCH(D24,'ASE Ach (CSA)(Input)'!D:D,0)),IF($C$2='ASE Ach (CSA)(Input)'!$V$5,INDEX('ASE Ach (CSA)(Input)'!W:W,MATCH(D24,'ASE Ach (CSA)(Input)'!D:D,0)),IF($C$2='ASE Ach (CSA)(Input)'!$X$5,INDEX('ASE Ach (CSA)(Input)'!Y:Y,MATCH(D24,'ASE Ach (CSA)(Input)'!D:D,0)),IF($C$2='ASE Ach (CSA)(Input)'!$Z$5,INDEX('ASE Ach (CSA)(Input)'!AA:AA,MATCH(D24,'ASE Ach (CSA)(Input)'!D:D,0)),IF($C$2='ASE Ach (CSA)(Input)'!$AB$5,INDEX('ASE Ach (CSA)(Input)'!AC:AC,MATCH(D24,'ASE Ach (CSA)(Input)'!D:D,0)),"N/A"))))))))))))</f>
        <v>1</v>
      </c>
      <c r="Y24" s="142">
        <f>W24*Condition!$C$23+'Monthly Summary (No Input)'!X24*Condition!$E$24</f>
        <v>1000</v>
      </c>
      <c r="Z24" s="17">
        <f t="shared" si="4"/>
        <v>11250</v>
      </c>
    </row>
    <row r="25" spans="2:26" x14ac:dyDescent="0.25">
      <c r="B25" s="15">
        <f>'ASE Target (Spares), FY 21-22'!A23</f>
        <v>14</v>
      </c>
      <c r="C25" s="15" t="str">
        <f>IF('ASE Target (Spares), FY 21-22'!B23=0,"",'ASE Target (Spares), FY 21-22'!B23)</f>
        <v>DSL-DHK</v>
      </c>
      <c r="D25" s="16" t="str">
        <f>'ASE Target (Spares), FY 21-22'!C23</f>
        <v>Md. Habibur Rahman</v>
      </c>
      <c r="E25" s="15">
        <f>IF('ASE Target (Spares), FY 21-22'!D23=0,"",'ASE Target (Spares), FY 21-22'!D23)</f>
        <v>6079</v>
      </c>
      <c r="F25" s="17">
        <f>IFERROR(VLOOKUP(E25,'ASE Target (Spares), FY 21-22'!$D$5:$G$260,4,0),"")</f>
        <v>500000</v>
      </c>
      <c r="G25" s="17">
        <f>IF($C$2='ASE Target vs Ach(Spares)(Inpt)'!$F$5,VLOOKUP(D25,'ASE Target vs Ach(Spares)(Inpt)'!$D$6:$F$37,3,0),IF($C$2='ASE Target vs Ach(Spares)(Inpt)'!$I$5,VLOOKUP(D25,'ASE Target vs Ach(Spares)(Inpt)'!$D$6:$I$37,6,0),IF($C$2='ASE Target vs Ach(Spares)(Inpt)'!$L$5,VLOOKUP(D25,'ASE Target vs Ach(Spares)(Inpt)'!$D$6:$L$37,9,0),IF($C$2='ASE Target vs Ach(Spares)(Inpt)'!$O$5,VLOOKUP(D25,'ASE Target vs Ach(Spares)(Inpt)'!$D$6:$O$37,12,0),IF($C$2='ASE Target vs Ach(Spares)(Inpt)'!$R$5,VLOOKUP(D25,'ASE Target vs Ach(Spares)(Inpt)'!$D$6:$R$37,15,0),IF($C$2='ASE Target vs Ach(Spares)(Inpt)'!$U$5,VLOOKUP(D25,'ASE Target vs Ach(Spares)(Inpt)'!$D$6:$U$37,18,0),IF($C$2='ASE Target vs Ach(Spares)(Inpt)'!$X$5,VLOOKUP(D25,'ASE Target vs Ach(Spares)(Inpt)'!$D$6:$X$37,21,0),IF($C$2='ASE Target vs Ach(Spares)(Inpt)'!$AA$5,VLOOKUP(D25,'ASE Target vs Ach(Spares)(Inpt)'!$D$6:$AA$37,24,0),IF($C$2='ASE Target vs Ach(Spares)(Inpt)'!$AD$5,VLOOKUP(D25,'ASE Target vs Ach(Spares)(Inpt)'!$D$6:$AD$37,27,0),IF($C$2='ASE Target vs Ach(Spares)(Inpt)'!$AG$5,VLOOKUP(D25,'ASE Target vs Ach(Spares)(Inpt)'!$D$6:$AG$37,30,0),IF($C$2='ASE Target vs Ach(Spares)(Inpt)'!$AJ$5,VLOOKUP(D25,'ASE Target vs Ach(Spares)(Inpt)'!$D$6:$AJ$37,33,0),IF($C$2='ASE Target vs Ach(Spares)(Inpt)'!$AM$5,VLOOKUP(D25,'ASE Target vs Ach(Spares)(Inpt)'!$D$6:$AM$37,36,0),"N/A"))))))))))))</f>
        <v>250000</v>
      </c>
      <c r="H25" s="17">
        <f>IF($C$2='ASE Target vs Ach(Spares)(Inpt)'!$F$5,VLOOKUP(D25,'ASE Target vs Ach(Spares)(Inpt)'!$D$6:$G$37,4,0),IF($C$2='ASE Target vs Ach(Spares)(Inpt)'!$I$5,VLOOKUP(D25,'ASE Target vs Ach(Spares)(Inpt)'!$D$6:$J$37,7,0),IF($C$2='ASE Target vs Ach(Spares)(Inpt)'!$L$5,VLOOKUP(D25,'ASE Target vs Ach(Spares)(Inpt)'!$D$6:$M$37,10,0),IF($C$2='ASE Target vs Ach(Spares)(Inpt)'!$O$5,VLOOKUP(D25,'ASE Target vs Ach(Spares)(Inpt)'!$D$6:$P$37,13,0),IF($C$2='ASE Target vs Ach(Spares)(Inpt)'!$R$5,VLOOKUP(D25,'ASE Target vs Ach(Spares)(Inpt)'!$D$6:$S$37,16,0),IF($C$2='ASE Target vs Ach(Spares)(Inpt)'!$U$5,VLOOKUP(D25,'ASE Target vs Ach(Spares)(Inpt)'!$D$6:$V$37,19,0),IF($C$2='ASE Target vs Ach(Spares)(Inpt)'!$X$5,VLOOKUP(D25,'ASE Target vs Ach(Spares)(Inpt)'!$D$6:$Y$37,22,0),IF($C$2='ASE Target vs Ach(Spares)(Inpt)'!$AA$5,VLOOKUP(D25,'ASE Target vs Ach(Spares)(Inpt)'!$D$6:$AB$37,25,0),IF($C$2='ASE Target vs Ach(Spares)(Inpt)'!$AD$5,VLOOKUP(D25,'ASE Target vs Ach(Spares)(Inpt)'!$D$6:$AE$37,28,0),IF($C$2='ASE Target vs Ach(Spares)(Inpt)'!$AG$5,VLOOKUP(D25,'ASE Target vs Ach(Spares)(Inpt)'!$D$6:$AH$37,31,0),IF($C$2='ASE Target vs Ach(Spares)(Inpt)'!$AJ$5,VLOOKUP(D25,'ASE Target vs Ach(Spares)(Inpt)'!$D$6:$AK$37,34,0),IF($C$2='ASE Target vs Ach(Spares)(Inpt)'!$AM$5,VLOOKUP(D25,'ASE Target vs Ach(Spares)(Inpt)'!$D$6:$AN$37,37,0),"N/A"))))))))))))</f>
        <v>263694</v>
      </c>
      <c r="I25" s="18">
        <f t="shared" si="0"/>
        <v>1.0547759999999999</v>
      </c>
      <c r="J25" s="17">
        <f>IF($C$2='ASE Target vs Ach(Spares)(Inpt)'!$F$5,VLOOKUP(D25,'ASE Target vs Ach(Spares)(Inpt)'!$D$42:$F$73,3,0),IF($C$2='ASE Target vs Ach(Spares)(Inpt)'!$I$5,VLOOKUP(D25,'ASE Target vs Ach(Spares)(Inpt)'!$D$42:$I$73,6,0),IF($C$2='ASE Target vs Ach(Spares)(Inpt)'!$L$5,VLOOKUP(D25,'ASE Target vs Ach(Spares)(Inpt)'!$D$42:$L$73,9,0),IF($C$2='ASE Target vs Ach(Spares)(Inpt)'!$O$5,VLOOKUP(D25,'ASE Target vs Ach(Spares)(Inpt)'!$D$42:$O$73,12,0),IF($C$2='ASE Target vs Ach(Spares)(Inpt)'!$R$5,VLOOKUP(D25,'ASE Target vs Ach(Spares)(Inpt)'!$D$42:$R$73,15,0),IF($C$2='ASE Target vs Ach(Spares)(Inpt)'!$U$5,VLOOKUP(D25,'ASE Target vs Ach(Spares)(Inpt)'!$D$42:$U$73,18,0),IF($C$2='ASE Target vs Ach(Spares)(Inpt)'!$X$5,VLOOKUP(D25,'ASE Target vs Ach(Spares)(Inpt)'!$D$42:$X$73,21,0),IF($C$2='ASE Target vs Ach(Spares)(Inpt)'!$AA$5,VLOOKUP(D25,'ASE Target vs Ach(Spares)(Inpt)'!$D$42:$AA$73,24,0),IF($C$2='ASE Target vs Ach(Spares)(Inpt)'!$AD$5,VLOOKUP(D25,'ASE Target vs Ach(Spares)(Inpt)'!$D$42:$AD$73,27,0),IF($C$2='ASE Target vs Ach(Spares)(Inpt)'!$AG$5,VLOOKUP(D25,'ASE Target vs Ach(Spares)(Inpt)'!$D$42:$AG$73,30,0),IF($C$2='ASE Target vs Ach(Spares)(Inpt)'!$AJ$5,VLOOKUP(D25,'ASE Target vs Ach(Spares)(Inpt)'!$D$42:$AJ$73,33,0),IF($C$2='ASE Target vs Ach(Spares)(Inpt)'!$AM$5,VLOOKUP(D25,'ASE Target vs Ach(Spares)(Inpt)'!$D$42:$AM$73,36,0),"N/A"))))))))))))</f>
        <v>112500</v>
      </c>
      <c r="K25" s="17">
        <f>IF($C$2='ASE Target vs Ach(Spares)(Inpt)'!$F$5,VLOOKUP(D25,'ASE Target vs Ach(Spares)(Inpt)'!$D$42:$G$73,4,0),IF($C$2='ASE Target vs Ach(Spares)(Inpt)'!$I$5,VLOOKUP(D25,'ASE Target vs Ach(Spares)(Inpt)'!$D$42:$J$73,7,0),IF($C$2='ASE Target vs Ach(Spares)(Inpt)'!$L$5,VLOOKUP(D25,'ASE Target vs Ach(Spares)(Inpt)'!$D$42:$M$73,10,0),IF($C$2='ASE Target vs Ach(Spares)(Inpt)'!$O$5,VLOOKUP(D25,'ASE Target vs Ach(Spares)(Inpt)'!$D$42:$P$73,13,0),IF($C$2='ASE Target vs Ach(Spares)(Inpt)'!$R$5,VLOOKUP(D25,'ASE Target vs Ach(Spares)(Inpt)'!$D$42:$S$73,16,0),IF($C$2='ASE Target vs Ach(Spares)(Inpt)'!$U$5,VLOOKUP(D25,'ASE Target vs Ach(Spares)(Inpt)'!$D$42:$V$73,19,0),IF($C$2='ASE Target vs Ach(Spares)(Inpt)'!$X$5,VLOOKUP(D25,'ASE Target vs Ach(Spares)(Inpt)'!$D$42:$Y$73,22,0),IF($C$2='ASE Target vs Ach(Spares)(Inpt)'!$AA$5,VLOOKUP(D25,'ASE Target vs Ach(Spares)(Inpt)'!$D$42:$AB$73,25,0),IF($C$2='ASE Target vs Ach(Spares)(Inpt)'!$AD$5,VLOOKUP(D25,'ASE Target vs Ach(Spares)(Inpt)'!$D$42:$AE$73,28,0),IF($C$2='ASE Target vs Ach(Spares)(Inpt)'!$AG$5,VLOOKUP(D25,'ASE Target vs Ach(Spares)(Inpt)'!$D$42:$AH$73,31,0),IF($C$2='ASE Target vs Ach(Spares)(Inpt)'!$AJ$5,VLOOKUP(D25,'ASE Target vs Ach(Spares)(Inpt)'!$D$42:$AK$73,34,0),IF($C$2='ASE Target vs Ach(Spares)(Inpt)'!$AM$5,VLOOKUP(D25,'ASE Target vs Ach(Spares)(Inpt)'!$D$42:$AN$73,37,0),"N/A"))))))))))))</f>
        <v>263694</v>
      </c>
      <c r="L25" s="18">
        <f t="shared" si="1"/>
        <v>2.3439466666666666</v>
      </c>
      <c r="M25" s="19" t="str">
        <f t="shared" si="2"/>
        <v>Eligible</v>
      </c>
      <c r="N25" s="17">
        <f>IF(M25="Eligible",IF(K25&lt;Condition!$E$4,0,IF(K25=Condition!$E$4,Condition!$C$4*K25,IF(K25&lt;Condition!$F$4,Condition!$C$4*K25,IF(K25=Condition!$F$4,Condition!$C$5*K25,IF(K25&lt;Condition!$F$5,Condition!$C$5*K25,IF(K25=Condition!$F$5,Condition!$C$6*K25,IF(K25&lt;Condition!$F$6,Condition!$C$6*K25,IF(K25=Condition!$F$6,Condition!$C$7*K25,IF(K25&lt;Condition!$F$7,Condition!$C$7*K25,IF(K25=Condition!$F$7,Condition!$C$8*K25,IF(K25&lt;Condition!$F$8,Condition!$C$8*K25,IF(K25=Condition!$F$8,Condition!$C$9*K25,IF(K25&lt;Condition!$F$9,Condition!$C$9*K25,IF(K25=Condition!$F$9,Condition!$C$10*K25,IF(K25&gt;Condition!$F$10,Condition!$C$10*K25,""))))))))))))))),"")</f>
        <v>5933.1149999999998</v>
      </c>
      <c r="O25" s="142">
        <f>IF(M25="Eligible",IF(K25&lt;Condition!$E$4,0,IF(K25=Condition!$E$4,Condition!$D$4,IF(K25&lt;Condition!$F$4,Condition!$D$4,IF(K25=Condition!$F$4,Condition!$D$5,IF(K25&lt;Condition!$F$5,Condition!$D$5,IF(K25=Condition!$F$5,Condition!$D$6,IF(K25&lt;Condition!$F$6,Condition!$D$6,IF(K25=Condition!$F$6,Condition!$D$7,IF(K25&lt;Condition!$F$7,Condition!$D$7,IF(K25=Condition!$F$7,Condition!$D$8,IF(K25&lt;Condition!$F$8,Condition!$D$8,IF(K25=Condition!$F$8,Condition!$D$9,IF(K25&lt;Condition!$F$9,Condition!$D$9,IF(K25=Condition!$F$9,Condition!$D$10,IF(K25&gt;Condition!$F$10,Condition!$D$10,""))))))))))))))),"")</f>
        <v>1250</v>
      </c>
      <c r="P25" s="142">
        <f t="shared" si="3"/>
        <v>1511.94</v>
      </c>
      <c r="Q25" s="117">
        <f>VLOOKUP(D25,'ASE Ach(Lube Oil Sales)'!$D$5:$F$40,3,0)</f>
        <v>80</v>
      </c>
      <c r="R25" s="17">
        <f>Q25*Condition!$E$27</f>
        <v>400</v>
      </c>
      <c r="S25" s="142">
        <f>VLOOKUP(D25,'ASE Ach (Service)(Input)'!$D$5:$F$34,3,0)</f>
        <v>0</v>
      </c>
      <c r="T25" s="142">
        <f>VLOOKUP(D25,'ASE Ach (Service)(Input)'!$D$5:$G$34,4,0)</f>
        <v>8110</v>
      </c>
      <c r="U25" s="142">
        <f>VLOOKUP(D25,'ASE Ach (Service)(Input)'!$D$48:$F$79,3,0)</f>
        <v>0</v>
      </c>
      <c r="V25" s="142">
        <f>VLOOKUP(D25,'ASE Ach (Service)(Input)'!$D$48:$G$79,4,0)</f>
        <v>400</v>
      </c>
      <c r="W25" s="80">
        <f>IF($C$2='ASE Ach (CSA)(Input)'!$F$5,INDEX('ASE Ach (CSA)(Input)'!F:F,MATCH(D25,'ASE Ach (CSA)(Input)'!D:D,0)),IF($C$2='ASE Ach (CSA)(Input)'!$H$5,INDEX('ASE Ach (CSA)(Input)'!H:H,MATCH(D25,'ASE Ach (CSA)(Input)'!D:D,0)),IF($C$2='ASE Ach (CSA)(Input)'!$J$5,INDEX('ASE Ach (CSA)(Input)'!J:J,MATCH(D25,'ASE Ach (CSA)(Input)'!D:D,0)),IF($C$2='ASE Ach (CSA)(Input)'!$L$5,INDEX('ASE Ach (CSA)(Input)'!L:L,MATCH(D25,'ASE Ach (CSA)(Input)'!D:D,0)),IF($C$2='ASE Ach (CSA)(Input)'!$N$5,INDEX('ASE Ach (CSA)(Input)'!N:N,MATCH(D25,'ASE Ach (CSA)(Input)'!D:D,0)),IF($C$2='ASE Ach (CSA)(Input)'!$P$5,INDEX('ASE Ach (CSA)(Input)'!P:P,MATCH(D25,'ASE Ach (CSA)(Input)'!D:D,0)),IF($C$2='ASE Ach (CSA)(Input)'!$R$5,INDEX('ASE Ach (CSA)(Input)'!R:R,MATCH(D25,'ASE Ach (CSA)(Input)'!D:D,0)),IF($C$2='ASE Ach (CSA)(Input)'!$T$5,INDEX('ASE Ach (CSA)(Input)'!T:T,MATCH(D25,'ASE Ach (CSA)(Input)'!D:D,0)),IF($C$2='ASE Ach (CSA)(Input)'!$V$5,INDEX('ASE Ach (CSA)(Input)'!V:V,MATCH(D25,'ASE Ach (CSA)(Input)'!D:D,0)),IF($C$2='ASE Ach (CSA)(Input)'!$X$5,INDEX('ASE Ach (CSA)(Input)'!X:X,MATCH(D25,'ASE Ach (CSA)(Input)'!D:D,0)),IF($C$2='ASE Ach (CSA)(Input)'!$Z$5,INDEX('ASE Ach (CSA)(Input)'!Z:Z,MATCH(D25,'ASE Ach (CSA)(Input)'!D:D,0)),IF($C$2='ASE Ach (CSA)(Input)'!$AB$5,INDEX('ASE Ach (CSA)(Input)'!AB:AB,MATCH(D25,'ASE Ach (CSA)(Input)'!D:D,0)),"N/A"))))))))))))</f>
        <v>0</v>
      </c>
      <c r="X25" s="80">
        <f>IF($C$2='ASE Ach (CSA)(Input)'!$F$5,INDEX('ASE Ach (CSA)(Input)'!G:G,MATCH(D25,'ASE Ach (CSA)(Input)'!D:D,0)),IF($C$2='ASE Ach (CSA)(Input)'!$H$5,INDEX('ASE Ach (CSA)(Input)'!I:I,MATCH(D25,'ASE Ach (CSA)(Input)'!D:D,0)),IF($C$2='ASE Ach (CSA)(Input)'!$J$5,INDEX('ASE Ach (CSA)(Input)'!K:K,MATCH(D25,'ASE Ach (CSA)(Input)'!D:D,0)),IF($C$2='ASE Ach (CSA)(Input)'!$L$5,INDEX('ASE Ach (CSA)(Input)'!M:M,MATCH(D25,'ASE Ach (CSA)(Input)'!D:D,0)),IF($C$2='ASE Ach (CSA)(Input)'!$N$5,INDEX('ASE Ach (CSA)(Input)'!O:O,MATCH(D25,'ASE Ach (CSA)(Input)'!D:D,0)),IF($C$2='ASE Ach (CSA)(Input)'!$P$5,INDEX('ASE Ach (CSA)(Input)'!Q:Q,MATCH(D25,'ASE Ach (CSA)(Input)'!D:D,0)),IF($C$2='ASE Ach (CSA)(Input)'!$R$5,INDEX('ASE Ach (CSA)(Input)'!S:S,MATCH(D25,'ASE Ach (CSA)(Input)'!D:D,0)),IF($C$2='ASE Ach (CSA)(Input)'!$T$5,INDEX('ASE Ach (CSA)(Input)'!U:U,MATCH(D25,'ASE Ach (CSA)(Input)'!D:D,0)),IF($C$2='ASE Ach (CSA)(Input)'!$V$5,INDEX('ASE Ach (CSA)(Input)'!W:W,MATCH(D25,'ASE Ach (CSA)(Input)'!D:D,0)),IF($C$2='ASE Ach (CSA)(Input)'!$X$5,INDEX('ASE Ach (CSA)(Input)'!Y:Y,MATCH(D25,'ASE Ach (CSA)(Input)'!D:D,0)),IF($C$2='ASE Ach (CSA)(Input)'!$Z$5,INDEX('ASE Ach (CSA)(Input)'!AA:AA,MATCH(D25,'ASE Ach (CSA)(Input)'!D:D,0)),IF($C$2='ASE Ach (CSA)(Input)'!$AB$5,INDEX('ASE Ach (CSA)(Input)'!AC:AC,MATCH(D25,'ASE Ach (CSA)(Input)'!D:D,0)),"N/A"))))))))))))</f>
        <v>0</v>
      </c>
      <c r="Y25" s="142">
        <f>W25*Condition!$C$23+'Monthly Summary (No Input)'!X25*Condition!$E$24</f>
        <v>0</v>
      </c>
      <c r="Z25" s="17">
        <f t="shared" si="4"/>
        <v>9495.0550000000003</v>
      </c>
    </row>
    <row r="26" spans="2:26" x14ac:dyDescent="0.25">
      <c r="B26" s="15">
        <f>'ASE Target (Spares), FY 21-22'!A24</f>
        <v>15</v>
      </c>
      <c r="C26" s="15" t="str">
        <f>IF('ASE Target (Spares), FY 21-22'!B24=0,"",'ASE Target (Spares), FY 21-22'!B24)</f>
        <v>DSL-DHK</v>
      </c>
      <c r="D26" s="16" t="str">
        <f>'ASE Target (Spares), FY 21-22'!C24</f>
        <v>Ashikur Rahman</v>
      </c>
      <c r="E26" s="15">
        <f>IF('ASE Target (Spares), FY 21-22'!D24=0,"",'ASE Target (Spares), FY 21-22'!D24)</f>
        <v>6080</v>
      </c>
      <c r="F26" s="17">
        <f>IFERROR(VLOOKUP(E26,'ASE Target (Spares), FY 21-22'!$D$5:$G$260,4,0),"")</f>
        <v>1000000</v>
      </c>
      <c r="G26" s="17">
        <f>IF($C$2='ASE Target vs Ach(Spares)(Inpt)'!$F$5,VLOOKUP(D26,'ASE Target vs Ach(Spares)(Inpt)'!$D$6:$F$37,3,0),IF($C$2='ASE Target vs Ach(Spares)(Inpt)'!$I$5,VLOOKUP(D26,'ASE Target vs Ach(Spares)(Inpt)'!$D$6:$I$37,6,0),IF($C$2='ASE Target vs Ach(Spares)(Inpt)'!$L$5,VLOOKUP(D26,'ASE Target vs Ach(Spares)(Inpt)'!$D$6:$L$37,9,0),IF($C$2='ASE Target vs Ach(Spares)(Inpt)'!$O$5,VLOOKUP(D26,'ASE Target vs Ach(Spares)(Inpt)'!$D$6:$O$37,12,0),IF($C$2='ASE Target vs Ach(Spares)(Inpt)'!$R$5,VLOOKUP(D26,'ASE Target vs Ach(Spares)(Inpt)'!$D$6:$R$37,15,0),IF($C$2='ASE Target vs Ach(Spares)(Inpt)'!$U$5,VLOOKUP(D26,'ASE Target vs Ach(Spares)(Inpt)'!$D$6:$U$37,18,0),IF($C$2='ASE Target vs Ach(Spares)(Inpt)'!$X$5,VLOOKUP(D26,'ASE Target vs Ach(Spares)(Inpt)'!$D$6:$X$37,21,0),IF($C$2='ASE Target vs Ach(Spares)(Inpt)'!$AA$5,VLOOKUP(D26,'ASE Target vs Ach(Spares)(Inpt)'!$D$6:$AA$37,24,0),IF($C$2='ASE Target vs Ach(Spares)(Inpt)'!$AD$5,VLOOKUP(D26,'ASE Target vs Ach(Spares)(Inpt)'!$D$6:$AD$37,27,0),IF($C$2='ASE Target vs Ach(Spares)(Inpt)'!$AG$5,VLOOKUP(D26,'ASE Target vs Ach(Spares)(Inpt)'!$D$6:$AG$37,30,0),IF($C$2='ASE Target vs Ach(Spares)(Inpt)'!$AJ$5,VLOOKUP(D26,'ASE Target vs Ach(Spares)(Inpt)'!$D$6:$AJ$37,33,0),IF($C$2='ASE Target vs Ach(Spares)(Inpt)'!$AM$5,VLOOKUP(D26,'ASE Target vs Ach(Spares)(Inpt)'!$D$6:$AM$37,36,0),"N/A"))))))))))))</f>
        <v>500000</v>
      </c>
      <c r="H26" s="17">
        <f>IF($C$2='ASE Target vs Ach(Spares)(Inpt)'!$F$5,VLOOKUP(D26,'ASE Target vs Ach(Spares)(Inpt)'!$D$6:$G$37,4,0),IF($C$2='ASE Target vs Ach(Spares)(Inpt)'!$I$5,VLOOKUP(D26,'ASE Target vs Ach(Spares)(Inpt)'!$D$6:$J$37,7,0),IF($C$2='ASE Target vs Ach(Spares)(Inpt)'!$L$5,VLOOKUP(D26,'ASE Target vs Ach(Spares)(Inpt)'!$D$6:$M$37,10,0),IF($C$2='ASE Target vs Ach(Spares)(Inpt)'!$O$5,VLOOKUP(D26,'ASE Target vs Ach(Spares)(Inpt)'!$D$6:$P$37,13,0),IF($C$2='ASE Target vs Ach(Spares)(Inpt)'!$R$5,VLOOKUP(D26,'ASE Target vs Ach(Spares)(Inpt)'!$D$6:$S$37,16,0),IF($C$2='ASE Target vs Ach(Spares)(Inpt)'!$U$5,VLOOKUP(D26,'ASE Target vs Ach(Spares)(Inpt)'!$D$6:$V$37,19,0),IF($C$2='ASE Target vs Ach(Spares)(Inpt)'!$X$5,VLOOKUP(D26,'ASE Target vs Ach(Spares)(Inpt)'!$D$6:$Y$37,22,0),IF($C$2='ASE Target vs Ach(Spares)(Inpt)'!$AA$5,VLOOKUP(D26,'ASE Target vs Ach(Spares)(Inpt)'!$D$6:$AB$37,25,0),IF($C$2='ASE Target vs Ach(Spares)(Inpt)'!$AD$5,VLOOKUP(D26,'ASE Target vs Ach(Spares)(Inpt)'!$D$6:$AE$37,28,0),IF($C$2='ASE Target vs Ach(Spares)(Inpt)'!$AG$5,VLOOKUP(D26,'ASE Target vs Ach(Spares)(Inpt)'!$D$6:$AH$37,31,0),IF($C$2='ASE Target vs Ach(Spares)(Inpt)'!$AJ$5,VLOOKUP(D26,'ASE Target vs Ach(Spares)(Inpt)'!$D$6:$AK$37,34,0),IF($C$2='ASE Target vs Ach(Spares)(Inpt)'!$AM$5,VLOOKUP(D26,'ASE Target vs Ach(Spares)(Inpt)'!$D$6:$AN$37,37,0),"N/A"))))))))))))</f>
        <v>0</v>
      </c>
      <c r="I26" s="18">
        <f t="shared" si="0"/>
        <v>0</v>
      </c>
      <c r="J26" s="17">
        <f>IF($C$2='ASE Target vs Ach(Spares)(Inpt)'!$F$5,VLOOKUP(D26,'ASE Target vs Ach(Spares)(Inpt)'!$D$42:$F$73,3,0),IF($C$2='ASE Target vs Ach(Spares)(Inpt)'!$I$5,VLOOKUP(D26,'ASE Target vs Ach(Spares)(Inpt)'!$D$42:$I$73,6,0),IF($C$2='ASE Target vs Ach(Spares)(Inpt)'!$L$5,VLOOKUP(D26,'ASE Target vs Ach(Spares)(Inpt)'!$D$42:$L$73,9,0),IF($C$2='ASE Target vs Ach(Spares)(Inpt)'!$O$5,VLOOKUP(D26,'ASE Target vs Ach(Spares)(Inpt)'!$D$42:$O$73,12,0),IF($C$2='ASE Target vs Ach(Spares)(Inpt)'!$R$5,VLOOKUP(D26,'ASE Target vs Ach(Spares)(Inpt)'!$D$42:$R$73,15,0),IF($C$2='ASE Target vs Ach(Spares)(Inpt)'!$U$5,VLOOKUP(D26,'ASE Target vs Ach(Spares)(Inpt)'!$D$42:$U$73,18,0),IF($C$2='ASE Target vs Ach(Spares)(Inpt)'!$X$5,VLOOKUP(D26,'ASE Target vs Ach(Spares)(Inpt)'!$D$42:$X$73,21,0),IF($C$2='ASE Target vs Ach(Spares)(Inpt)'!$AA$5,VLOOKUP(D26,'ASE Target vs Ach(Spares)(Inpt)'!$D$42:$AA$73,24,0),IF($C$2='ASE Target vs Ach(Spares)(Inpt)'!$AD$5,VLOOKUP(D26,'ASE Target vs Ach(Spares)(Inpt)'!$D$42:$AD$73,27,0),IF($C$2='ASE Target vs Ach(Spares)(Inpt)'!$AG$5,VLOOKUP(D26,'ASE Target vs Ach(Spares)(Inpt)'!$D$42:$AG$73,30,0),IF($C$2='ASE Target vs Ach(Spares)(Inpt)'!$AJ$5,VLOOKUP(D26,'ASE Target vs Ach(Spares)(Inpt)'!$D$42:$AJ$73,33,0),IF($C$2='ASE Target vs Ach(Spares)(Inpt)'!$AM$5,VLOOKUP(D26,'ASE Target vs Ach(Spares)(Inpt)'!$D$42:$AM$73,36,0),"N/A"))))))))))))</f>
        <v>225000</v>
      </c>
      <c r="K26" s="17">
        <f>IF($C$2='ASE Target vs Ach(Spares)(Inpt)'!$F$5,VLOOKUP(D26,'ASE Target vs Ach(Spares)(Inpt)'!$D$42:$G$73,4,0),IF($C$2='ASE Target vs Ach(Spares)(Inpt)'!$I$5,VLOOKUP(D26,'ASE Target vs Ach(Spares)(Inpt)'!$D$42:$J$73,7,0),IF($C$2='ASE Target vs Ach(Spares)(Inpt)'!$L$5,VLOOKUP(D26,'ASE Target vs Ach(Spares)(Inpt)'!$D$42:$M$73,10,0),IF($C$2='ASE Target vs Ach(Spares)(Inpt)'!$O$5,VLOOKUP(D26,'ASE Target vs Ach(Spares)(Inpt)'!$D$42:$P$73,13,0),IF($C$2='ASE Target vs Ach(Spares)(Inpt)'!$R$5,VLOOKUP(D26,'ASE Target vs Ach(Spares)(Inpt)'!$D$42:$S$73,16,0),IF($C$2='ASE Target vs Ach(Spares)(Inpt)'!$U$5,VLOOKUP(D26,'ASE Target vs Ach(Spares)(Inpt)'!$D$42:$V$73,19,0),IF($C$2='ASE Target vs Ach(Spares)(Inpt)'!$X$5,VLOOKUP(D26,'ASE Target vs Ach(Spares)(Inpt)'!$D$42:$Y$73,22,0),IF($C$2='ASE Target vs Ach(Spares)(Inpt)'!$AA$5,VLOOKUP(D26,'ASE Target vs Ach(Spares)(Inpt)'!$D$42:$AB$73,25,0),IF($C$2='ASE Target vs Ach(Spares)(Inpt)'!$AD$5,VLOOKUP(D26,'ASE Target vs Ach(Spares)(Inpt)'!$D$42:$AE$73,28,0),IF($C$2='ASE Target vs Ach(Spares)(Inpt)'!$AG$5,VLOOKUP(D26,'ASE Target vs Ach(Spares)(Inpt)'!$D$42:$AH$73,31,0),IF($C$2='ASE Target vs Ach(Spares)(Inpt)'!$AJ$5,VLOOKUP(D26,'ASE Target vs Ach(Spares)(Inpt)'!$D$42:$AK$73,34,0),IF($C$2='ASE Target vs Ach(Spares)(Inpt)'!$AM$5,VLOOKUP(D26,'ASE Target vs Ach(Spares)(Inpt)'!$D$42:$AN$73,37,0),"N/A"))))))))))))</f>
        <v>296744</v>
      </c>
      <c r="L26" s="18">
        <f t="shared" si="1"/>
        <v>1.3188622222222222</v>
      </c>
      <c r="M26" s="19" t="str">
        <f t="shared" si="2"/>
        <v>Eligible</v>
      </c>
      <c r="N26" s="17">
        <f>IF(M26="Eligible",IF(K26&lt;Condition!$E$4,0,IF(K26=Condition!$E$4,Condition!$C$4*K26,IF(K26&lt;Condition!$F$4,Condition!$C$4*K26,IF(K26=Condition!$F$4,Condition!$C$5*K26,IF(K26&lt;Condition!$F$5,Condition!$C$5*K26,IF(K26=Condition!$F$5,Condition!$C$6*K26,IF(K26&lt;Condition!$F$6,Condition!$C$6*K26,IF(K26=Condition!$F$6,Condition!$C$7*K26,IF(K26&lt;Condition!$F$7,Condition!$C$7*K26,IF(K26=Condition!$F$7,Condition!$C$8*K26,IF(K26&lt;Condition!$F$8,Condition!$C$8*K26,IF(K26=Condition!$F$8,Condition!$C$9*K26,IF(K26&lt;Condition!$F$9,Condition!$C$9*K26,IF(K26=Condition!$F$9,Condition!$C$10*K26,IF(K26&gt;Condition!$F$10,Condition!$C$10*K26,""))))))))))))))),"")</f>
        <v>6676.74</v>
      </c>
      <c r="O26" s="142">
        <f>IF(M26="Eligible",IF(K26&lt;Condition!$E$4,0,IF(K26=Condition!$E$4,Condition!$D$4,IF(K26&lt;Condition!$F$4,Condition!$D$4,IF(K26=Condition!$F$4,Condition!$D$5,IF(K26&lt;Condition!$F$5,Condition!$D$5,IF(K26=Condition!$F$5,Condition!$D$6,IF(K26&lt;Condition!$F$6,Condition!$D$6,IF(K26=Condition!$F$6,Condition!$D$7,IF(K26&lt;Condition!$F$7,Condition!$D$7,IF(K26=Condition!$F$7,Condition!$D$8,IF(K26&lt;Condition!$F$8,Condition!$D$8,IF(K26=Condition!$F$8,Condition!$D$9,IF(K26&lt;Condition!$F$9,Condition!$D$9,IF(K26=Condition!$F$9,Condition!$D$10,IF(K26&gt;Condition!$F$10,Condition!$D$10,""))))))))))))))),"")</f>
        <v>1250</v>
      </c>
      <c r="P26" s="142">
        <f t="shared" si="3"/>
        <v>717.44</v>
      </c>
      <c r="Q26" s="117">
        <f>VLOOKUP(D26,'ASE Ach(Lube Oil Sales)'!$D$5:$F$40,3,0)</f>
        <v>0</v>
      </c>
      <c r="R26" s="17">
        <f>Q26*Condition!$E$27</f>
        <v>0</v>
      </c>
      <c r="S26" s="142">
        <f>VLOOKUP(D26,'ASE Ach (Service)(Input)'!$D$5:$F$34,3,0)</f>
        <v>250830</v>
      </c>
      <c r="T26" s="142">
        <f>VLOOKUP(D26,'ASE Ach (Service)(Input)'!$D$5:$G$34,4,0)</f>
        <v>0</v>
      </c>
      <c r="U26" s="142">
        <f>VLOOKUP(D26,'ASE Ach (Service)(Input)'!$D$48:$F$79,3,0)</f>
        <v>5800</v>
      </c>
      <c r="V26" s="142">
        <f>VLOOKUP(D26,'ASE Ach (Service)(Input)'!$D$48:$G$79,4,0)</f>
        <v>0</v>
      </c>
      <c r="W26" s="80">
        <f>IF($C$2='ASE Ach (CSA)(Input)'!$F$5,INDEX('ASE Ach (CSA)(Input)'!F:F,MATCH(D26,'ASE Ach (CSA)(Input)'!D:D,0)),IF($C$2='ASE Ach (CSA)(Input)'!$H$5,INDEX('ASE Ach (CSA)(Input)'!H:H,MATCH(D26,'ASE Ach (CSA)(Input)'!D:D,0)),IF($C$2='ASE Ach (CSA)(Input)'!$J$5,INDEX('ASE Ach (CSA)(Input)'!J:J,MATCH(D26,'ASE Ach (CSA)(Input)'!D:D,0)),IF($C$2='ASE Ach (CSA)(Input)'!$L$5,INDEX('ASE Ach (CSA)(Input)'!L:L,MATCH(D26,'ASE Ach (CSA)(Input)'!D:D,0)),IF($C$2='ASE Ach (CSA)(Input)'!$N$5,INDEX('ASE Ach (CSA)(Input)'!N:N,MATCH(D26,'ASE Ach (CSA)(Input)'!D:D,0)),IF($C$2='ASE Ach (CSA)(Input)'!$P$5,INDEX('ASE Ach (CSA)(Input)'!P:P,MATCH(D26,'ASE Ach (CSA)(Input)'!D:D,0)),IF($C$2='ASE Ach (CSA)(Input)'!$R$5,INDEX('ASE Ach (CSA)(Input)'!R:R,MATCH(D26,'ASE Ach (CSA)(Input)'!D:D,0)),IF($C$2='ASE Ach (CSA)(Input)'!$T$5,INDEX('ASE Ach (CSA)(Input)'!T:T,MATCH(D26,'ASE Ach (CSA)(Input)'!D:D,0)),IF($C$2='ASE Ach (CSA)(Input)'!$V$5,INDEX('ASE Ach (CSA)(Input)'!V:V,MATCH(D26,'ASE Ach (CSA)(Input)'!D:D,0)),IF($C$2='ASE Ach (CSA)(Input)'!$X$5,INDEX('ASE Ach (CSA)(Input)'!X:X,MATCH(D26,'ASE Ach (CSA)(Input)'!D:D,0)),IF($C$2='ASE Ach (CSA)(Input)'!$Z$5,INDEX('ASE Ach (CSA)(Input)'!Z:Z,MATCH(D26,'ASE Ach (CSA)(Input)'!D:D,0)),IF($C$2='ASE Ach (CSA)(Input)'!$AB$5,INDEX('ASE Ach (CSA)(Input)'!AB:AB,MATCH(D26,'ASE Ach (CSA)(Input)'!D:D,0)),"N/A"))))))))))))</f>
        <v>0</v>
      </c>
      <c r="X26" s="80">
        <f>IF($C$2='ASE Ach (CSA)(Input)'!$F$5,INDEX('ASE Ach (CSA)(Input)'!G:G,MATCH(D26,'ASE Ach (CSA)(Input)'!D:D,0)),IF($C$2='ASE Ach (CSA)(Input)'!$H$5,INDEX('ASE Ach (CSA)(Input)'!I:I,MATCH(D26,'ASE Ach (CSA)(Input)'!D:D,0)),IF($C$2='ASE Ach (CSA)(Input)'!$J$5,INDEX('ASE Ach (CSA)(Input)'!K:K,MATCH(D26,'ASE Ach (CSA)(Input)'!D:D,0)),IF($C$2='ASE Ach (CSA)(Input)'!$L$5,INDEX('ASE Ach (CSA)(Input)'!M:M,MATCH(D26,'ASE Ach (CSA)(Input)'!D:D,0)),IF($C$2='ASE Ach (CSA)(Input)'!$N$5,INDEX('ASE Ach (CSA)(Input)'!O:O,MATCH(D26,'ASE Ach (CSA)(Input)'!D:D,0)),IF($C$2='ASE Ach (CSA)(Input)'!$P$5,INDEX('ASE Ach (CSA)(Input)'!Q:Q,MATCH(D26,'ASE Ach (CSA)(Input)'!D:D,0)),IF($C$2='ASE Ach (CSA)(Input)'!$R$5,INDEX('ASE Ach (CSA)(Input)'!S:S,MATCH(D26,'ASE Ach (CSA)(Input)'!D:D,0)),IF($C$2='ASE Ach (CSA)(Input)'!$T$5,INDEX('ASE Ach (CSA)(Input)'!U:U,MATCH(D26,'ASE Ach (CSA)(Input)'!D:D,0)),IF($C$2='ASE Ach (CSA)(Input)'!$V$5,INDEX('ASE Ach (CSA)(Input)'!W:W,MATCH(D26,'ASE Ach (CSA)(Input)'!D:D,0)),IF($C$2='ASE Ach (CSA)(Input)'!$X$5,INDEX('ASE Ach (CSA)(Input)'!Y:Y,MATCH(D26,'ASE Ach (CSA)(Input)'!D:D,0)),IF($C$2='ASE Ach (CSA)(Input)'!$Z$5,INDEX('ASE Ach (CSA)(Input)'!AA:AA,MATCH(D26,'ASE Ach (CSA)(Input)'!D:D,0)),IF($C$2='ASE Ach (CSA)(Input)'!$AB$5,INDEX('ASE Ach (CSA)(Input)'!AC:AC,MATCH(D26,'ASE Ach (CSA)(Input)'!D:D,0)),"N/A"))))))))))))</f>
        <v>0</v>
      </c>
      <c r="Y26" s="142">
        <f>W26*Condition!$C$23+'Monthly Summary (No Input)'!X26*Condition!$E$24</f>
        <v>0</v>
      </c>
      <c r="Z26" s="17">
        <f t="shared" si="4"/>
        <v>14444.18</v>
      </c>
    </row>
    <row r="27" spans="2:26" x14ac:dyDescent="0.25">
      <c r="B27" s="15">
        <f>'ASE Target (Spares), FY 21-22'!A25</f>
        <v>16</v>
      </c>
      <c r="C27" s="15" t="str">
        <f>IF('ASE Target (Spares), FY 21-22'!B25=0,"",'ASE Target (Spares), FY 21-22'!B25)</f>
        <v>DSL-DHK</v>
      </c>
      <c r="D27" s="16" t="str">
        <f>'ASE Target (Spares), FY 21-22'!C25</f>
        <v>Md. Sujon Hossain</v>
      </c>
      <c r="E27" s="15">
        <f>IF('ASE Target (Spares), FY 21-22'!D25=0,"",'ASE Target (Spares), FY 21-22'!D25)</f>
        <v>6078</v>
      </c>
      <c r="F27" s="17">
        <f>IFERROR(VLOOKUP(E27,'ASE Target (Spares), FY 21-22'!$D$5:$G$260,4,0),"")</f>
        <v>1200000</v>
      </c>
      <c r="G27" s="17">
        <f>IF($C$2='ASE Target vs Ach(Spares)(Inpt)'!$F$5,VLOOKUP(D27,'ASE Target vs Ach(Spares)(Inpt)'!$D$6:$F$37,3,0),IF($C$2='ASE Target vs Ach(Spares)(Inpt)'!$I$5,VLOOKUP(D27,'ASE Target vs Ach(Spares)(Inpt)'!$D$6:$I$37,6,0),IF($C$2='ASE Target vs Ach(Spares)(Inpt)'!$L$5,VLOOKUP(D27,'ASE Target vs Ach(Spares)(Inpt)'!$D$6:$L$37,9,0),IF($C$2='ASE Target vs Ach(Spares)(Inpt)'!$O$5,VLOOKUP(D27,'ASE Target vs Ach(Spares)(Inpt)'!$D$6:$O$37,12,0),IF($C$2='ASE Target vs Ach(Spares)(Inpt)'!$R$5,VLOOKUP(D27,'ASE Target vs Ach(Spares)(Inpt)'!$D$6:$R$37,15,0),IF($C$2='ASE Target vs Ach(Spares)(Inpt)'!$U$5,VLOOKUP(D27,'ASE Target vs Ach(Spares)(Inpt)'!$D$6:$U$37,18,0),IF($C$2='ASE Target vs Ach(Spares)(Inpt)'!$X$5,VLOOKUP(D27,'ASE Target vs Ach(Spares)(Inpt)'!$D$6:$X$37,21,0),IF($C$2='ASE Target vs Ach(Spares)(Inpt)'!$AA$5,VLOOKUP(D27,'ASE Target vs Ach(Spares)(Inpt)'!$D$6:$AA$37,24,0),IF($C$2='ASE Target vs Ach(Spares)(Inpt)'!$AD$5,VLOOKUP(D27,'ASE Target vs Ach(Spares)(Inpt)'!$D$6:$AD$37,27,0),IF($C$2='ASE Target vs Ach(Spares)(Inpt)'!$AG$5,VLOOKUP(D27,'ASE Target vs Ach(Spares)(Inpt)'!$D$6:$AG$37,30,0),IF($C$2='ASE Target vs Ach(Spares)(Inpt)'!$AJ$5,VLOOKUP(D27,'ASE Target vs Ach(Spares)(Inpt)'!$D$6:$AJ$37,33,0),IF($C$2='ASE Target vs Ach(Spares)(Inpt)'!$AM$5,VLOOKUP(D27,'ASE Target vs Ach(Spares)(Inpt)'!$D$6:$AM$37,36,0),"N/A"))))))))))))</f>
        <v>600000</v>
      </c>
      <c r="H27" s="17">
        <f>IF($C$2='ASE Target vs Ach(Spares)(Inpt)'!$F$5,VLOOKUP(D27,'ASE Target vs Ach(Spares)(Inpt)'!$D$6:$G$37,4,0),IF($C$2='ASE Target vs Ach(Spares)(Inpt)'!$I$5,VLOOKUP(D27,'ASE Target vs Ach(Spares)(Inpt)'!$D$6:$J$37,7,0),IF($C$2='ASE Target vs Ach(Spares)(Inpt)'!$L$5,VLOOKUP(D27,'ASE Target vs Ach(Spares)(Inpt)'!$D$6:$M$37,10,0),IF($C$2='ASE Target vs Ach(Spares)(Inpt)'!$O$5,VLOOKUP(D27,'ASE Target vs Ach(Spares)(Inpt)'!$D$6:$P$37,13,0),IF($C$2='ASE Target vs Ach(Spares)(Inpt)'!$R$5,VLOOKUP(D27,'ASE Target vs Ach(Spares)(Inpt)'!$D$6:$S$37,16,0),IF($C$2='ASE Target vs Ach(Spares)(Inpt)'!$U$5,VLOOKUP(D27,'ASE Target vs Ach(Spares)(Inpt)'!$D$6:$V$37,19,0),IF($C$2='ASE Target vs Ach(Spares)(Inpt)'!$X$5,VLOOKUP(D27,'ASE Target vs Ach(Spares)(Inpt)'!$D$6:$Y$37,22,0),IF($C$2='ASE Target vs Ach(Spares)(Inpt)'!$AA$5,VLOOKUP(D27,'ASE Target vs Ach(Spares)(Inpt)'!$D$6:$AB$37,25,0),IF($C$2='ASE Target vs Ach(Spares)(Inpt)'!$AD$5,VLOOKUP(D27,'ASE Target vs Ach(Spares)(Inpt)'!$D$6:$AE$37,28,0),IF($C$2='ASE Target vs Ach(Spares)(Inpt)'!$AG$5,VLOOKUP(D27,'ASE Target vs Ach(Spares)(Inpt)'!$D$6:$AH$37,31,0),IF($C$2='ASE Target vs Ach(Spares)(Inpt)'!$AJ$5,VLOOKUP(D27,'ASE Target vs Ach(Spares)(Inpt)'!$D$6:$AK$37,34,0),IF($C$2='ASE Target vs Ach(Spares)(Inpt)'!$AM$5,VLOOKUP(D27,'ASE Target vs Ach(Spares)(Inpt)'!$D$6:$AN$37,37,0),"N/A"))))))))))))</f>
        <v>290128</v>
      </c>
      <c r="I27" s="18">
        <f t="shared" si="0"/>
        <v>0.48354666666666668</v>
      </c>
      <c r="J27" s="17">
        <f>IF($C$2='ASE Target vs Ach(Spares)(Inpt)'!$F$5,VLOOKUP(D27,'ASE Target vs Ach(Spares)(Inpt)'!$D$42:$F$73,3,0),IF($C$2='ASE Target vs Ach(Spares)(Inpt)'!$I$5,VLOOKUP(D27,'ASE Target vs Ach(Spares)(Inpt)'!$D$42:$I$73,6,0),IF($C$2='ASE Target vs Ach(Spares)(Inpt)'!$L$5,VLOOKUP(D27,'ASE Target vs Ach(Spares)(Inpt)'!$D$42:$L$73,9,0),IF($C$2='ASE Target vs Ach(Spares)(Inpt)'!$O$5,VLOOKUP(D27,'ASE Target vs Ach(Spares)(Inpt)'!$D$42:$O$73,12,0),IF($C$2='ASE Target vs Ach(Spares)(Inpt)'!$R$5,VLOOKUP(D27,'ASE Target vs Ach(Spares)(Inpt)'!$D$42:$R$73,15,0),IF($C$2='ASE Target vs Ach(Spares)(Inpt)'!$U$5,VLOOKUP(D27,'ASE Target vs Ach(Spares)(Inpt)'!$D$42:$U$73,18,0),IF($C$2='ASE Target vs Ach(Spares)(Inpt)'!$X$5,VLOOKUP(D27,'ASE Target vs Ach(Spares)(Inpt)'!$D$42:$X$73,21,0),IF($C$2='ASE Target vs Ach(Spares)(Inpt)'!$AA$5,VLOOKUP(D27,'ASE Target vs Ach(Spares)(Inpt)'!$D$42:$AA$73,24,0),IF($C$2='ASE Target vs Ach(Spares)(Inpt)'!$AD$5,VLOOKUP(D27,'ASE Target vs Ach(Spares)(Inpt)'!$D$42:$AD$73,27,0),IF($C$2='ASE Target vs Ach(Spares)(Inpt)'!$AG$5,VLOOKUP(D27,'ASE Target vs Ach(Spares)(Inpt)'!$D$42:$AG$73,30,0),IF($C$2='ASE Target vs Ach(Spares)(Inpt)'!$AJ$5,VLOOKUP(D27,'ASE Target vs Ach(Spares)(Inpt)'!$D$42:$AJ$73,33,0),IF($C$2='ASE Target vs Ach(Spares)(Inpt)'!$AM$5,VLOOKUP(D27,'ASE Target vs Ach(Spares)(Inpt)'!$D$42:$AM$73,36,0),"N/A"))))))))))))</f>
        <v>270000</v>
      </c>
      <c r="K27" s="17">
        <f>IF($C$2='ASE Target vs Ach(Spares)(Inpt)'!$F$5,VLOOKUP(D27,'ASE Target vs Ach(Spares)(Inpt)'!$D$42:$G$73,4,0),IF($C$2='ASE Target vs Ach(Spares)(Inpt)'!$I$5,VLOOKUP(D27,'ASE Target vs Ach(Spares)(Inpt)'!$D$42:$J$73,7,0),IF($C$2='ASE Target vs Ach(Spares)(Inpt)'!$L$5,VLOOKUP(D27,'ASE Target vs Ach(Spares)(Inpt)'!$D$42:$M$73,10,0),IF($C$2='ASE Target vs Ach(Spares)(Inpt)'!$O$5,VLOOKUP(D27,'ASE Target vs Ach(Spares)(Inpt)'!$D$42:$P$73,13,0),IF($C$2='ASE Target vs Ach(Spares)(Inpt)'!$R$5,VLOOKUP(D27,'ASE Target vs Ach(Spares)(Inpt)'!$D$42:$S$73,16,0),IF($C$2='ASE Target vs Ach(Spares)(Inpt)'!$U$5,VLOOKUP(D27,'ASE Target vs Ach(Spares)(Inpt)'!$D$42:$V$73,19,0),IF($C$2='ASE Target vs Ach(Spares)(Inpt)'!$X$5,VLOOKUP(D27,'ASE Target vs Ach(Spares)(Inpt)'!$D$42:$Y$73,22,0),IF($C$2='ASE Target vs Ach(Spares)(Inpt)'!$AA$5,VLOOKUP(D27,'ASE Target vs Ach(Spares)(Inpt)'!$D$42:$AB$73,25,0),IF($C$2='ASE Target vs Ach(Spares)(Inpt)'!$AD$5,VLOOKUP(D27,'ASE Target vs Ach(Spares)(Inpt)'!$D$42:$AE$73,28,0),IF($C$2='ASE Target vs Ach(Spares)(Inpt)'!$AG$5,VLOOKUP(D27,'ASE Target vs Ach(Spares)(Inpt)'!$D$42:$AH$73,31,0),IF($C$2='ASE Target vs Ach(Spares)(Inpt)'!$AJ$5,VLOOKUP(D27,'ASE Target vs Ach(Spares)(Inpt)'!$D$42:$AK$73,34,0),IF($C$2='ASE Target vs Ach(Spares)(Inpt)'!$AM$5,VLOOKUP(D27,'ASE Target vs Ach(Spares)(Inpt)'!$D$42:$AN$73,37,0),"N/A"))))))))))))</f>
        <v>290128</v>
      </c>
      <c r="L27" s="18">
        <f t="shared" si="1"/>
        <v>1.0745481481481483</v>
      </c>
      <c r="M27" s="19" t="str">
        <f t="shared" si="2"/>
        <v>Eligible</v>
      </c>
      <c r="N27" s="17">
        <f>IF(M27="Eligible",IF(K27&lt;Condition!$E$4,0,IF(K27=Condition!$E$4,Condition!$C$4*K27,IF(K27&lt;Condition!$F$4,Condition!$C$4*K27,IF(K27=Condition!$F$4,Condition!$C$5*K27,IF(K27&lt;Condition!$F$5,Condition!$C$5*K27,IF(K27=Condition!$F$5,Condition!$C$6*K27,IF(K27&lt;Condition!$F$6,Condition!$C$6*K27,IF(K27=Condition!$F$6,Condition!$C$7*K27,IF(K27&lt;Condition!$F$7,Condition!$C$7*K27,IF(K27=Condition!$F$7,Condition!$C$8*K27,IF(K27&lt;Condition!$F$8,Condition!$C$8*K27,IF(K27=Condition!$F$8,Condition!$C$9*K27,IF(K27&lt;Condition!$F$9,Condition!$C$9*K27,IF(K27=Condition!$F$9,Condition!$C$10*K27,IF(K27&gt;Condition!$F$10,Condition!$C$10*K27,""))))))))))))))),"")</f>
        <v>6527.88</v>
      </c>
      <c r="O27" s="142">
        <f>IF(M27="Eligible",IF(K27&lt;Condition!$E$4,0,IF(K27=Condition!$E$4,Condition!$D$4,IF(K27&lt;Condition!$F$4,Condition!$D$4,IF(K27=Condition!$F$4,Condition!$D$5,IF(K27&lt;Condition!$F$5,Condition!$D$5,IF(K27=Condition!$F$5,Condition!$D$6,IF(K27&lt;Condition!$F$6,Condition!$D$6,IF(K27=Condition!$F$6,Condition!$D$7,IF(K27&lt;Condition!$F$7,Condition!$D$7,IF(K27=Condition!$F$7,Condition!$D$8,IF(K27&lt;Condition!$F$8,Condition!$D$8,IF(K27=Condition!$F$8,Condition!$D$9,IF(K27&lt;Condition!$F$9,Condition!$D$9,IF(K27=Condition!$F$9,Condition!$D$10,IF(K27&gt;Condition!$F$10,Condition!$D$10,""))))))))))))))),"")</f>
        <v>1250</v>
      </c>
      <c r="P27" s="142">
        <f t="shared" si="3"/>
        <v>201.28</v>
      </c>
      <c r="Q27" s="117">
        <f>VLOOKUP(D27,'ASE Ach(Lube Oil Sales)'!$D$5:$F$40,3,0)</f>
        <v>0</v>
      </c>
      <c r="R27" s="17">
        <f>Q27*Condition!$E$27</f>
        <v>0</v>
      </c>
      <c r="S27" s="142">
        <f>VLOOKUP(D27,'ASE Ach (Service)(Input)'!$D$5:$F$34,3,0)</f>
        <v>274343</v>
      </c>
      <c r="T27" s="142">
        <f>VLOOKUP(D27,'ASE Ach (Service)(Input)'!$D$5:$G$34,4,0)</f>
        <v>0</v>
      </c>
      <c r="U27" s="142">
        <f>VLOOKUP(D27,'ASE Ach (Service)(Input)'!$D$48:$F$79,3,0)</f>
        <v>9600</v>
      </c>
      <c r="V27" s="142">
        <f>VLOOKUP(D27,'ASE Ach (Service)(Input)'!$D$48:$G$79,4,0)</f>
        <v>0</v>
      </c>
      <c r="W27" s="80">
        <f>IF($C$2='ASE Ach (CSA)(Input)'!$F$5,INDEX('ASE Ach (CSA)(Input)'!F:F,MATCH(D27,'ASE Ach (CSA)(Input)'!D:D,0)),IF($C$2='ASE Ach (CSA)(Input)'!$H$5,INDEX('ASE Ach (CSA)(Input)'!H:H,MATCH(D27,'ASE Ach (CSA)(Input)'!D:D,0)),IF($C$2='ASE Ach (CSA)(Input)'!$J$5,INDEX('ASE Ach (CSA)(Input)'!J:J,MATCH(D27,'ASE Ach (CSA)(Input)'!D:D,0)),IF($C$2='ASE Ach (CSA)(Input)'!$L$5,INDEX('ASE Ach (CSA)(Input)'!L:L,MATCH(D27,'ASE Ach (CSA)(Input)'!D:D,0)),IF($C$2='ASE Ach (CSA)(Input)'!$N$5,INDEX('ASE Ach (CSA)(Input)'!N:N,MATCH(D27,'ASE Ach (CSA)(Input)'!D:D,0)),IF($C$2='ASE Ach (CSA)(Input)'!$P$5,INDEX('ASE Ach (CSA)(Input)'!P:P,MATCH(D27,'ASE Ach (CSA)(Input)'!D:D,0)),IF($C$2='ASE Ach (CSA)(Input)'!$R$5,INDEX('ASE Ach (CSA)(Input)'!R:R,MATCH(D27,'ASE Ach (CSA)(Input)'!D:D,0)),IF($C$2='ASE Ach (CSA)(Input)'!$T$5,INDEX('ASE Ach (CSA)(Input)'!T:T,MATCH(D27,'ASE Ach (CSA)(Input)'!D:D,0)),IF($C$2='ASE Ach (CSA)(Input)'!$V$5,INDEX('ASE Ach (CSA)(Input)'!V:V,MATCH(D27,'ASE Ach (CSA)(Input)'!D:D,0)),IF($C$2='ASE Ach (CSA)(Input)'!$X$5,INDEX('ASE Ach (CSA)(Input)'!X:X,MATCH(D27,'ASE Ach (CSA)(Input)'!D:D,0)),IF($C$2='ASE Ach (CSA)(Input)'!$Z$5,INDEX('ASE Ach (CSA)(Input)'!Z:Z,MATCH(D27,'ASE Ach (CSA)(Input)'!D:D,0)),IF($C$2='ASE Ach (CSA)(Input)'!$AB$5,INDEX('ASE Ach (CSA)(Input)'!AB:AB,MATCH(D27,'ASE Ach (CSA)(Input)'!D:D,0)),"N/A"))))))))))))</f>
        <v>0</v>
      </c>
      <c r="X27" s="80">
        <f>IF($C$2='ASE Ach (CSA)(Input)'!$F$5,INDEX('ASE Ach (CSA)(Input)'!G:G,MATCH(D27,'ASE Ach (CSA)(Input)'!D:D,0)),IF($C$2='ASE Ach (CSA)(Input)'!$H$5,INDEX('ASE Ach (CSA)(Input)'!I:I,MATCH(D27,'ASE Ach (CSA)(Input)'!D:D,0)),IF($C$2='ASE Ach (CSA)(Input)'!$J$5,INDEX('ASE Ach (CSA)(Input)'!K:K,MATCH(D27,'ASE Ach (CSA)(Input)'!D:D,0)),IF($C$2='ASE Ach (CSA)(Input)'!$L$5,INDEX('ASE Ach (CSA)(Input)'!M:M,MATCH(D27,'ASE Ach (CSA)(Input)'!D:D,0)),IF($C$2='ASE Ach (CSA)(Input)'!$N$5,INDEX('ASE Ach (CSA)(Input)'!O:O,MATCH(D27,'ASE Ach (CSA)(Input)'!D:D,0)),IF($C$2='ASE Ach (CSA)(Input)'!$P$5,INDEX('ASE Ach (CSA)(Input)'!Q:Q,MATCH(D27,'ASE Ach (CSA)(Input)'!D:D,0)),IF($C$2='ASE Ach (CSA)(Input)'!$R$5,INDEX('ASE Ach (CSA)(Input)'!S:S,MATCH(D27,'ASE Ach (CSA)(Input)'!D:D,0)),IF($C$2='ASE Ach (CSA)(Input)'!$T$5,INDEX('ASE Ach (CSA)(Input)'!U:U,MATCH(D27,'ASE Ach (CSA)(Input)'!D:D,0)),IF($C$2='ASE Ach (CSA)(Input)'!$V$5,INDEX('ASE Ach (CSA)(Input)'!W:W,MATCH(D27,'ASE Ach (CSA)(Input)'!D:D,0)),IF($C$2='ASE Ach (CSA)(Input)'!$X$5,INDEX('ASE Ach (CSA)(Input)'!Y:Y,MATCH(D27,'ASE Ach (CSA)(Input)'!D:D,0)),IF($C$2='ASE Ach (CSA)(Input)'!$Z$5,INDEX('ASE Ach (CSA)(Input)'!AA:AA,MATCH(D27,'ASE Ach (CSA)(Input)'!D:D,0)),IF($C$2='ASE Ach (CSA)(Input)'!$AB$5,INDEX('ASE Ach (CSA)(Input)'!AC:AC,MATCH(D27,'ASE Ach (CSA)(Input)'!D:D,0)),"N/A"))))))))))))</f>
        <v>0</v>
      </c>
      <c r="Y27" s="142">
        <f>W27*Condition!$C$23+'Monthly Summary (No Input)'!X27*Condition!$E$24</f>
        <v>0</v>
      </c>
      <c r="Z27" s="17">
        <f t="shared" si="4"/>
        <v>17579.16</v>
      </c>
    </row>
    <row r="28" spans="2:26" x14ac:dyDescent="0.25">
      <c r="B28" s="15">
        <f>'ASE Target (Spares), FY 21-22'!A26</f>
        <v>15</v>
      </c>
      <c r="C28" s="15" t="str">
        <f>IF('ASE Target (Spares), FY 21-22'!B26=0,"",'ASE Target (Spares), FY 21-22'!B26)</f>
        <v>DSL-DHK</v>
      </c>
      <c r="D28" s="16" t="str">
        <f>'ASE Target (Spares), FY 21-22'!C26</f>
        <v xml:space="preserve">Md Jiaur Rahman </v>
      </c>
      <c r="E28" s="15" t="str">
        <f>IF('ASE Target (Spares), FY 21-22'!D26=0,"",'ASE Target (Spares), FY 21-22'!D26)</f>
        <v>0522</v>
      </c>
      <c r="F28" s="17">
        <f>IFERROR(VLOOKUP(E28,'ASE Target (Spares), FY 21-22'!$D$5:$G$260,4,0),"")</f>
        <v>4350000</v>
      </c>
      <c r="G28" s="17">
        <f>IF($C$2='ASE Target vs Ach(Spares)(Inpt)'!$F$5,VLOOKUP(D28,'ASE Target vs Ach(Spares)(Inpt)'!$D$6:$F$37,3,0),IF($C$2='ASE Target vs Ach(Spares)(Inpt)'!$I$5,VLOOKUP(D28,'ASE Target vs Ach(Spares)(Inpt)'!$D$6:$I$37,6,0),IF($C$2='ASE Target vs Ach(Spares)(Inpt)'!$L$5,VLOOKUP(D28,'ASE Target vs Ach(Spares)(Inpt)'!$D$6:$L$37,9,0),IF($C$2='ASE Target vs Ach(Spares)(Inpt)'!$O$5,VLOOKUP(D28,'ASE Target vs Ach(Spares)(Inpt)'!$D$6:$O$37,12,0),IF($C$2='ASE Target vs Ach(Spares)(Inpt)'!$R$5,VLOOKUP(D28,'ASE Target vs Ach(Spares)(Inpt)'!$D$6:$R$37,15,0),IF($C$2='ASE Target vs Ach(Spares)(Inpt)'!$U$5,VLOOKUP(D28,'ASE Target vs Ach(Spares)(Inpt)'!$D$6:$U$37,18,0),IF($C$2='ASE Target vs Ach(Spares)(Inpt)'!$X$5,VLOOKUP(D28,'ASE Target vs Ach(Spares)(Inpt)'!$D$6:$X$37,21,0),IF($C$2='ASE Target vs Ach(Spares)(Inpt)'!$AA$5,VLOOKUP(D28,'ASE Target vs Ach(Spares)(Inpt)'!$D$6:$AA$37,24,0),IF($C$2='ASE Target vs Ach(Spares)(Inpt)'!$AD$5,VLOOKUP(D28,'ASE Target vs Ach(Spares)(Inpt)'!$D$6:$AD$37,27,0),IF($C$2='ASE Target vs Ach(Spares)(Inpt)'!$AG$5,VLOOKUP(D28,'ASE Target vs Ach(Spares)(Inpt)'!$D$6:$AG$37,30,0),IF($C$2='ASE Target vs Ach(Spares)(Inpt)'!$AJ$5,VLOOKUP(D28,'ASE Target vs Ach(Spares)(Inpt)'!$D$6:$AJ$37,33,0),IF($C$2='ASE Target vs Ach(Spares)(Inpt)'!$AM$5,VLOOKUP(D28,'ASE Target vs Ach(Spares)(Inpt)'!$D$6:$AM$37,36,0),"N/A"))))))))))))</f>
        <v>900000</v>
      </c>
      <c r="H28" s="17">
        <f>IF($C$2='ASE Target vs Ach(Spares)(Inpt)'!$F$5,VLOOKUP(D28,'ASE Target vs Ach(Spares)(Inpt)'!$D$6:$G$37,4,0),IF($C$2='ASE Target vs Ach(Spares)(Inpt)'!$I$5,VLOOKUP(D28,'ASE Target vs Ach(Spares)(Inpt)'!$D$6:$J$37,7,0),IF($C$2='ASE Target vs Ach(Spares)(Inpt)'!$L$5,VLOOKUP(D28,'ASE Target vs Ach(Spares)(Inpt)'!$D$6:$M$37,10,0),IF($C$2='ASE Target vs Ach(Spares)(Inpt)'!$O$5,VLOOKUP(D28,'ASE Target vs Ach(Spares)(Inpt)'!$D$6:$P$37,13,0),IF($C$2='ASE Target vs Ach(Spares)(Inpt)'!$R$5,VLOOKUP(D28,'ASE Target vs Ach(Spares)(Inpt)'!$D$6:$S$37,16,0),IF($C$2='ASE Target vs Ach(Spares)(Inpt)'!$U$5,VLOOKUP(D28,'ASE Target vs Ach(Spares)(Inpt)'!$D$6:$V$37,19,0),IF($C$2='ASE Target vs Ach(Spares)(Inpt)'!$X$5,VLOOKUP(D28,'ASE Target vs Ach(Spares)(Inpt)'!$D$6:$Y$37,22,0),IF($C$2='ASE Target vs Ach(Spares)(Inpt)'!$AA$5,VLOOKUP(D28,'ASE Target vs Ach(Spares)(Inpt)'!$D$6:$AB$37,25,0),IF($C$2='ASE Target vs Ach(Spares)(Inpt)'!$AD$5,VLOOKUP(D28,'ASE Target vs Ach(Spares)(Inpt)'!$D$6:$AE$37,28,0),IF($C$2='ASE Target vs Ach(Spares)(Inpt)'!$AG$5,VLOOKUP(D28,'ASE Target vs Ach(Spares)(Inpt)'!$D$6:$AH$37,31,0),IF($C$2='ASE Target vs Ach(Spares)(Inpt)'!$AJ$5,VLOOKUP(D28,'ASE Target vs Ach(Spares)(Inpt)'!$D$6:$AK$37,34,0),IF($C$2='ASE Target vs Ach(Spares)(Inpt)'!$AM$5,VLOOKUP(D28,'ASE Target vs Ach(Spares)(Inpt)'!$D$6:$AN$37,37,0),"N/A"))))))))))))</f>
        <v>0</v>
      </c>
      <c r="I28" s="18">
        <f t="shared" si="0"/>
        <v>0</v>
      </c>
      <c r="J28" s="17">
        <f>IF($C$2='ASE Target vs Ach(Spares)(Inpt)'!$F$5,VLOOKUP(D28,'ASE Target vs Ach(Spares)(Inpt)'!$D$42:$F$73,3,0),IF($C$2='ASE Target vs Ach(Spares)(Inpt)'!$I$5,VLOOKUP(D28,'ASE Target vs Ach(Spares)(Inpt)'!$D$42:$I$73,6,0),IF($C$2='ASE Target vs Ach(Spares)(Inpt)'!$L$5,VLOOKUP(D28,'ASE Target vs Ach(Spares)(Inpt)'!$D$42:$L$73,9,0),IF($C$2='ASE Target vs Ach(Spares)(Inpt)'!$O$5,VLOOKUP(D28,'ASE Target vs Ach(Spares)(Inpt)'!$D$42:$O$73,12,0),IF($C$2='ASE Target vs Ach(Spares)(Inpt)'!$R$5,VLOOKUP(D28,'ASE Target vs Ach(Spares)(Inpt)'!$D$42:$R$73,15,0),IF($C$2='ASE Target vs Ach(Spares)(Inpt)'!$U$5,VLOOKUP(D28,'ASE Target vs Ach(Spares)(Inpt)'!$D$42:$U$73,18,0),IF($C$2='ASE Target vs Ach(Spares)(Inpt)'!$X$5,VLOOKUP(D28,'ASE Target vs Ach(Spares)(Inpt)'!$D$42:$X$73,21,0),IF($C$2='ASE Target vs Ach(Spares)(Inpt)'!$AA$5,VLOOKUP(D28,'ASE Target vs Ach(Spares)(Inpt)'!$D$42:$AA$73,24,0),IF($C$2='ASE Target vs Ach(Spares)(Inpt)'!$AD$5,VLOOKUP(D28,'ASE Target vs Ach(Spares)(Inpt)'!$D$42:$AD$73,27,0),IF($C$2='ASE Target vs Ach(Spares)(Inpt)'!$AG$5,VLOOKUP(D28,'ASE Target vs Ach(Spares)(Inpt)'!$D$42:$AG$73,30,0),IF($C$2='ASE Target vs Ach(Spares)(Inpt)'!$AJ$5,VLOOKUP(D28,'ASE Target vs Ach(Spares)(Inpt)'!$D$42:$AJ$73,33,0),IF($C$2='ASE Target vs Ach(Spares)(Inpt)'!$AM$5,VLOOKUP(D28,'ASE Target vs Ach(Spares)(Inpt)'!$D$42:$AM$73,36,0),"N/A"))))))))))))</f>
        <v>405000</v>
      </c>
      <c r="K28" s="17">
        <f>IF($C$2='ASE Target vs Ach(Spares)(Inpt)'!$F$5,VLOOKUP(D28,'ASE Target vs Ach(Spares)(Inpt)'!$D$42:$G$73,4,0),IF($C$2='ASE Target vs Ach(Spares)(Inpt)'!$I$5,VLOOKUP(D28,'ASE Target vs Ach(Spares)(Inpt)'!$D$42:$J$73,7,0),IF($C$2='ASE Target vs Ach(Spares)(Inpt)'!$L$5,VLOOKUP(D28,'ASE Target vs Ach(Spares)(Inpt)'!$D$42:$M$73,10,0),IF($C$2='ASE Target vs Ach(Spares)(Inpt)'!$O$5,VLOOKUP(D28,'ASE Target vs Ach(Spares)(Inpt)'!$D$42:$P$73,13,0),IF($C$2='ASE Target vs Ach(Spares)(Inpt)'!$R$5,VLOOKUP(D28,'ASE Target vs Ach(Spares)(Inpt)'!$D$42:$S$73,16,0),IF($C$2='ASE Target vs Ach(Spares)(Inpt)'!$U$5,VLOOKUP(D28,'ASE Target vs Ach(Spares)(Inpt)'!$D$42:$V$73,19,0),IF($C$2='ASE Target vs Ach(Spares)(Inpt)'!$X$5,VLOOKUP(D28,'ASE Target vs Ach(Spares)(Inpt)'!$D$42:$Y$73,22,0),IF($C$2='ASE Target vs Ach(Spares)(Inpt)'!$AA$5,VLOOKUP(D28,'ASE Target vs Ach(Spares)(Inpt)'!$D$42:$AB$73,25,0),IF($C$2='ASE Target vs Ach(Spares)(Inpt)'!$AD$5,VLOOKUP(D28,'ASE Target vs Ach(Spares)(Inpt)'!$D$42:$AE$73,28,0),IF($C$2='ASE Target vs Ach(Spares)(Inpt)'!$AG$5,VLOOKUP(D28,'ASE Target vs Ach(Spares)(Inpt)'!$D$42:$AH$73,31,0),IF($C$2='ASE Target vs Ach(Spares)(Inpt)'!$AJ$5,VLOOKUP(D28,'ASE Target vs Ach(Spares)(Inpt)'!$D$42:$AK$73,34,0),IF($C$2='ASE Target vs Ach(Spares)(Inpt)'!$AM$5,VLOOKUP(D28,'ASE Target vs Ach(Spares)(Inpt)'!$D$42:$AN$73,37,0),"N/A"))))))))))))</f>
        <v>0</v>
      </c>
      <c r="L28" s="18">
        <f t="shared" si="1"/>
        <v>0</v>
      </c>
      <c r="M28" s="19" t="str">
        <f t="shared" si="2"/>
        <v>Not Eligible</v>
      </c>
      <c r="N28" s="17" t="str">
        <f>IF(M28="Eligible",IF(K28&lt;Condition!$E$4,0,IF(K28=Condition!$E$4,Condition!$C$4*K28,IF(K28&lt;Condition!$F$4,Condition!$C$4*K28,IF(K28=Condition!$F$4,Condition!$C$5*K28,IF(K28&lt;Condition!$F$5,Condition!$C$5*K28,IF(K28=Condition!$F$5,Condition!$C$6*K28,IF(K28&lt;Condition!$F$6,Condition!$C$6*K28,IF(K28=Condition!$F$6,Condition!$C$7*K28,IF(K28&lt;Condition!$F$7,Condition!$C$7*K28,IF(K28=Condition!$F$7,Condition!$C$8*K28,IF(K28&lt;Condition!$F$8,Condition!$C$8*K28,IF(K28=Condition!$F$8,Condition!$C$9*K28,IF(K28&lt;Condition!$F$9,Condition!$C$9*K28,IF(K28=Condition!$F$9,Condition!$C$10*K28,IF(K28&gt;Condition!$F$10,Condition!$C$10*K28,""))))))))))))))),"")</f>
        <v/>
      </c>
      <c r="O28" s="142" t="str">
        <f>IF(M28="Eligible",IF(K28&lt;Condition!$E$4,0,IF(K28=Condition!$E$4,Condition!$D$4,IF(K28&lt;Condition!$F$4,Condition!$D$4,IF(K28=Condition!$F$4,Condition!$D$5,IF(K28&lt;Condition!$F$5,Condition!$D$5,IF(K28=Condition!$F$5,Condition!$D$6,IF(K28&lt;Condition!$F$6,Condition!$D$6,IF(K28=Condition!$F$6,Condition!$D$7,IF(K28&lt;Condition!$F$7,Condition!$D$7,IF(K28=Condition!$F$7,Condition!$D$8,IF(K28&lt;Condition!$F$8,Condition!$D$8,IF(K28=Condition!$F$8,Condition!$D$9,IF(K28&lt;Condition!$F$9,Condition!$D$9,IF(K28=Condition!$F$9,Condition!$D$10,IF(K28&gt;Condition!$F$10,Condition!$D$10,""))))))))))))))),"")</f>
        <v/>
      </c>
      <c r="P28" s="142" t="str">
        <f t="shared" si="3"/>
        <v/>
      </c>
      <c r="Q28" s="117">
        <f>VLOOKUP(D28,'ASE Ach(Lube Oil Sales)'!$D$5:$F$40,3,0)</f>
        <v>0</v>
      </c>
      <c r="R28" s="17">
        <f>Q28*Condition!$E$27</f>
        <v>0</v>
      </c>
      <c r="S28" s="142">
        <f>VLOOKUP(D28,'ASE Ach (Service)(Input)'!$D$5:$F$34,3,0)</f>
        <v>0</v>
      </c>
      <c r="T28" s="142">
        <f>VLOOKUP(D28,'ASE Ach (Service)(Input)'!$D$5:$G$34,4,0)</f>
        <v>0</v>
      </c>
      <c r="U28" s="142">
        <f>VLOOKUP(D28,'ASE Ach (Service)(Input)'!$D$48:$F$79,3,0)</f>
        <v>0</v>
      </c>
      <c r="V28" s="142">
        <f>VLOOKUP(D28,'ASE Ach (Service)(Input)'!$D$48:$G$79,4,0)</f>
        <v>0</v>
      </c>
      <c r="W28" s="80">
        <f>IF($C$2='ASE Ach (CSA)(Input)'!$F$5,INDEX('ASE Ach (CSA)(Input)'!F:F,MATCH(D28,'ASE Ach (CSA)(Input)'!D:D,0)),IF($C$2='ASE Ach (CSA)(Input)'!$H$5,INDEX('ASE Ach (CSA)(Input)'!H:H,MATCH(D28,'ASE Ach (CSA)(Input)'!D:D,0)),IF($C$2='ASE Ach (CSA)(Input)'!$J$5,INDEX('ASE Ach (CSA)(Input)'!J:J,MATCH(D28,'ASE Ach (CSA)(Input)'!D:D,0)),IF($C$2='ASE Ach (CSA)(Input)'!$L$5,INDEX('ASE Ach (CSA)(Input)'!L:L,MATCH(D28,'ASE Ach (CSA)(Input)'!D:D,0)),IF($C$2='ASE Ach (CSA)(Input)'!$N$5,INDEX('ASE Ach (CSA)(Input)'!N:N,MATCH(D28,'ASE Ach (CSA)(Input)'!D:D,0)),IF($C$2='ASE Ach (CSA)(Input)'!$P$5,INDEX('ASE Ach (CSA)(Input)'!P:P,MATCH(D28,'ASE Ach (CSA)(Input)'!D:D,0)),IF($C$2='ASE Ach (CSA)(Input)'!$R$5,INDEX('ASE Ach (CSA)(Input)'!R:R,MATCH(D28,'ASE Ach (CSA)(Input)'!D:D,0)),IF($C$2='ASE Ach (CSA)(Input)'!$T$5,INDEX('ASE Ach (CSA)(Input)'!T:T,MATCH(D28,'ASE Ach (CSA)(Input)'!D:D,0)),IF($C$2='ASE Ach (CSA)(Input)'!$V$5,INDEX('ASE Ach (CSA)(Input)'!V:V,MATCH(D28,'ASE Ach (CSA)(Input)'!D:D,0)),IF($C$2='ASE Ach (CSA)(Input)'!$X$5,INDEX('ASE Ach (CSA)(Input)'!X:X,MATCH(D28,'ASE Ach (CSA)(Input)'!D:D,0)),IF($C$2='ASE Ach (CSA)(Input)'!$Z$5,INDEX('ASE Ach (CSA)(Input)'!Z:Z,MATCH(D28,'ASE Ach (CSA)(Input)'!D:D,0)),IF($C$2='ASE Ach (CSA)(Input)'!$AB$5,INDEX('ASE Ach (CSA)(Input)'!AB:AB,MATCH(D28,'ASE Ach (CSA)(Input)'!D:D,0)),"N/A"))))))))))))</f>
        <v>0</v>
      </c>
      <c r="X28" s="80">
        <f>IF($C$2='ASE Ach (CSA)(Input)'!$F$5,INDEX('ASE Ach (CSA)(Input)'!G:G,MATCH(D28,'ASE Ach (CSA)(Input)'!D:D,0)),IF($C$2='ASE Ach (CSA)(Input)'!$H$5,INDEX('ASE Ach (CSA)(Input)'!I:I,MATCH(D28,'ASE Ach (CSA)(Input)'!D:D,0)),IF($C$2='ASE Ach (CSA)(Input)'!$J$5,INDEX('ASE Ach (CSA)(Input)'!K:K,MATCH(D28,'ASE Ach (CSA)(Input)'!D:D,0)),IF($C$2='ASE Ach (CSA)(Input)'!$L$5,INDEX('ASE Ach (CSA)(Input)'!M:M,MATCH(D28,'ASE Ach (CSA)(Input)'!D:D,0)),IF($C$2='ASE Ach (CSA)(Input)'!$N$5,INDEX('ASE Ach (CSA)(Input)'!O:O,MATCH(D28,'ASE Ach (CSA)(Input)'!D:D,0)),IF($C$2='ASE Ach (CSA)(Input)'!$P$5,INDEX('ASE Ach (CSA)(Input)'!Q:Q,MATCH(D28,'ASE Ach (CSA)(Input)'!D:D,0)),IF($C$2='ASE Ach (CSA)(Input)'!$R$5,INDEX('ASE Ach (CSA)(Input)'!S:S,MATCH(D28,'ASE Ach (CSA)(Input)'!D:D,0)),IF($C$2='ASE Ach (CSA)(Input)'!$T$5,INDEX('ASE Ach (CSA)(Input)'!U:U,MATCH(D28,'ASE Ach (CSA)(Input)'!D:D,0)),IF($C$2='ASE Ach (CSA)(Input)'!$V$5,INDEX('ASE Ach (CSA)(Input)'!W:W,MATCH(D28,'ASE Ach (CSA)(Input)'!D:D,0)),IF($C$2='ASE Ach (CSA)(Input)'!$X$5,INDEX('ASE Ach (CSA)(Input)'!Y:Y,MATCH(D28,'ASE Ach (CSA)(Input)'!D:D,0)),IF($C$2='ASE Ach (CSA)(Input)'!$Z$5,INDEX('ASE Ach (CSA)(Input)'!AA:AA,MATCH(D28,'ASE Ach (CSA)(Input)'!D:D,0)),IF($C$2='ASE Ach (CSA)(Input)'!$AB$5,INDEX('ASE Ach (CSA)(Input)'!AC:AC,MATCH(D28,'ASE Ach (CSA)(Input)'!D:D,0)),"N/A"))))))))))))</f>
        <v>0</v>
      </c>
      <c r="Y28" s="142">
        <f>W28*Condition!$C$23+'Monthly Summary (No Input)'!X28*Condition!$E$24</f>
        <v>0</v>
      </c>
      <c r="Z28" s="17">
        <f t="shared" si="4"/>
        <v>0</v>
      </c>
    </row>
    <row r="29" spans="2:26" x14ac:dyDescent="0.25">
      <c r="B29" s="15">
        <f>'ASE Target (Spares), FY 21-22'!A27</f>
        <v>16</v>
      </c>
      <c r="C29" s="15" t="str">
        <f>IF('ASE Target (Spares), FY 21-22'!B27=0,"",'ASE Target (Spares), FY 21-22'!B27)</f>
        <v/>
      </c>
      <c r="D29" s="16" t="str">
        <f>'ASE Target (Spares), FY 21-22'!C27</f>
        <v>New-2</v>
      </c>
      <c r="E29" s="15" t="str">
        <f>IF('ASE Target (Spares), FY 21-22'!D27=0,"",'ASE Target (Spares), FY 21-22'!D27)</f>
        <v/>
      </c>
      <c r="F29" s="17">
        <f>IFERROR(VLOOKUP(E29,'ASE Target (Spares), FY 21-22'!$D$5:$G$260,4,0),"")</f>
        <v>0</v>
      </c>
      <c r="G29" s="17">
        <f>IF($C$2='ASE Target vs Ach(Spares)(Inpt)'!$F$5,VLOOKUP(D29,'ASE Target vs Ach(Spares)(Inpt)'!$D$6:$F$37,3,0),IF($C$2='ASE Target vs Ach(Spares)(Inpt)'!$I$5,VLOOKUP(D29,'ASE Target vs Ach(Spares)(Inpt)'!$D$6:$I$37,6,0),IF($C$2='ASE Target vs Ach(Spares)(Inpt)'!$L$5,VLOOKUP(D29,'ASE Target vs Ach(Spares)(Inpt)'!$D$6:$L$37,9,0),IF($C$2='ASE Target vs Ach(Spares)(Inpt)'!$O$5,VLOOKUP(D29,'ASE Target vs Ach(Spares)(Inpt)'!$D$6:$O$37,12,0),IF($C$2='ASE Target vs Ach(Spares)(Inpt)'!$R$5,VLOOKUP(D29,'ASE Target vs Ach(Spares)(Inpt)'!$D$6:$R$37,15,0),IF($C$2='ASE Target vs Ach(Spares)(Inpt)'!$U$5,VLOOKUP(D29,'ASE Target vs Ach(Spares)(Inpt)'!$D$6:$U$37,18,0),IF($C$2='ASE Target vs Ach(Spares)(Inpt)'!$X$5,VLOOKUP(D29,'ASE Target vs Ach(Spares)(Inpt)'!$D$6:$X$37,21,0),IF($C$2='ASE Target vs Ach(Spares)(Inpt)'!$AA$5,VLOOKUP(D29,'ASE Target vs Ach(Spares)(Inpt)'!$D$6:$AA$37,24,0),IF($C$2='ASE Target vs Ach(Spares)(Inpt)'!$AD$5,VLOOKUP(D29,'ASE Target vs Ach(Spares)(Inpt)'!$D$6:$AD$37,27,0),IF($C$2='ASE Target vs Ach(Spares)(Inpt)'!$AG$5,VLOOKUP(D29,'ASE Target vs Ach(Spares)(Inpt)'!$D$6:$AG$37,30,0),IF($C$2='ASE Target vs Ach(Spares)(Inpt)'!$AJ$5,VLOOKUP(D29,'ASE Target vs Ach(Spares)(Inpt)'!$D$6:$AJ$37,33,0),IF($C$2='ASE Target vs Ach(Spares)(Inpt)'!$AM$5,VLOOKUP(D29,'ASE Target vs Ach(Spares)(Inpt)'!$D$6:$AM$37,36,0),"N/A"))))))))))))</f>
        <v>0</v>
      </c>
      <c r="H29" s="17">
        <f>IF($C$2='ASE Target vs Ach(Spares)(Inpt)'!$F$5,VLOOKUP(D29,'ASE Target vs Ach(Spares)(Inpt)'!$D$6:$G$37,4,0),IF($C$2='ASE Target vs Ach(Spares)(Inpt)'!$I$5,VLOOKUP(D29,'ASE Target vs Ach(Spares)(Inpt)'!$D$6:$J$37,7,0),IF($C$2='ASE Target vs Ach(Spares)(Inpt)'!$L$5,VLOOKUP(D29,'ASE Target vs Ach(Spares)(Inpt)'!$D$6:$M$37,10,0),IF($C$2='ASE Target vs Ach(Spares)(Inpt)'!$O$5,VLOOKUP(D29,'ASE Target vs Ach(Spares)(Inpt)'!$D$6:$P$37,13,0),IF($C$2='ASE Target vs Ach(Spares)(Inpt)'!$R$5,VLOOKUP(D29,'ASE Target vs Ach(Spares)(Inpt)'!$D$6:$S$37,16,0),IF($C$2='ASE Target vs Ach(Spares)(Inpt)'!$U$5,VLOOKUP(D29,'ASE Target vs Ach(Spares)(Inpt)'!$D$6:$V$37,19,0),IF($C$2='ASE Target vs Ach(Spares)(Inpt)'!$X$5,VLOOKUP(D29,'ASE Target vs Ach(Spares)(Inpt)'!$D$6:$Y$37,22,0),IF($C$2='ASE Target vs Ach(Spares)(Inpt)'!$AA$5,VLOOKUP(D29,'ASE Target vs Ach(Spares)(Inpt)'!$D$6:$AB$37,25,0),IF($C$2='ASE Target vs Ach(Spares)(Inpt)'!$AD$5,VLOOKUP(D29,'ASE Target vs Ach(Spares)(Inpt)'!$D$6:$AE$37,28,0),IF($C$2='ASE Target vs Ach(Spares)(Inpt)'!$AG$5,VLOOKUP(D29,'ASE Target vs Ach(Spares)(Inpt)'!$D$6:$AH$37,31,0),IF($C$2='ASE Target vs Ach(Spares)(Inpt)'!$AJ$5,VLOOKUP(D29,'ASE Target vs Ach(Spares)(Inpt)'!$D$6:$AK$37,34,0),IF($C$2='ASE Target vs Ach(Spares)(Inpt)'!$AM$5,VLOOKUP(D29,'ASE Target vs Ach(Spares)(Inpt)'!$D$6:$AN$37,37,0),"N/A"))))))))))))</f>
        <v>0</v>
      </c>
      <c r="I29" s="18">
        <f t="shared" si="0"/>
        <v>0</v>
      </c>
      <c r="J29" s="17">
        <f>IF($C$2='ASE Target vs Ach(Spares)(Inpt)'!$F$5,VLOOKUP(D29,'ASE Target vs Ach(Spares)(Inpt)'!$D$42:$F$73,3,0),IF($C$2='ASE Target vs Ach(Spares)(Inpt)'!$I$5,VLOOKUP(D29,'ASE Target vs Ach(Spares)(Inpt)'!$D$42:$I$73,6,0),IF($C$2='ASE Target vs Ach(Spares)(Inpt)'!$L$5,VLOOKUP(D29,'ASE Target vs Ach(Spares)(Inpt)'!$D$42:$L$73,9,0),IF($C$2='ASE Target vs Ach(Spares)(Inpt)'!$O$5,VLOOKUP(D29,'ASE Target vs Ach(Spares)(Inpt)'!$D$42:$O$73,12,0),IF($C$2='ASE Target vs Ach(Spares)(Inpt)'!$R$5,VLOOKUP(D29,'ASE Target vs Ach(Spares)(Inpt)'!$D$42:$R$73,15,0),IF($C$2='ASE Target vs Ach(Spares)(Inpt)'!$U$5,VLOOKUP(D29,'ASE Target vs Ach(Spares)(Inpt)'!$D$42:$U$73,18,0),IF($C$2='ASE Target vs Ach(Spares)(Inpt)'!$X$5,VLOOKUP(D29,'ASE Target vs Ach(Spares)(Inpt)'!$D$42:$X$73,21,0),IF($C$2='ASE Target vs Ach(Spares)(Inpt)'!$AA$5,VLOOKUP(D29,'ASE Target vs Ach(Spares)(Inpt)'!$D$42:$AA$73,24,0),IF($C$2='ASE Target vs Ach(Spares)(Inpt)'!$AD$5,VLOOKUP(D29,'ASE Target vs Ach(Spares)(Inpt)'!$D$42:$AD$73,27,0),IF($C$2='ASE Target vs Ach(Spares)(Inpt)'!$AG$5,VLOOKUP(D29,'ASE Target vs Ach(Spares)(Inpt)'!$D$42:$AG$73,30,0),IF($C$2='ASE Target vs Ach(Spares)(Inpt)'!$AJ$5,VLOOKUP(D29,'ASE Target vs Ach(Spares)(Inpt)'!$D$42:$AJ$73,33,0),IF($C$2='ASE Target vs Ach(Spares)(Inpt)'!$AM$5,VLOOKUP(D29,'ASE Target vs Ach(Spares)(Inpt)'!$D$42:$AM$73,36,0),"N/A"))))))))))))</f>
        <v>0</v>
      </c>
      <c r="K29" s="17">
        <f>IF($C$2='ASE Target vs Ach(Spares)(Inpt)'!$F$5,VLOOKUP(D29,'ASE Target vs Ach(Spares)(Inpt)'!$D$42:$G$73,4,0),IF($C$2='ASE Target vs Ach(Spares)(Inpt)'!$I$5,VLOOKUP(D29,'ASE Target vs Ach(Spares)(Inpt)'!$D$42:$J$73,7,0),IF($C$2='ASE Target vs Ach(Spares)(Inpt)'!$L$5,VLOOKUP(D29,'ASE Target vs Ach(Spares)(Inpt)'!$D$42:$M$73,10,0),IF($C$2='ASE Target vs Ach(Spares)(Inpt)'!$O$5,VLOOKUP(D29,'ASE Target vs Ach(Spares)(Inpt)'!$D$42:$P$73,13,0),IF($C$2='ASE Target vs Ach(Spares)(Inpt)'!$R$5,VLOOKUP(D29,'ASE Target vs Ach(Spares)(Inpt)'!$D$42:$S$73,16,0),IF($C$2='ASE Target vs Ach(Spares)(Inpt)'!$U$5,VLOOKUP(D29,'ASE Target vs Ach(Spares)(Inpt)'!$D$42:$V$73,19,0),IF($C$2='ASE Target vs Ach(Spares)(Inpt)'!$X$5,VLOOKUP(D29,'ASE Target vs Ach(Spares)(Inpt)'!$D$42:$Y$73,22,0),IF($C$2='ASE Target vs Ach(Spares)(Inpt)'!$AA$5,VLOOKUP(D29,'ASE Target vs Ach(Spares)(Inpt)'!$D$42:$AB$73,25,0),IF($C$2='ASE Target vs Ach(Spares)(Inpt)'!$AD$5,VLOOKUP(D29,'ASE Target vs Ach(Spares)(Inpt)'!$D$42:$AE$73,28,0),IF($C$2='ASE Target vs Ach(Spares)(Inpt)'!$AG$5,VLOOKUP(D29,'ASE Target vs Ach(Spares)(Inpt)'!$D$42:$AH$73,31,0),IF($C$2='ASE Target vs Ach(Spares)(Inpt)'!$AJ$5,VLOOKUP(D29,'ASE Target vs Ach(Spares)(Inpt)'!$D$42:$AK$73,34,0),IF($C$2='ASE Target vs Ach(Spares)(Inpt)'!$AM$5,VLOOKUP(D29,'ASE Target vs Ach(Spares)(Inpt)'!$D$42:$AN$73,37,0),"N/A"))))))))))))</f>
        <v>0</v>
      </c>
      <c r="L29" s="18">
        <f t="shared" si="1"/>
        <v>0</v>
      </c>
      <c r="M29" s="19" t="str">
        <f t="shared" si="2"/>
        <v>Not Eligible</v>
      </c>
      <c r="N29" s="17" t="str">
        <f>IF(M29="Eligible",IF(K29&lt;Condition!$E$4,0,IF(K29=Condition!$E$4,Condition!$C$4*K29,IF(K29&lt;Condition!$F$4,Condition!$C$4*K29,IF(K29=Condition!$F$4,Condition!$C$5*K29,IF(K29&lt;Condition!$F$5,Condition!$C$5*K29,IF(K29=Condition!$F$5,Condition!$C$6*K29,IF(K29&lt;Condition!$F$6,Condition!$C$6*K29,IF(K29=Condition!$F$6,Condition!$C$7*K29,IF(K29&lt;Condition!$F$7,Condition!$C$7*K29,IF(K29=Condition!$F$7,Condition!$C$8*K29,IF(K29&lt;Condition!$F$8,Condition!$C$8*K29,IF(K29=Condition!$F$8,Condition!$C$9*K29,IF(K29&lt;Condition!$F$9,Condition!$C$9*K29,IF(K29=Condition!$F$9,Condition!$C$10*K29,IF(K29&gt;Condition!$F$10,Condition!$C$10*K29,""))))))))))))))),"")</f>
        <v/>
      </c>
      <c r="O29" s="142" t="str">
        <f>IF(M29="Eligible",IF(K29&lt;Condition!$E$4,0,IF(K29=Condition!$E$4,Condition!$D$4,IF(K29&lt;Condition!$F$4,Condition!$D$4,IF(K29=Condition!$F$4,Condition!$D$5,IF(K29&lt;Condition!$F$5,Condition!$D$5,IF(K29=Condition!$F$5,Condition!$D$6,IF(K29&lt;Condition!$F$6,Condition!$D$6,IF(K29=Condition!$F$6,Condition!$D$7,IF(K29&lt;Condition!$F$7,Condition!$D$7,IF(K29=Condition!$F$7,Condition!$D$8,IF(K29&lt;Condition!$F$8,Condition!$D$8,IF(K29=Condition!$F$8,Condition!$D$9,IF(K29&lt;Condition!$F$9,Condition!$D$9,IF(K29=Condition!$F$9,Condition!$D$10,IF(K29&gt;Condition!$F$10,Condition!$D$10,""))))))))))))))),"")</f>
        <v/>
      </c>
      <c r="P29" s="142" t="str">
        <f t="shared" si="3"/>
        <v/>
      </c>
      <c r="Q29" s="117">
        <f>VLOOKUP(D29,'ASE Ach(Lube Oil Sales)'!$D$5:$F$40,3,0)</f>
        <v>0</v>
      </c>
      <c r="R29" s="17">
        <f>Q29*Condition!$E$27</f>
        <v>0</v>
      </c>
      <c r="S29" s="142">
        <f>VLOOKUP(D29,'ASE Ach (Service)(Input)'!$D$5:$F$34,3,0)</f>
        <v>0</v>
      </c>
      <c r="T29" s="142">
        <f>VLOOKUP(D29,'ASE Ach (Service)(Input)'!$D$5:$G$34,4,0)</f>
        <v>0</v>
      </c>
      <c r="U29" s="142">
        <f>VLOOKUP(D29,'ASE Ach (Service)(Input)'!$D$48:$F$79,3,0)</f>
        <v>0</v>
      </c>
      <c r="V29" s="142">
        <f>VLOOKUP(D29,'ASE Ach (Service)(Input)'!$D$48:$G$79,4,0)</f>
        <v>0</v>
      </c>
      <c r="W29" s="80">
        <f>IF($C$2='ASE Ach (CSA)(Input)'!$F$5,INDEX('ASE Ach (CSA)(Input)'!F:F,MATCH(D29,'ASE Ach (CSA)(Input)'!D:D,0)),IF($C$2='ASE Ach (CSA)(Input)'!$H$5,INDEX('ASE Ach (CSA)(Input)'!H:H,MATCH(D29,'ASE Ach (CSA)(Input)'!D:D,0)),IF($C$2='ASE Ach (CSA)(Input)'!$J$5,INDEX('ASE Ach (CSA)(Input)'!J:J,MATCH(D29,'ASE Ach (CSA)(Input)'!D:D,0)),IF($C$2='ASE Ach (CSA)(Input)'!$L$5,INDEX('ASE Ach (CSA)(Input)'!L:L,MATCH(D29,'ASE Ach (CSA)(Input)'!D:D,0)),IF($C$2='ASE Ach (CSA)(Input)'!$N$5,INDEX('ASE Ach (CSA)(Input)'!N:N,MATCH(D29,'ASE Ach (CSA)(Input)'!D:D,0)),IF($C$2='ASE Ach (CSA)(Input)'!$P$5,INDEX('ASE Ach (CSA)(Input)'!P:P,MATCH(D29,'ASE Ach (CSA)(Input)'!D:D,0)),IF($C$2='ASE Ach (CSA)(Input)'!$R$5,INDEX('ASE Ach (CSA)(Input)'!R:R,MATCH(D29,'ASE Ach (CSA)(Input)'!D:D,0)),IF($C$2='ASE Ach (CSA)(Input)'!$T$5,INDEX('ASE Ach (CSA)(Input)'!T:T,MATCH(D29,'ASE Ach (CSA)(Input)'!D:D,0)),IF($C$2='ASE Ach (CSA)(Input)'!$V$5,INDEX('ASE Ach (CSA)(Input)'!V:V,MATCH(D29,'ASE Ach (CSA)(Input)'!D:D,0)),IF($C$2='ASE Ach (CSA)(Input)'!$X$5,INDEX('ASE Ach (CSA)(Input)'!X:X,MATCH(D29,'ASE Ach (CSA)(Input)'!D:D,0)),IF($C$2='ASE Ach (CSA)(Input)'!$Z$5,INDEX('ASE Ach (CSA)(Input)'!Z:Z,MATCH(D29,'ASE Ach (CSA)(Input)'!D:D,0)),IF($C$2='ASE Ach (CSA)(Input)'!$AB$5,INDEX('ASE Ach (CSA)(Input)'!AB:AB,MATCH(D29,'ASE Ach (CSA)(Input)'!D:D,0)),"N/A"))))))))))))</f>
        <v>0</v>
      </c>
      <c r="X29" s="80">
        <f>IF($C$2='ASE Ach (CSA)(Input)'!$F$5,INDEX('ASE Ach (CSA)(Input)'!G:G,MATCH(D29,'ASE Ach (CSA)(Input)'!D:D,0)),IF($C$2='ASE Ach (CSA)(Input)'!$H$5,INDEX('ASE Ach (CSA)(Input)'!I:I,MATCH(D29,'ASE Ach (CSA)(Input)'!D:D,0)),IF($C$2='ASE Ach (CSA)(Input)'!$J$5,INDEX('ASE Ach (CSA)(Input)'!K:K,MATCH(D29,'ASE Ach (CSA)(Input)'!D:D,0)),IF($C$2='ASE Ach (CSA)(Input)'!$L$5,INDEX('ASE Ach (CSA)(Input)'!M:M,MATCH(D29,'ASE Ach (CSA)(Input)'!D:D,0)),IF($C$2='ASE Ach (CSA)(Input)'!$N$5,INDEX('ASE Ach (CSA)(Input)'!O:O,MATCH(D29,'ASE Ach (CSA)(Input)'!D:D,0)),IF($C$2='ASE Ach (CSA)(Input)'!$P$5,INDEX('ASE Ach (CSA)(Input)'!Q:Q,MATCH(D29,'ASE Ach (CSA)(Input)'!D:D,0)),IF($C$2='ASE Ach (CSA)(Input)'!$R$5,INDEX('ASE Ach (CSA)(Input)'!S:S,MATCH(D29,'ASE Ach (CSA)(Input)'!D:D,0)),IF($C$2='ASE Ach (CSA)(Input)'!$T$5,INDEX('ASE Ach (CSA)(Input)'!U:U,MATCH(D29,'ASE Ach (CSA)(Input)'!D:D,0)),IF($C$2='ASE Ach (CSA)(Input)'!$V$5,INDEX('ASE Ach (CSA)(Input)'!W:W,MATCH(D29,'ASE Ach (CSA)(Input)'!D:D,0)),IF($C$2='ASE Ach (CSA)(Input)'!$X$5,INDEX('ASE Ach (CSA)(Input)'!Y:Y,MATCH(D29,'ASE Ach (CSA)(Input)'!D:D,0)),IF($C$2='ASE Ach (CSA)(Input)'!$Z$5,INDEX('ASE Ach (CSA)(Input)'!AA:AA,MATCH(D29,'ASE Ach (CSA)(Input)'!D:D,0)),IF($C$2='ASE Ach (CSA)(Input)'!$AB$5,INDEX('ASE Ach (CSA)(Input)'!AC:AC,MATCH(D29,'ASE Ach (CSA)(Input)'!D:D,0)),"N/A"))))))))))))</f>
        <v>0</v>
      </c>
      <c r="Y29" s="142">
        <f>W29*Condition!$C$23+'Monthly Summary (No Input)'!X29*Condition!$E$24</f>
        <v>0</v>
      </c>
      <c r="Z29" s="17">
        <f t="shared" si="4"/>
        <v>0</v>
      </c>
    </row>
    <row r="30" spans="2:26" x14ac:dyDescent="0.25">
      <c r="B30" s="15">
        <f>'ASE Target (Spares), FY 21-22'!A28</f>
        <v>17</v>
      </c>
      <c r="C30" s="15" t="str">
        <f>IF('ASE Target (Spares), FY 21-22'!B28=0,"",'ASE Target (Spares), FY 21-22'!B28)</f>
        <v/>
      </c>
      <c r="D30" s="16" t="str">
        <f>'ASE Target (Spares), FY 21-22'!C28</f>
        <v>New-3</v>
      </c>
      <c r="E30" s="15" t="str">
        <f>IF('ASE Target (Spares), FY 21-22'!D28=0,"",'ASE Target (Spares), FY 21-22'!D28)</f>
        <v/>
      </c>
      <c r="F30" s="17">
        <f>IFERROR(VLOOKUP(E30,'ASE Target (Spares), FY 21-22'!$D$5:$G$260,4,0),"")</f>
        <v>0</v>
      </c>
      <c r="G30" s="17">
        <f>IF($C$2='ASE Target vs Ach(Spares)(Inpt)'!$F$5,VLOOKUP(D30,'ASE Target vs Ach(Spares)(Inpt)'!$D$6:$F$37,3,0),IF($C$2='ASE Target vs Ach(Spares)(Inpt)'!$I$5,VLOOKUP(D30,'ASE Target vs Ach(Spares)(Inpt)'!$D$6:$I$37,6,0),IF($C$2='ASE Target vs Ach(Spares)(Inpt)'!$L$5,VLOOKUP(D30,'ASE Target vs Ach(Spares)(Inpt)'!$D$6:$L$37,9,0),IF($C$2='ASE Target vs Ach(Spares)(Inpt)'!$O$5,VLOOKUP(D30,'ASE Target vs Ach(Spares)(Inpt)'!$D$6:$O$37,12,0),IF($C$2='ASE Target vs Ach(Spares)(Inpt)'!$R$5,VLOOKUP(D30,'ASE Target vs Ach(Spares)(Inpt)'!$D$6:$R$37,15,0),IF($C$2='ASE Target vs Ach(Spares)(Inpt)'!$U$5,VLOOKUP(D30,'ASE Target vs Ach(Spares)(Inpt)'!$D$6:$U$37,18,0),IF($C$2='ASE Target vs Ach(Spares)(Inpt)'!$X$5,VLOOKUP(D30,'ASE Target vs Ach(Spares)(Inpt)'!$D$6:$X$37,21,0),IF($C$2='ASE Target vs Ach(Spares)(Inpt)'!$AA$5,VLOOKUP(D30,'ASE Target vs Ach(Spares)(Inpt)'!$D$6:$AA$37,24,0),IF($C$2='ASE Target vs Ach(Spares)(Inpt)'!$AD$5,VLOOKUP(D30,'ASE Target vs Ach(Spares)(Inpt)'!$D$6:$AD$37,27,0),IF($C$2='ASE Target vs Ach(Spares)(Inpt)'!$AG$5,VLOOKUP(D30,'ASE Target vs Ach(Spares)(Inpt)'!$D$6:$AG$37,30,0),IF($C$2='ASE Target vs Ach(Spares)(Inpt)'!$AJ$5,VLOOKUP(D30,'ASE Target vs Ach(Spares)(Inpt)'!$D$6:$AJ$37,33,0),IF($C$2='ASE Target vs Ach(Spares)(Inpt)'!$AM$5,VLOOKUP(D30,'ASE Target vs Ach(Spares)(Inpt)'!$D$6:$AM$37,36,0),"N/A"))))))))))))</f>
        <v>0</v>
      </c>
      <c r="H30" s="17">
        <f>IF($C$2='ASE Target vs Ach(Spares)(Inpt)'!$F$5,VLOOKUP(D30,'ASE Target vs Ach(Spares)(Inpt)'!$D$6:$G$37,4,0),IF($C$2='ASE Target vs Ach(Spares)(Inpt)'!$I$5,VLOOKUP(D30,'ASE Target vs Ach(Spares)(Inpt)'!$D$6:$J$37,7,0),IF($C$2='ASE Target vs Ach(Spares)(Inpt)'!$L$5,VLOOKUP(D30,'ASE Target vs Ach(Spares)(Inpt)'!$D$6:$M$37,10,0),IF($C$2='ASE Target vs Ach(Spares)(Inpt)'!$O$5,VLOOKUP(D30,'ASE Target vs Ach(Spares)(Inpt)'!$D$6:$P$37,13,0),IF($C$2='ASE Target vs Ach(Spares)(Inpt)'!$R$5,VLOOKUP(D30,'ASE Target vs Ach(Spares)(Inpt)'!$D$6:$S$37,16,0),IF($C$2='ASE Target vs Ach(Spares)(Inpt)'!$U$5,VLOOKUP(D30,'ASE Target vs Ach(Spares)(Inpt)'!$D$6:$V$37,19,0),IF($C$2='ASE Target vs Ach(Spares)(Inpt)'!$X$5,VLOOKUP(D30,'ASE Target vs Ach(Spares)(Inpt)'!$D$6:$Y$37,22,0),IF($C$2='ASE Target vs Ach(Spares)(Inpt)'!$AA$5,VLOOKUP(D30,'ASE Target vs Ach(Spares)(Inpt)'!$D$6:$AB$37,25,0),IF($C$2='ASE Target vs Ach(Spares)(Inpt)'!$AD$5,VLOOKUP(D30,'ASE Target vs Ach(Spares)(Inpt)'!$D$6:$AE$37,28,0),IF($C$2='ASE Target vs Ach(Spares)(Inpt)'!$AG$5,VLOOKUP(D30,'ASE Target vs Ach(Spares)(Inpt)'!$D$6:$AH$37,31,0),IF($C$2='ASE Target vs Ach(Spares)(Inpt)'!$AJ$5,VLOOKUP(D30,'ASE Target vs Ach(Spares)(Inpt)'!$D$6:$AK$37,34,0),IF($C$2='ASE Target vs Ach(Spares)(Inpt)'!$AM$5,VLOOKUP(D30,'ASE Target vs Ach(Spares)(Inpt)'!$D$6:$AN$37,37,0),"N/A"))))))))))))</f>
        <v>0</v>
      </c>
      <c r="I30" s="18">
        <f t="shared" si="0"/>
        <v>0</v>
      </c>
      <c r="J30" s="17">
        <f>IF($C$2='ASE Target vs Ach(Spares)(Inpt)'!$F$5,VLOOKUP(D30,'ASE Target vs Ach(Spares)(Inpt)'!$D$42:$F$73,3,0),IF($C$2='ASE Target vs Ach(Spares)(Inpt)'!$I$5,VLOOKUP(D30,'ASE Target vs Ach(Spares)(Inpt)'!$D$42:$I$73,6,0),IF($C$2='ASE Target vs Ach(Spares)(Inpt)'!$L$5,VLOOKUP(D30,'ASE Target vs Ach(Spares)(Inpt)'!$D$42:$L$73,9,0),IF($C$2='ASE Target vs Ach(Spares)(Inpt)'!$O$5,VLOOKUP(D30,'ASE Target vs Ach(Spares)(Inpt)'!$D$42:$O$73,12,0),IF($C$2='ASE Target vs Ach(Spares)(Inpt)'!$R$5,VLOOKUP(D30,'ASE Target vs Ach(Spares)(Inpt)'!$D$42:$R$73,15,0),IF($C$2='ASE Target vs Ach(Spares)(Inpt)'!$U$5,VLOOKUP(D30,'ASE Target vs Ach(Spares)(Inpt)'!$D$42:$U$73,18,0),IF($C$2='ASE Target vs Ach(Spares)(Inpt)'!$X$5,VLOOKUP(D30,'ASE Target vs Ach(Spares)(Inpt)'!$D$42:$X$73,21,0),IF($C$2='ASE Target vs Ach(Spares)(Inpt)'!$AA$5,VLOOKUP(D30,'ASE Target vs Ach(Spares)(Inpt)'!$D$42:$AA$73,24,0),IF($C$2='ASE Target vs Ach(Spares)(Inpt)'!$AD$5,VLOOKUP(D30,'ASE Target vs Ach(Spares)(Inpt)'!$D$42:$AD$73,27,0),IF($C$2='ASE Target vs Ach(Spares)(Inpt)'!$AG$5,VLOOKUP(D30,'ASE Target vs Ach(Spares)(Inpt)'!$D$42:$AG$73,30,0),IF($C$2='ASE Target vs Ach(Spares)(Inpt)'!$AJ$5,VLOOKUP(D30,'ASE Target vs Ach(Spares)(Inpt)'!$D$42:$AJ$73,33,0),IF($C$2='ASE Target vs Ach(Spares)(Inpt)'!$AM$5,VLOOKUP(D30,'ASE Target vs Ach(Spares)(Inpt)'!$D$42:$AM$73,36,0),"N/A"))))))))))))</f>
        <v>0</v>
      </c>
      <c r="K30" s="17">
        <f>IF($C$2='ASE Target vs Ach(Spares)(Inpt)'!$F$5,VLOOKUP(D30,'ASE Target vs Ach(Spares)(Inpt)'!$D$42:$G$73,4,0),IF($C$2='ASE Target vs Ach(Spares)(Inpt)'!$I$5,VLOOKUP(D30,'ASE Target vs Ach(Spares)(Inpt)'!$D$42:$J$73,7,0),IF($C$2='ASE Target vs Ach(Spares)(Inpt)'!$L$5,VLOOKUP(D30,'ASE Target vs Ach(Spares)(Inpt)'!$D$42:$M$73,10,0),IF($C$2='ASE Target vs Ach(Spares)(Inpt)'!$O$5,VLOOKUP(D30,'ASE Target vs Ach(Spares)(Inpt)'!$D$42:$P$73,13,0),IF($C$2='ASE Target vs Ach(Spares)(Inpt)'!$R$5,VLOOKUP(D30,'ASE Target vs Ach(Spares)(Inpt)'!$D$42:$S$73,16,0),IF($C$2='ASE Target vs Ach(Spares)(Inpt)'!$U$5,VLOOKUP(D30,'ASE Target vs Ach(Spares)(Inpt)'!$D$42:$V$73,19,0),IF($C$2='ASE Target vs Ach(Spares)(Inpt)'!$X$5,VLOOKUP(D30,'ASE Target vs Ach(Spares)(Inpt)'!$D$42:$Y$73,22,0),IF($C$2='ASE Target vs Ach(Spares)(Inpt)'!$AA$5,VLOOKUP(D30,'ASE Target vs Ach(Spares)(Inpt)'!$D$42:$AB$73,25,0),IF($C$2='ASE Target vs Ach(Spares)(Inpt)'!$AD$5,VLOOKUP(D30,'ASE Target vs Ach(Spares)(Inpt)'!$D$42:$AE$73,28,0),IF($C$2='ASE Target vs Ach(Spares)(Inpt)'!$AG$5,VLOOKUP(D30,'ASE Target vs Ach(Spares)(Inpt)'!$D$42:$AH$73,31,0),IF($C$2='ASE Target vs Ach(Spares)(Inpt)'!$AJ$5,VLOOKUP(D30,'ASE Target vs Ach(Spares)(Inpt)'!$D$42:$AK$73,34,0),IF($C$2='ASE Target vs Ach(Spares)(Inpt)'!$AM$5,VLOOKUP(D30,'ASE Target vs Ach(Spares)(Inpt)'!$D$42:$AN$73,37,0),"N/A"))))))))))))</f>
        <v>0</v>
      </c>
      <c r="L30" s="18">
        <f t="shared" si="1"/>
        <v>0</v>
      </c>
      <c r="M30" s="19" t="str">
        <f t="shared" si="2"/>
        <v>Not Eligible</v>
      </c>
      <c r="N30" s="17" t="str">
        <f>IF(M30="Eligible",IF(K30&lt;Condition!$E$4,0,IF(K30=Condition!$E$4,Condition!$C$4*K30,IF(K30&lt;Condition!$F$4,Condition!$C$4*K30,IF(K30=Condition!$F$4,Condition!$C$5*K30,IF(K30&lt;Condition!$F$5,Condition!$C$5*K30,IF(K30=Condition!$F$5,Condition!$C$6*K30,IF(K30&lt;Condition!$F$6,Condition!$C$6*K30,IF(K30=Condition!$F$6,Condition!$C$7*K30,IF(K30&lt;Condition!$F$7,Condition!$C$7*K30,IF(K30=Condition!$F$7,Condition!$C$8*K30,IF(K30&lt;Condition!$F$8,Condition!$C$8*K30,IF(K30=Condition!$F$8,Condition!$C$9*K30,IF(K30&lt;Condition!$F$9,Condition!$C$9*K30,IF(K30=Condition!$F$9,Condition!$C$10*K30,IF(K30&gt;Condition!$F$10,Condition!$C$10*K30,""))))))))))))))),"")</f>
        <v/>
      </c>
      <c r="O30" s="142" t="str">
        <f>IF(M30="Eligible",IF(K30&lt;Condition!$E$4,0,IF(K30=Condition!$E$4,Condition!$D$4,IF(K30&lt;Condition!$F$4,Condition!$D$4,IF(K30=Condition!$F$4,Condition!$D$5,IF(K30&lt;Condition!$F$5,Condition!$D$5,IF(K30=Condition!$F$5,Condition!$D$6,IF(K30&lt;Condition!$F$6,Condition!$D$6,IF(K30=Condition!$F$6,Condition!$D$7,IF(K30&lt;Condition!$F$7,Condition!$D$7,IF(K30=Condition!$F$7,Condition!$D$8,IF(K30&lt;Condition!$F$8,Condition!$D$8,IF(K30=Condition!$F$8,Condition!$D$9,IF(K30&lt;Condition!$F$9,Condition!$D$9,IF(K30=Condition!$F$9,Condition!$D$10,IF(K30&gt;Condition!$F$10,Condition!$D$10,""))))))))))))))),"")</f>
        <v/>
      </c>
      <c r="P30" s="142" t="str">
        <f t="shared" si="3"/>
        <v/>
      </c>
      <c r="Q30" s="117">
        <f>VLOOKUP(D30,'ASE Ach(Lube Oil Sales)'!$D$5:$F$40,3,0)</f>
        <v>0</v>
      </c>
      <c r="R30" s="17">
        <f>Q30*Condition!$E$27</f>
        <v>0</v>
      </c>
      <c r="S30" s="142">
        <f>VLOOKUP(D30,'ASE Ach (Service)(Input)'!$D$5:$F$34,3,0)</f>
        <v>0</v>
      </c>
      <c r="T30" s="142">
        <f>VLOOKUP(D30,'ASE Ach (Service)(Input)'!$D$5:$G$34,4,0)</f>
        <v>0</v>
      </c>
      <c r="U30" s="142">
        <f>VLOOKUP(D30,'ASE Ach (Service)(Input)'!$D$48:$F$79,3,0)</f>
        <v>0</v>
      </c>
      <c r="V30" s="142">
        <f>VLOOKUP(D30,'ASE Ach (Service)(Input)'!$D$48:$G$79,4,0)</f>
        <v>0</v>
      </c>
      <c r="W30" s="80">
        <f>IF($C$2='ASE Ach (CSA)(Input)'!$F$5,INDEX('ASE Ach (CSA)(Input)'!F:F,MATCH(D30,'ASE Ach (CSA)(Input)'!D:D,0)),IF($C$2='ASE Ach (CSA)(Input)'!$H$5,INDEX('ASE Ach (CSA)(Input)'!H:H,MATCH(D30,'ASE Ach (CSA)(Input)'!D:D,0)),IF($C$2='ASE Ach (CSA)(Input)'!$J$5,INDEX('ASE Ach (CSA)(Input)'!J:J,MATCH(D30,'ASE Ach (CSA)(Input)'!D:D,0)),IF($C$2='ASE Ach (CSA)(Input)'!$L$5,INDEX('ASE Ach (CSA)(Input)'!L:L,MATCH(D30,'ASE Ach (CSA)(Input)'!D:D,0)),IF($C$2='ASE Ach (CSA)(Input)'!$N$5,INDEX('ASE Ach (CSA)(Input)'!N:N,MATCH(D30,'ASE Ach (CSA)(Input)'!D:D,0)),IF($C$2='ASE Ach (CSA)(Input)'!$P$5,INDEX('ASE Ach (CSA)(Input)'!P:P,MATCH(D30,'ASE Ach (CSA)(Input)'!D:D,0)),IF($C$2='ASE Ach (CSA)(Input)'!$R$5,INDEX('ASE Ach (CSA)(Input)'!R:R,MATCH(D30,'ASE Ach (CSA)(Input)'!D:D,0)),IF($C$2='ASE Ach (CSA)(Input)'!$T$5,INDEX('ASE Ach (CSA)(Input)'!T:T,MATCH(D30,'ASE Ach (CSA)(Input)'!D:D,0)),IF($C$2='ASE Ach (CSA)(Input)'!$V$5,INDEX('ASE Ach (CSA)(Input)'!V:V,MATCH(D30,'ASE Ach (CSA)(Input)'!D:D,0)),IF($C$2='ASE Ach (CSA)(Input)'!$X$5,INDEX('ASE Ach (CSA)(Input)'!X:X,MATCH(D30,'ASE Ach (CSA)(Input)'!D:D,0)),IF($C$2='ASE Ach (CSA)(Input)'!$Z$5,INDEX('ASE Ach (CSA)(Input)'!Z:Z,MATCH(D30,'ASE Ach (CSA)(Input)'!D:D,0)),IF($C$2='ASE Ach (CSA)(Input)'!$AB$5,INDEX('ASE Ach (CSA)(Input)'!AB:AB,MATCH(D30,'ASE Ach (CSA)(Input)'!D:D,0)),"N/A"))))))))))))</f>
        <v>0</v>
      </c>
      <c r="X30" s="80">
        <f>IF($C$2='ASE Ach (CSA)(Input)'!$F$5,INDEX('ASE Ach (CSA)(Input)'!G:G,MATCH(D30,'ASE Ach (CSA)(Input)'!D:D,0)),IF($C$2='ASE Ach (CSA)(Input)'!$H$5,INDEX('ASE Ach (CSA)(Input)'!I:I,MATCH(D30,'ASE Ach (CSA)(Input)'!D:D,0)),IF($C$2='ASE Ach (CSA)(Input)'!$J$5,INDEX('ASE Ach (CSA)(Input)'!K:K,MATCH(D30,'ASE Ach (CSA)(Input)'!D:D,0)),IF($C$2='ASE Ach (CSA)(Input)'!$L$5,INDEX('ASE Ach (CSA)(Input)'!M:M,MATCH(D30,'ASE Ach (CSA)(Input)'!D:D,0)),IF($C$2='ASE Ach (CSA)(Input)'!$N$5,INDEX('ASE Ach (CSA)(Input)'!O:O,MATCH(D30,'ASE Ach (CSA)(Input)'!D:D,0)),IF($C$2='ASE Ach (CSA)(Input)'!$P$5,INDEX('ASE Ach (CSA)(Input)'!Q:Q,MATCH(D30,'ASE Ach (CSA)(Input)'!D:D,0)),IF($C$2='ASE Ach (CSA)(Input)'!$R$5,INDEX('ASE Ach (CSA)(Input)'!S:S,MATCH(D30,'ASE Ach (CSA)(Input)'!D:D,0)),IF($C$2='ASE Ach (CSA)(Input)'!$T$5,INDEX('ASE Ach (CSA)(Input)'!U:U,MATCH(D30,'ASE Ach (CSA)(Input)'!D:D,0)),IF($C$2='ASE Ach (CSA)(Input)'!$V$5,INDEX('ASE Ach (CSA)(Input)'!W:W,MATCH(D30,'ASE Ach (CSA)(Input)'!D:D,0)),IF($C$2='ASE Ach (CSA)(Input)'!$X$5,INDEX('ASE Ach (CSA)(Input)'!Y:Y,MATCH(D30,'ASE Ach (CSA)(Input)'!D:D,0)),IF($C$2='ASE Ach (CSA)(Input)'!$Z$5,INDEX('ASE Ach (CSA)(Input)'!AA:AA,MATCH(D30,'ASE Ach (CSA)(Input)'!D:D,0)),IF($C$2='ASE Ach (CSA)(Input)'!$AB$5,INDEX('ASE Ach (CSA)(Input)'!AC:AC,MATCH(D30,'ASE Ach (CSA)(Input)'!D:D,0)),"N/A"))))))))))))</f>
        <v>0</v>
      </c>
      <c r="Y30" s="142">
        <f>W30*Condition!$C$23+'Monthly Summary (No Input)'!X30*Condition!$E$24</f>
        <v>0</v>
      </c>
      <c r="Z30" s="17">
        <f t="shared" si="4"/>
        <v>0</v>
      </c>
    </row>
    <row r="31" spans="2:26" x14ac:dyDescent="0.25">
      <c r="B31" s="15">
        <f>'ASE Target (Spares), FY 21-22'!A29</f>
        <v>18</v>
      </c>
      <c r="C31" s="15" t="str">
        <f>IF('ASE Target (Spares), FY 21-22'!B29=0,"",'ASE Target (Spares), FY 21-22'!B29)</f>
        <v/>
      </c>
      <c r="D31" s="16" t="str">
        <f>'ASE Target (Spares), FY 21-22'!C29</f>
        <v>New-4</v>
      </c>
      <c r="E31" s="15" t="str">
        <f>IF('ASE Target (Spares), FY 21-22'!D29=0,"",'ASE Target (Spares), FY 21-22'!D29)</f>
        <v/>
      </c>
      <c r="F31" s="17">
        <f>IFERROR(VLOOKUP(E31,'ASE Target (Spares), FY 21-22'!$D$5:$G$260,4,0),"")</f>
        <v>0</v>
      </c>
      <c r="G31" s="17">
        <f>IF($C$2='ASE Target vs Ach(Spares)(Inpt)'!$F$5,VLOOKUP(D31,'ASE Target vs Ach(Spares)(Inpt)'!$D$6:$F$37,3,0),IF($C$2='ASE Target vs Ach(Spares)(Inpt)'!$I$5,VLOOKUP(D31,'ASE Target vs Ach(Spares)(Inpt)'!$D$6:$I$37,6,0),IF($C$2='ASE Target vs Ach(Spares)(Inpt)'!$L$5,VLOOKUP(D31,'ASE Target vs Ach(Spares)(Inpt)'!$D$6:$L$37,9,0),IF($C$2='ASE Target vs Ach(Spares)(Inpt)'!$O$5,VLOOKUP(D31,'ASE Target vs Ach(Spares)(Inpt)'!$D$6:$O$37,12,0),IF($C$2='ASE Target vs Ach(Spares)(Inpt)'!$R$5,VLOOKUP(D31,'ASE Target vs Ach(Spares)(Inpt)'!$D$6:$R$37,15,0),IF($C$2='ASE Target vs Ach(Spares)(Inpt)'!$U$5,VLOOKUP(D31,'ASE Target vs Ach(Spares)(Inpt)'!$D$6:$U$37,18,0),IF($C$2='ASE Target vs Ach(Spares)(Inpt)'!$X$5,VLOOKUP(D31,'ASE Target vs Ach(Spares)(Inpt)'!$D$6:$X$37,21,0),IF($C$2='ASE Target vs Ach(Spares)(Inpt)'!$AA$5,VLOOKUP(D31,'ASE Target vs Ach(Spares)(Inpt)'!$D$6:$AA$37,24,0),IF($C$2='ASE Target vs Ach(Spares)(Inpt)'!$AD$5,VLOOKUP(D31,'ASE Target vs Ach(Spares)(Inpt)'!$D$6:$AD$37,27,0),IF($C$2='ASE Target vs Ach(Spares)(Inpt)'!$AG$5,VLOOKUP(D31,'ASE Target vs Ach(Spares)(Inpt)'!$D$6:$AG$37,30,0),IF($C$2='ASE Target vs Ach(Spares)(Inpt)'!$AJ$5,VLOOKUP(D31,'ASE Target vs Ach(Spares)(Inpt)'!$D$6:$AJ$37,33,0),IF($C$2='ASE Target vs Ach(Spares)(Inpt)'!$AM$5,VLOOKUP(D31,'ASE Target vs Ach(Spares)(Inpt)'!$D$6:$AM$37,36,0),"N/A"))))))))))))</f>
        <v>0</v>
      </c>
      <c r="H31" s="17">
        <f>IF($C$2='ASE Target vs Ach(Spares)(Inpt)'!$F$5,VLOOKUP(D31,'ASE Target vs Ach(Spares)(Inpt)'!$D$6:$G$37,4,0),IF($C$2='ASE Target vs Ach(Spares)(Inpt)'!$I$5,VLOOKUP(D31,'ASE Target vs Ach(Spares)(Inpt)'!$D$6:$J$37,7,0),IF($C$2='ASE Target vs Ach(Spares)(Inpt)'!$L$5,VLOOKUP(D31,'ASE Target vs Ach(Spares)(Inpt)'!$D$6:$M$37,10,0),IF($C$2='ASE Target vs Ach(Spares)(Inpt)'!$O$5,VLOOKUP(D31,'ASE Target vs Ach(Spares)(Inpt)'!$D$6:$P$37,13,0),IF($C$2='ASE Target vs Ach(Spares)(Inpt)'!$R$5,VLOOKUP(D31,'ASE Target vs Ach(Spares)(Inpt)'!$D$6:$S$37,16,0),IF($C$2='ASE Target vs Ach(Spares)(Inpt)'!$U$5,VLOOKUP(D31,'ASE Target vs Ach(Spares)(Inpt)'!$D$6:$V$37,19,0),IF($C$2='ASE Target vs Ach(Spares)(Inpt)'!$X$5,VLOOKUP(D31,'ASE Target vs Ach(Spares)(Inpt)'!$D$6:$Y$37,22,0),IF($C$2='ASE Target vs Ach(Spares)(Inpt)'!$AA$5,VLOOKUP(D31,'ASE Target vs Ach(Spares)(Inpt)'!$D$6:$AB$37,25,0),IF($C$2='ASE Target vs Ach(Spares)(Inpt)'!$AD$5,VLOOKUP(D31,'ASE Target vs Ach(Spares)(Inpt)'!$D$6:$AE$37,28,0),IF($C$2='ASE Target vs Ach(Spares)(Inpt)'!$AG$5,VLOOKUP(D31,'ASE Target vs Ach(Spares)(Inpt)'!$D$6:$AH$37,31,0),IF($C$2='ASE Target vs Ach(Spares)(Inpt)'!$AJ$5,VLOOKUP(D31,'ASE Target vs Ach(Spares)(Inpt)'!$D$6:$AK$37,34,0),IF($C$2='ASE Target vs Ach(Spares)(Inpt)'!$AM$5,VLOOKUP(D31,'ASE Target vs Ach(Spares)(Inpt)'!$D$6:$AN$37,37,0),"N/A"))))))))))))</f>
        <v>0</v>
      </c>
      <c r="I31" s="18">
        <f t="shared" si="0"/>
        <v>0</v>
      </c>
      <c r="J31" s="17">
        <f>IF($C$2='ASE Target vs Ach(Spares)(Inpt)'!$F$5,VLOOKUP(D31,'ASE Target vs Ach(Spares)(Inpt)'!$D$42:$F$73,3,0),IF($C$2='ASE Target vs Ach(Spares)(Inpt)'!$I$5,VLOOKUP(D31,'ASE Target vs Ach(Spares)(Inpt)'!$D$42:$I$73,6,0),IF($C$2='ASE Target vs Ach(Spares)(Inpt)'!$L$5,VLOOKUP(D31,'ASE Target vs Ach(Spares)(Inpt)'!$D$42:$L$73,9,0),IF($C$2='ASE Target vs Ach(Spares)(Inpt)'!$O$5,VLOOKUP(D31,'ASE Target vs Ach(Spares)(Inpt)'!$D$42:$O$73,12,0),IF($C$2='ASE Target vs Ach(Spares)(Inpt)'!$R$5,VLOOKUP(D31,'ASE Target vs Ach(Spares)(Inpt)'!$D$42:$R$73,15,0),IF($C$2='ASE Target vs Ach(Spares)(Inpt)'!$U$5,VLOOKUP(D31,'ASE Target vs Ach(Spares)(Inpt)'!$D$42:$U$73,18,0),IF($C$2='ASE Target vs Ach(Spares)(Inpt)'!$X$5,VLOOKUP(D31,'ASE Target vs Ach(Spares)(Inpt)'!$D$42:$X$73,21,0),IF($C$2='ASE Target vs Ach(Spares)(Inpt)'!$AA$5,VLOOKUP(D31,'ASE Target vs Ach(Spares)(Inpt)'!$D$42:$AA$73,24,0),IF($C$2='ASE Target vs Ach(Spares)(Inpt)'!$AD$5,VLOOKUP(D31,'ASE Target vs Ach(Spares)(Inpt)'!$D$42:$AD$73,27,0),IF($C$2='ASE Target vs Ach(Spares)(Inpt)'!$AG$5,VLOOKUP(D31,'ASE Target vs Ach(Spares)(Inpt)'!$D$42:$AG$73,30,0),IF($C$2='ASE Target vs Ach(Spares)(Inpt)'!$AJ$5,VLOOKUP(D31,'ASE Target vs Ach(Spares)(Inpt)'!$D$42:$AJ$73,33,0),IF($C$2='ASE Target vs Ach(Spares)(Inpt)'!$AM$5,VLOOKUP(D31,'ASE Target vs Ach(Spares)(Inpt)'!$D$42:$AM$73,36,0),"N/A"))))))))))))</f>
        <v>0</v>
      </c>
      <c r="K31" s="17">
        <f>IF($C$2='ASE Target vs Ach(Spares)(Inpt)'!$F$5,VLOOKUP(D31,'ASE Target vs Ach(Spares)(Inpt)'!$D$42:$G$73,4,0),IF($C$2='ASE Target vs Ach(Spares)(Inpt)'!$I$5,VLOOKUP(D31,'ASE Target vs Ach(Spares)(Inpt)'!$D$42:$J$73,7,0),IF($C$2='ASE Target vs Ach(Spares)(Inpt)'!$L$5,VLOOKUP(D31,'ASE Target vs Ach(Spares)(Inpt)'!$D$42:$M$73,10,0),IF($C$2='ASE Target vs Ach(Spares)(Inpt)'!$O$5,VLOOKUP(D31,'ASE Target vs Ach(Spares)(Inpt)'!$D$42:$P$73,13,0),IF($C$2='ASE Target vs Ach(Spares)(Inpt)'!$R$5,VLOOKUP(D31,'ASE Target vs Ach(Spares)(Inpt)'!$D$42:$S$73,16,0),IF($C$2='ASE Target vs Ach(Spares)(Inpt)'!$U$5,VLOOKUP(D31,'ASE Target vs Ach(Spares)(Inpt)'!$D$42:$V$73,19,0),IF($C$2='ASE Target vs Ach(Spares)(Inpt)'!$X$5,VLOOKUP(D31,'ASE Target vs Ach(Spares)(Inpt)'!$D$42:$Y$73,22,0),IF($C$2='ASE Target vs Ach(Spares)(Inpt)'!$AA$5,VLOOKUP(D31,'ASE Target vs Ach(Spares)(Inpt)'!$D$42:$AB$73,25,0),IF($C$2='ASE Target vs Ach(Spares)(Inpt)'!$AD$5,VLOOKUP(D31,'ASE Target vs Ach(Spares)(Inpt)'!$D$42:$AE$73,28,0),IF($C$2='ASE Target vs Ach(Spares)(Inpt)'!$AG$5,VLOOKUP(D31,'ASE Target vs Ach(Spares)(Inpt)'!$D$42:$AH$73,31,0),IF($C$2='ASE Target vs Ach(Spares)(Inpt)'!$AJ$5,VLOOKUP(D31,'ASE Target vs Ach(Spares)(Inpt)'!$D$42:$AK$73,34,0),IF($C$2='ASE Target vs Ach(Spares)(Inpt)'!$AM$5,VLOOKUP(D31,'ASE Target vs Ach(Spares)(Inpt)'!$D$42:$AN$73,37,0),"N/A"))))))))))))</f>
        <v>0</v>
      </c>
      <c r="L31" s="18">
        <f t="shared" si="1"/>
        <v>0</v>
      </c>
      <c r="M31" s="19" t="str">
        <f t="shared" si="2"/>
        <v>Not Eligible</v>
      </c>
      <c r="N31" s="17" t="str">
        <f>IF(M31="Eligible",IF(K31&lt;Condition!$E$4,0,IF(K31=Condition!$E$4,Condition!$C$4*K31,IF(K31&lt;Condition!$F$4,Condition!$C$4*K31,IF(K31=Condition!$F$4,Condition!$C$5*K31,IF(K31&lt;Condition!$F$5,Condition!$C$5*K31,IF(K31=Condition!$F$5,Condition!$C$6*K31,IF(K31&lt;Condition!$F$6,Condition!$C$6*K31,IF(K31=Condition!$F$6,Condition!$C$7*K31,IF(K31&lt;Condition!$F$7,Condition!$C$7*K31,IF(K31=Condition!$F$7,Condition!$C$8*K31,IF(K31&lt;Condition!$F$8,Condition!$C$8*K31,IF(K31=Condition!$F$8,Condition!$C$9*K31,IF(K31&lt;Condition!$F$9,Condition!$C$9*K31,IF(K31=Condition!$F$9,Condition!$C$10*K31,IF(K31&gt;Condition!$F$10,Condition!$C$10*K31,""))))))))))))))),"")</f>
        <v/>
      </c>
      <c r="O31" s="142" t="str">
        <f>IF(M31="Eligible",IF(K31&lt;Condition!$E$4,0,IF(K31=Condition!$E$4,Condition!$D$4,IF(K31&lt;Condition!$F$4,Condition!$D$4,IF(K31=Condition!$F$4,Condition!$D$5,IF(K31&lt;Condition!$F$5,Condition!$D$5,IF(K31=Condition!$F$5,Condition!$D$6,IF(K31&lt;Condition!$F$6,Condition!$D$6,IF(K31=Condition!$F$6,Condition!$D$7,IF(K31&lt;Condition!$F$7,Condition!$D$7,IF(K31=Condition!$F$7,Condition!$D$8,IF(K31&lt;Condition!$F$8,Condition!$D$8,IF(K31=Condition!$F$8,Condition!$D$9,IF(K31&lt;Condition!$F$9,Condition!$D$9,IF(K31=Condition!$F$9,Condition!$D$10,IF(K31&gt;Condition!$F$10,Condition!$D$10,""))))))))))))))),"")</f>
        <v/>
      </c>
      <c r="P31" s="142" t="str">
        <f t="shared" si="3"/>
        <v/>
      </c>
      <c r="Q31" s="117">
        <f>VLOOKUP(D31,'ASE Ach(Lube Oil Sales)'!$D$5:$F$40,3,0)</f>
        <v>0</v>
      </c>
      <c r="R31" s="17">
        <f>Q31*Condition!$E$27</f>
        <v>0</v>
      </c>
      <c r="S31" s="142">
        <f>VLOOKUP(D31,'ASE Ach (Service)(Input)'!$D$5:$F$34,3,0)</f>
        <v>0</v>
      </c>
      <c r="T31" s="142">
        <f>VLOOKUP(D31,'ASE Ach (Service)(Input)'!$D$5:$G$34,4,0)</f>
        <v>0</v>
      </c>
      <c r="U31" s="142">
        <f>VLOOKUP(D31,'ASE Ach (Service)(Input)'!$D$48:$F$79,3,0)</f>
        <v>0</v>
      </c>
      <c r="V31" s="142">
        <f>VLOOKUP(D31,'ASE Ach (Service)(Input)'!$D$48:$G$79,4,0)</f>
        <v>0</v>
      </c>
      <c r="W31" s="80">
        <f>IF($C$2='ASE Ach (CSA)(Input)'!$F$5,INDEX('ASE Ach (CSA)(Input)'!F:F,MATCH(D31,'ASE Ach (CSA)(Input)'!D:D,0)),IF($C$2='ASE Ach (CSA)(Input)'!$H$5,INDEX('ASE Ach (CSA)(Input)'!H:H,MATCH(D31,'ASE Ach (CSA)(Input)'!D:D,0)),IF($C$2='ASE Ach (CSA)(Input)'!$J$5,INDEX('ASE Ach (CSA)(Input)'!J:J,MATCH(D31,'ASE Ach (CSA)(Input)'!D:D,0)),IF($C$2='ASE Ach (CSA)(Input)'!$L$5,INDEX('ASE Ach (CSA)(Input)'!L:L,MATCH(D31,'ASE Ach (CSA)(Input)'!D:D,0)),IF($C$2='ASE Ach (CSA)(Input)'!$N$5,INDEX('ASE Ach (CSA)(Input)'!N:N,MATCH(D31,'ASE Ach (CSA)(Input)'!D:D,0)),IF($C$2='ASE Ach (CSA)(Input)'!$P$5,INDEX('ASE Ach (CSA)(Input)'!P:P,MATCH(D31,'ASE Ach (CSA)(Input)'!D:D,0)),IF($C$2='ASE Ach (CSA)(Input)'!$R$5,INDEX('ASE Ach (CSA)(Input)'!R:R,MATCH(D31,'ASE Ach (CSA)(Input)'!D:D,0)),IF($C$2='ASE Ach (CSA)(Input)'!$T$5,INDEX('ASE Ach (CSA)(Input)'!T:T,MATCH(D31,'ASE Ach (CSA)(Input)'!D:D,0)),IF($C$2='ASE Ach (CSA)(Input)'!$V$5,INDEX('ASE Ach (CSA)(Input)'!V:V,MATCH(D31,'ASE Ach (CSA)(Input)'!D:D,0)),IF($C$2='ASE Ach (CSA)(Input)'!$X$5,INDEX('ASE Ach (CSA)(Input)'!X:X,MATCH(D31,'ASE Ach (CSA)(Input)'!D:D,0)),IF($C$2='ASE Ach (CSA)(Input)'!$Z$5,INDEX('ASE Ach (CSA)(Input)'!Z:Z,MATCH(D31,'ASE Ach (CSA)(Input)'!D:D,0)),IF($C$2='ASE Ach (CSA)(Input)'!$AB$5,INDEX('ASE Ach (CSA)(Input)'!AB:AB,MATCH(D31,'ASE Ach (CSA)(Input)'!D:D,0)),"N/A"))))))))))))</f>
        <v>0</v>
      </c>
      <c r="X31" s="80">
        <f>IF($C$2='ASE Ach (CSA)(Input)'!$F$5,INDEX('ASE Ach (CSA)(Input)'!G:G,MATCH(D31,'ASE Ach (CSA)(Input)'!D:D,0)),IF($C$2='ASE Ach (CSA)(Input)'!$H$5,INDEX('ASE Ach (CSA)(Input)'!I:I,MATCH(D31,'ASE Ach (CSA)(Input)'!D:D,0)),IF($C$2='ASE Ach (CSA)(Input)'!$J$5,INDEX('ASE Ach (CSA)(Input)'!K:K,MATCH(D31,'ASE Ach (CSA)(Input)'!D:D,0)),IF($C$2='ASE Ach (CSA)(Input)'!$L$5,INDEX('ASE Ach (CSA)(Input)'!M:M,MATCH(D31,'ASE Ach (CSA)(Input)'!D:D,0)),IF($C$2='ASE Ach (CSA)(Input)'!$N$5,INDEX('ASE Ach (CSA)(Input)'!O:O,MATCH(D31,'ASE Ach (CSA)(Input)'!D:D,0)),IF($C$2='ASE Ach (CSA)(Input)'!$P$5,INDEX('ASE Ach (CSA)(Input)'!Q:Q,MATCH(D31,'ASE Ach (CSA)(Input)'!D:D,0)),IF($C$2='ASE Ach (CSA)(Input)'!$R$5,INDEX('ASE Ach (CSA)(Input)'!S:S,MATCH(D31,'ASE Ach (CSA)(Input)'!D:D,0)),IF($C$2='ASE Ach (CSA)(Input)'!$T$5,INDEX('ASE Ach (CSA)(Input)'!U:U,MATCH(D31,'ASE Ach (CSA)(Input)'!D:D,0)),IF($C$2='ASE Ach (CSA)(Input)'!$V$5,INDEX('ASE Ach (CSA)(Input)'!W:W,MATCH(D31,'ASE Ach (CSA)(Input)'!D:D,0)),IF($C$2='ASE Ach (CSA)(Input)'!$X$5,INDEX('ASE Ach (CSA)(Input)'!Y:Y,MATCH(D31,'ASE Ach (CSA)(Input)'!D:D,0)),IF($C$2='ASE Ach (CSA)(Input)'!$Z$5,INDEX('ASE Ach (CSA)(Input)'!AA:AA,MATCH(D31,'ASE Ach (CSA)(Input)'!D:D,0)),IF($C$2='ASE Ach (CSA)(Input)'!$AB$5,INDEX('ASE Ach (CSA)(Input)'!AC:AC,MATCH(D31,'ASE Ach (CSA)(Input)'!D:D,0)),"N/A"))))))))))))</f>
        <v>0</v>
      </c>
      <c r="Y31" s="142">
        <f>W31*Condition!$C$23+'Monthly Summary (No Input)'!X31*Condition!$E$24</f>
        <v>0</v>
      </c>
      <c r="Z31" s="17">
        <f t="shared" si="4"/>
        <v>0</v>
      </c>
    </row>
    <row r="32" spans="2:26" x14ac:dyDescent="0.25">
      <c r="B32" s="15">
        <f>'ASE Target (Spares), FY 21-22'!A30</f>
        <v>19</v>
      </c>
      <c r="C32" s="15" t="str">
        <f>IF('ASE Target (Spares), FY 21-22'!B30=0,"",'ASE Target (Spares), FY 21-22'!B30)</f>
        <v>CTG</v>
      </c>
      <c r="D32" s="16" t="str">
        <f>'ASE Target (Spares), FY 21-22'!C30</f>
        <v xml:space="preserve">Sumon Sen </v>
      </c>
      <c r="E32" s="15" t="str">
        <f>IF('ASE Target (Spares), FY 21-22'!D30=0,"",'ASE Target (Spares), FY 21-22'!D30)</f>
        <v>8041</v>
      </c>
      <c r="F32" s="17">
        <f>IFERROR(VLOOKUP(E32,'ASE Target (Spares), FY 21-22'!$D$5:$G$260,4,0),"")</f>
        <v>2250000</v>
      </c>
      <c r="G32" s="17">
        <f>IF($C$2='ASE Target vs Ach(Spares)(Inpt)'!$F$5,VLOOKUP(D32,'ASE Target vs Ach(Spares)(Inpt)'!$D$6:$F$37,3,0),IF($C$2='ASE Target vs Ach(Spares)(Inpt)'!$I$5,VLOOKUP(D32,'ASE Target vs Ach(Spares)(Inpt)'!$D$6:$I$37,6,0),IF($C$2='ASE Target vs Ach(Spares)(Inpt)'!$L$5,VLOOKUP(D32,'ASE Target vs Ach(Spares)(Inpt)'!$D$6:$L$37,9,0),IF($C$2='ASE Target vs Ach(Spares)(Inpt)'!$O$5,VLOOKUP(D32,'ASE Target vs Ach(Spares)(Inpt)'!$D$6:$O$37,12,0),IF($C$2='ASE Target vs Ach(Spares)(Inpt)'!$R$5,VLOOKUP(D32,'ASE Target vs Ach(Spares)(Inpt)'!$D$6:$R$37,15,0),IF($C$2='ASE Target vs Ach(Spares)(Inpt)'!$U$5,VLOOKUP(D32,'ASE Target vs Ach(Spares)(Inpt)'!$D$6:$U$37,18,0),IF($C$2='ASE Target vs Ach(Spares)(Inpt)'!$X$5,VLOOKUP(D32,'ASE Target vs Ach(Spares)(Inpt)'!$D$6:$X$37,21,0),IF($C$2='ASE Target vs Ach(Spares)(Inpt)'!$AA$5,VLOOKUP(D32,'ASE Target vs Ach(Spares)(Inpt)'!$D$6:$AA$37,24,0),IF($C$2='ASE Target vs Ach(Spares)(Inpt)'!$AD$5,VLOOKUP(D32,'ASE Target vs Ach(Spares)(Inpt)'!$D$6:$AD$37,27,0),IF($C$2='ASE Target vs Ach(Spares)(Inpt)'!$AG$5,VLOOKUP(D32,'ASE Target vs Ach(Spares)(Inpt)'!$D$6:$AG$37,30,0),IF($C$2='ASE Target vs Ach(Spares)(Inpt)'!$AJ$5,VLOOKUP(D32,'ASE Target vs Ach(Spares)(Inpt)'!$D$6:$AJ$37,33,0),IF($C$2='ASE Target vs Ach(Spares)(Inpt)'!$AM$5,VLOOKUP(D32,'ASE Target vs Ach(Spares)(Inpt)'!$D$6:$AM$37,36,0),"N/A"))))))))))))</f>
        <v>0</v>
      </c>
      <c r="H32" s="17">
        <f>IF($C$2='ASE Target vs Ach(Spares)(Inpt)'!$F$5,VLOOKUP(D32,'ASE Target vs Ach(Spares)(Inpt)'!$D$6:$G$37,4,0),IF($C$2='ASE Target vs Ach(Spares)(Inpt)'!$I$5,VLOOKUP(D32,'ASE Target vs Ach(Spares)(Inpt)'!$D$6:$J$37,7,0),IF($C$2='ASE Target vs Ach(Spares)(Inpt)'!$L$5,VLOOKUP(D32,'ASE Target vs Ach(Spares)(Inpt)'!$D$6:$M$37,10,0),IF($C$2='ASE Target vs Ach(Spares)(Inpt)'!$O$5,VLOOKUP(D32,'ASE Target vs Ach(Spares)(Inpt)'!$D$6:$P$37,13,0),IF($C$2='ASE Target vs Ach(Spares)(Inpt)'!$R$5,VLOOKUP(D32,'ASE Target vs Ach(Spares)(Inpt)'!$D$6:$S$37,16,0),IF($C$2='ASE Target vs Ach(Spares)(Inpt)'!$U$5,VLOOKUP(D32,'ASE Target vs Ach(Spares)(Inpt)'!$D$6:$V$37,19,0),IF($C$2='ASE Target vs Ach(Spares)(Inpt)'!$X$5,VLOOKUP(D32,'ASE Target vs Ach(Spares)(Inpt)'!$D$6:$Y$37,22,0),IF($C$2='ASE Target vs Ach(Spares)(Inpt)'!$AA$5,VLOOKUP(D32,'ASE Target vs Ach(Spares)(Inpt)'!$D$6:$AB$37,25,0),IF($C$2='ASE Target vs Ach(Spares)(Inpt)'!$AD$5,VLOOKUP(D32,'ASE Target vs Ach(Spares)(Inpt)'!$D$6:$AE$37,28,0),IF($C$2='ASE Target vs Ach(Spares)(Inpt)'!$AG$5,VLOOKUP(D32,'ASE Target vs Ach(Spares)(Inpt)'!$D$6:$AH$37,31,0),IF($C$2='ASE Target vs Ach(Spares)(Inpt)'!$AJ$5,VLOOKUP(D32,'ASE Target vs Ach(Spares)(Inpt)'!$D$6:$AK$37,34,0),IF($C$2='ASE Target vs Ach(Spares)(Inpt)'!$AM$5,VLOOKUP(D32,'ASE Target vs Ach(Spares)(Inpt)'!$D$6:$AN$37,37,0),"N/A"))))))))))))</f>
        <v>0</v>
      </c>
      <c r="I32" s="18">
        <f t="shared" si="0"/>
        <v>0</v>
      </c>
      <c r="J32" s="17">
        <f>IF($C$2='ASE Target vs Ach(Spares)(Inpt)'!$F$5,VLOOKUP(D32,'ASE Target vs Ach(Spares)(Inpt)'!$D$42:$F$73,3,0),IF($C$2='ASE Target vs Ach(Spares)(Inpt)'!$I$5,VLOOKUP(D32,'ASE Target vs Ach(Spares)(Inpt)'!$D$42:$I$73,6,0),IF($C$2='ASE Target vs Ach(Spares)(Inpt)'!$L$5,VLOOKUP(D32,'ASE Target vs Ach(Spares)(Inpt)'!$D$42:$L$73,9,0),IF($C$2='ASE Target vs Ach(Spares)(Inpt)'!$O$5,VLOOKUP(D32,'ASE Target vs Ach(Spares)(Inpt)'!$D$42:$O$73,12,0),IF($C$2='ASE Target vs Ach(Spares)(Inpt)'!$R$5,VLOOKUP(D32,'ASE Target vs Ach(Spares)(Inpt)'!$D$42:$R$73,15,0),IF($C$2='ASE Target vs Ach(Spares)(Inpt)'!$U$5,VLOOKUP(D32,'ASE Target vs Ach(Spares)(Inpt)'!$D$42:$U$73,18,0),IF($C$2='ASE Target vs Ach(Spares)(Inpt)'!$X$5,VLOOKUP(D32,'ASE Target vs Ach(Spares)(Inpt)'!$D$42:$X$73,21,0),IF($C$2='ASE Target vs Ach(Spares)(Inpt)'!$AA$5,VLOOKUP(D32,'ASE Target vs Ach(Spares)(Inpt)'!$D$42:$AA$73,24,0),IF($C$2='ASE Target vs Ach(Spares)(Inpt)'!$AD$5,VLOOKUP(D32,'ASE Target vs Ach(Spares)(Inpt)'!$D$42:$AD$73,27,0),IF($C$2='ASE Target vs Ach(Spares)(Inpt)'!$AG$5,VLOOKUP(D32,'ASE Target vs Ach(Spares)(Inpt)'!$D$42:$AG$73,30,0),IF($C$2='ASE Target vs Ach(Spares)(Inpt)'!$AJ$5,VLOOKUP(D32,'ASE Target vs Ach(Spares)(Inpt)'!$D$42:$AJ$73,33,0),IF($C$2='ASE Target vs Ach(Spares)(Inpt)'!$AM$5,VLOOKUP(D32,'ASE Target vs Ach(Spares)(Inpt)'!$D$42:$AM$73,36,0),"N/A"))))))))))))</f>
        <v>0</v>
      </c>
      <c r="K32" s="17">
        <f>IF($C$2='ASE Target vs Ach(Spares)(Inpt)'!$F$5,VLOOKUP(D32,'ASE Target vs Ach(Spares)(Inpt)'!$D$42:$G$73,4,0),IF($C$2='ASE Target vs Ach(Spares)(Inpt)'!$I$5,VLOOKUP(D32,'ASE Target vs Ach(Spares)(Inpt)'!$D$42:$J$73,7,0),IF($C$2='ASE Target vs Ach(Spares)(Inpt)'!$L$5,VLOOKUP(D32,'ASE Target vs Ach(Spares)(Inpt)'!$D$42:$M$73,10,0),IF($C$2='ASE Target vs Ach(Spares)(Inpt)'!$O$5,VLOOKUP(D32,'ASE Target vs Ach(Spares)(Inpt)'!$D$42:$P$73,13,0),IF($C$2='ASE Target vs Ach(Spares)(Inpt)'!$R$5,VLOOKUP(D32,'ASE Target vs Ach(Spares)(Inpt)'!$D$42:$S$73,16,0),IF($C$2='ASE Target vs Ach(Spares)(Inpt)'!$U$5,VLOOKUP(D32,'ASE Target vs Ach(Spares)(Inpt)'!$D$42:$V$73,19,0),IF($C$2='ASE Target vs Ach(Spares)(Inpt)'!$X$5,VLOOKUP(D32,'ASE Target vs Ach(Spares)(Inpt)'!$D$42:$Y$73,22,0),IF($C$2='ASE Target vs Ach(Spares)(Inpt)'!$AA$5,VLOOKUP(D32,'ASE Target vs Ach(Spares)(Inpt)'!$D$42:$AB$73,25,0),IF($C$2='ASE Target vs Ach(Spares)(Inpt)'!$AD$5,VLOOKUP(D32,'ASE Target vs Ach(Spares)(Inpt)'!$D$42:$AE$73,28,0),IF($C$2='ASE Target vs Ach(Spares)(Inpt)'!$AG$5,VLOOKUP(D32,'ASE Target vs Ach(Spares)(Inpt)'!$D$42:$AH$73,31,0),IF($C$2='ASE Target vs Ach(Spares)(Inpt)'!$AJ$5,VLOOKUP(D32,'ASE Target vs Ach(Spares)(Inpt)'!$D$42:$AK$73,34,0),IF($C$2='ASE Target vs Ach(Spares)(Inpt)'!$AM$5,VLOOKUP(D32,'ASE Target vs Ach(Spares)(Inpt)'!$D$42:$AN$73,37,0),"N/A"))))))))))))</f>
        <v>0</v>
      </c>
      <c r="L32" s="18">
        <f t="shared" si="1"/>
        <v>0</v>
      </c>
      <c r="M32" s="19" t="str">
        <f t="shared" si="2"/>
        <v>Not Eligible</v>
      </c>
      <c r="N32" s="17" t="str">
        <f>IF(M32="Eligible",IF(K32&lt;Condition!$E$4,0,IF(K32=Condition!$E$4,Condition!$C$4*K32,IF(K32&lt;Condition!$F$4,Condition!$C$4*K32,IF(K32=Condition!$F$4,Condition!$C$5*K32,IF(K32&lt;Condition!$F$5,Condition!$C$5*K32,IF(K32=Condition!$F$5,Condition!$C$6*K32,IF(K32&lt;Condition!$F$6,Condition!$C$6*K32,IF(K32=Condition!$F$6,Condition!$C$7*K32,IF(K32&lt;Condition!$F$7,Condition!$C$7*K32,IF(K32=Condition!$F$7,Condition!$C$8*K32,IF(K32&lt;Condition!$F$8,Condition!$C$8*K32,IF(K32=Condition!$F$8,Condition!$C$9*K32,IF(K32&lt;Condition!$F$9,Condition!$C$9*K32,IF(K32=Condition!$F$9,Condition!$C$10*K32,IF(K32&gt;Condition!$F$10,Condition!$C$10*K32,""))))))))))))))),"")</f>
        <v/>
      </c>
      <c r="O32" s="142" t="str">
        <f>IF(M32="Eligible",IF(K32&lt;Condition!$E$4,0,IF(K32=Condition!$E$4,Condition!$D$4,IF(K32&lt;Condition!$F$4,Condition!$D$4,IF(K32=Condition!$F$4,Condition!$D$5,IF(K32&lt;Condition!$F$5,Condition!$D$5,IF(K32=Condition!$F$5,Condition!$D$6,IF(K32&lt;Condition!$F$6,Condition!$D$6,IF(K32=Condition!$F$6,Condition!$D$7,IF(K32&lt;Condition!$F$7,Condition!$D$7,IF(K32=Condition!$F$7,Condition!$D$8,IF(K32&lt;Condition!$F$8,Condition!$D$8,IF(K32=Condition!$F$8,Condition!$D$9,IF(K32&lt;Condition!$F$9,Condition!$D$9,IF(K32=Condition!$F$9,Condition!$D$10,IF(K32&gt;Condition!$F$10,Condition!$D$10,""))))))))))))))),"")</f>
        <v/>
      </c>
      <c r="P32" s="142" t="str">
        <f t="shared" si="3"/>
        <v/>
      </c>
      <c r="Q32" s="117">
        <f>VLOOKUP(D32,'ASE Ach(Lube Oil Sales)'!$D$5:$F$40,3,0)</f>
        <v>0</v>
      </c>
      <c r="R32" s="17">
        <f>Q32*Condition!$E$27</f>
        <v>0</v>
      </c>
      <c r="S32" s="142">
        <f>VLOOKUP(D32,'ASE Ach (Service)(Input)'!$D$5:$F$34,3,0)</f>
        <v>0</v>
      </c>
      <c r="T32" s="142">
        <f>VLOOKUP(D32,'ASE Ach (Service)(Input)'!$D$5:$G$34,4,0)</f>
        <v>0</v>
      </c>
      <c r="U32" s="142">
        <f>VLOOKUP(D32,'ASE Ach (Service)(Input)'!$D$48:$F$79,3,0)</f>
        <v>0</v>
      </c>
      <c r="V32" s="142">
        <f>VLOOKUP(D32,'ASE Ach (Service)(Input)'!$D$48:$G$79,4,0)</f>
        <v>0</v>
      </c>
      <c r="W32" s="80">
        <f>IF($C$2='ASE Ach (CSA)(Input)'!$F$5,INDEX('ASE Ach (CSA)(Input)'!F:F,MATCH(D32,'ASE Ach (CSA)(Input)'!D:D,0)),IF($C$2='ASE Ach (CSA)(Input)'!$H$5,INDEX('ASE Ach (CSA)(Input)'!H:H,MATCH(D32,'ASE Ach (CSA)(Input)'!D:D,0)),IF($C$2='ASE Ach (CSA)(Input)'!$J$5,INDEX('ASE Ach (CSA)(Input)'!J:J,MATCH(D32,'ASE Ach (CSA)(Input)'!D:D,0)),IF($C$2='ASE Ach (CSA)(Input)'!$L$5,INDEX('ASE Ach (CSA)(Input)'!L:L,MATCH(D32,'ASE Ach (CSA)(Input)'!D:D,0)),IF($C$2='ASE Ach (CSA)(Input)'!$N$5,INDEX('ASE Ach (CSA)(Input)'!N:N,MATCH(D32,'ASE Ach (CSA)(Input)'!D:D,0)),IF($C$2='ASE Ach (CSA)(Input)'!$P$5,INDEX('ASE Ach (CSA)(Input)'!P:P,MATCH(D32,'ASE Ach (CSA)(Input)'!D:D,0)),IF($C$2='ASE Ach (CSA)(Input)'!$R$5,INDEX('ASE Ach (CSA)(Input)'!R:R,MATCH(D32,'ASE Ach (CSA)(Input)'!D:D,0)),IF($C$2='ASE Ach (CSA)(Input)'!$T$5,INDEX('ASE Ach (CSA)(Input)'!T:T,MATCH(D32,'ASE Ach (CSA)(Input)'!D:D,0)),IF($C$2='ASE Ach (CSA)(Input)'!$V$5,INDEX('ASE Ach (CSA)(Input)'!V:V,MATCH(D32,'ASE Ach (CSA)(Input)'!D:D,0)),IF($C$2='ASE Ach (CSA)(Input)'!$X$5,INDEX('ASE Ach (CSA)(Input)'!X:X,MATCH(D32,'ASE Ach (CSA)(Input)'!D:D,0)),IF($C$2='ASE Ach (CSA)(Input)'!$Z$5,INDEX('ASE Ach (CSA)(Input)'!Z:Z,MATCH(D32,'ASE Ach (CSA)(Input)'!D:D,0)),IF($C$2='ASE Ach (CSA)(Input)'!$AB$5,INDEX('ASE Ach (CSA)(Input)'!AB:AB,MATCH(D32,'ASE Ach (CSA)(Input)'!D:D,0)),"N/A"))))))))))))</f>
        <v>0</v>
      </c>
      <c r="X32" s="80">
        <f>IF($C$2='ASE Ach (CSA)(Input)'!$F$5,INDEX('ASE Ach (CSA)(Input)'!G:G,MATCH(D32,'ASE Ach (CSA)(Input)'!D:D,0)),IF($C$2='ASE Ach (CSA)(Input)'!$H$5,INDEX('ASE Ach (CSA)(Input)'!I:I,MATCH(D32,'ASE Ach (CSA)(Input)'!D:D,0)),IF($C$2='ASE Ach (CSA)(Input)'!$J$5,INDEX('ASE Ach (CSA)(Input)'!K:K,MATCH(D32,'ASE Ach (CSA)(Input)'!D:D,0)),IF($C$2='ASE Ach (CSA)(Input)'!$L$5,INDEX('ASE Ach (CSA)(Input)'!M:M,MATCH(D32,'ASE Ach (CSA)(Input)'!D:D,0)),IF($C$2='ASE Ach (CSA)(Input)'!$N$5,INDEX('ASE Ach (CSA)(Input)'!O:O,MATCH(D32,'ASE Ach (CSA)(Input)'!D:D,0)),IF($C$2='ASE Ach (CSA)(Input)'!$P$5,INDEX('ASE Ach (CSA)(Input)'!Q:Q,MATCH(D32,'ASE Ach (CSA)(Input)'!D:D,0)),IF($C$2='ASE Ach (CSA)(Input)'!$R$5,INDEX('ASE Ach (CSA)(Input)'!S:S,MATCH(D32,'ASE Ach (CSA)(Input)'!D:D,0)),IF($C$2='ASE Ach (CSA)(Input)'!$T$5,INDEX('ASE Ach (CSA)(Input)'!U:U,MATCH(D32,'ASE Ach (CSA)(Input)'!D:D,0)),IF($C$2='ASE Ach (CSA)(Input)'!$V$5,INDEX('ASE Ach (CSA)(Input)'!W:W,MATCH(D32,'ASE Ach (CSA)(Input)'!D:D,0)),IF($C$2='ASE Ach (CSA)(Input)'!$X$5,INDEX('ASE Ach (CSA)(Input)'!Y:Y,MATCH(D32,'ASE Ach (CSA)(Input)'!D:D,0)),IF($C$2='ASE Ach (CSA)(Input)'!$Z$5,INDEX('ASE Ach (CSA)(Input)'!AA:AA,MATCH(D32,'ASE Ach (CSA)(Input)'!D:D,0)),IF($C$2='ASE Ach (CSA)(Input)'!$AB$5,INDEX('ASE Ach (CSA)(Input)'!AC:AC,MATCH(D32,'ASE Ach (CSA)(Input)'!D:D,0)),"N/A"))))))))))))</f>
        <v>0</v>
      </c>
      <c r="Y32" s="142">
        <f>W32*Condition!$C$23+'Monthly Summary (No Input)'!X32*Condition!$E$24</f>
        <v>0</v>
      </c>
      <c r="Z32" s="17">
        <f t="shared" si="4"/>
        <v>0</v>
      </c>
    </row>
    <row r="33" spans="2:26" x14ac:dyDescent="0.25">
      <c r="B33" s="15">
        <f>'ASE Target (Spares), FY 21-22'!A31</f>
        <v>20</v>
      </c>
      <c r="C33" s="15" t="str">
        <f>IF('ASE Target (Spares), FY 21-22'!B31=0,"",'ASE Target (Spares), FY 21-22'!B31)</f>
        <v>CTG</v>
      </c>
      <c r="D33" s="16" t="str">
        <f>'ASE Target (Spares), FY 21-22'!C31</f>
        <v>Tapan Barua</v>
      </c>
      <c r="E33" s="15" t="str">
        <f>IF('ASE Target (Spares), FY 21-22'!D31=0,"",'ASE Target (Spares), FY 21-22'!D31)</f>
        <v>1475</v>
      </c>
      <c r="F33" s="17">
        <f>IFERROR(VLOOKUP(E33,'ASE Target (Spares), FY 21-22'!$D$5:$G$260,4,0),"")</f>
        <v>2250000</v>
      </c>
      <c r="G33" s="17">
        <f>IF($C$2='ASE Target vs Ach(Spares)(Inpt)'!$F$5,VLOOKUP(D33,'ASE Target vs Ach(Spares)(Inpt)'!$D$6:$F$37,3,0),IF($C$2='ASE Target vs Ach(Spares)(Inpt)'!$I$5,VLOOKUP(D33,'ASE Target vs Ach(Spares)(Inpt)'!$D$6:$I$37,6,0),IF($C$2='ASE Target vs Ach(Spares)(Inpt)'!$L$5,VLOOKUP(D33,'ASE Target vs Ach(Spares)(Inpt)'!$D$6:$L$37,9,0),IF($C$2='ASE Target vs Ach(Spares)(Inpt)'!$O$5,VLOOKUP(D33,'ASE Target vs Ach(Spares)(Inpt)'!$D$6:$O$37,12,0),IF($C$2='ASE Target vs Ach(Spares)(Inpt)'!$R$5,VLOOKUP(D33,'ASE Target vs Ach(Spares)(Inpt)'!$D$6:$R$37,15,0),IF($C$2='ASE Target vs Ach(Spares)(Inpt)'!$U$5,VLOOKUP(D33,'ASE Target vs Ach(Spares)(Inpt)'!$D$6:$U$37,18,0),IF($C$2='ASE Target vs Ach(Spares)(Inpt)'!$X$5,VLOOKUP(D33,'ASE Target vs Ach(Spares)(Inpt)'!$D$6:$X$37,21,0),IF($C$2='ASE Target vs Ach(Spares)(Inpt)'!$AA$5,VLOOKUP(D33,'ASE Target vs Ach(Spares)(Inpt)'!$D$6:$AA$37,24,0),IF($C$2='ASE Target vs Ach(Spares)(Inpt)'!$AD$5,VLOOKUP(D33,'ASE Target vs Ach(Spares)(Inpt)'!$D$6:$AD$37,27,0),IF($C$2='ASE Target vs Ach(Spares)(Inpt)'!$AG$5,VLOOKUP(D33,'ASE Target vs Ach(Spares)(Inpt)'!$D$6:$AG$37,30,0),IF($C$2='ASE Target vs Ach(Spares)(Inpt)'!$AJ$5,VLOOKUP(D33,'ASE Target vs Ach(Spares)(Inpt)'!$D$6:$AJ$37,33,0),IF($C$2='ASE Target vs Ach(Spares)(Inpt)'!$AM$5,VLOOKUP(D33,'ASE Target vs Ach(Spares)(Inpt)'!$D$6:$AM$37,36,0),"N/A"))))))))))))</f>
        <v>0</v>
      </c>
      <c r="H33" s="17">
        <f>IF($C$2='ASE Target vs Ach(Spares)(Inpt)'!$F$5,VLOOKUP(D33,'ASE Target vs Ach(Spares)(Inpt)'!$D$6:$G$37,4,0),IF($C$2='ASE Target vs Ach(Spares)(Inpt)'!$I$5,VLOOKUP(D33,'ASE Target vs Ach(Spares)(Inpt)'!$D$6:$J$37,7,0),IF($C$2='ASE Target vs Ach(Spares)(Inpt)'!$L$5,VLOOKUP(D33,'ASE Target vs Ach(Spares)(Inpt)'!$D$6:$M$37,10,0),IF($C$2='ASE Target vs Ach(Spares)(Inpt)'!$O$5,VLOOKUP(D33,'ASE Target vs Ach(Spares)(Inpt)'!$D$6:$P$37,13,0),IF($C$2='ASE Target vs Ach(Spares)(Inpt)'!$R$5,VLOOKUP(D33,'ASE Target vs Ach(Spares)(Inpt)'!$D$6:$S$37,16,0),IF($C$2='ASE Target vs Ach(Spares)(Inpt)'!$U$5,VLOOKUP(D33,'ASE Target vs Ach(Spares)(Inpt)'!$D$6:$V$37,19,0),IF($C$2='ASE Target vs Ach(Spares)(Inpt)'!$X$5,VLOOKUP(D33,'ASE Target vs Ach(Spares)(Inpt)'!$D$6:$Y$37,22,0),IF($C$2='ASE Target vs Ach(Spares)(Inpt)'!$AA$5,VLOOKUP(D33,'ASE Target vs Ach(Spares)(Inpt)'!$D$6:$AB$37,25,0),IF($C$2='ASE Target vs Ach(Spares)(Inpt)'!$AD$5,VLOOKUP(D33,'ASE Target vs Ach(Spares)(Inpt)'!$D$6:$AE$37,28,0),IF($C$2='ASE Target vs Ach(Spares)(Inpt)'!$AG$5,VLOOKUP(D33,'ASE Target vs Ach(Spares)(Inpt)'!$D$6:$AH$37,31,0),IF($C$2='ASE Target vs Ach(Spares)(Inpt)'!$AJ$5,VLOOKUP(D33,'ASE Target vs Ach(Spares)(Inpt)'!$D$6:$AK$37,34,0),IF($C$2='ASE Target vs Ach(Spares)(Inpt)'!$AM$5,VLOOKUP(D33,'ASE Target vs Ach(Spares)(Inpt)'!$D$6:$AN$37,37,0),"N/A"))))))))))))</f>
        <v>0</v>
      </c>
      <c r="I33" s="18">
        <f t="shared" si="0"/>
        <v>0</v>
      </c>
      <c r="J33" s="17">
        <f>IF($C$2='ASE Target vs Ach(Spares)(Inpt)'!$F$5,VLOOKUP(D33,'ASE Target vs Ach(Spares)(Inpt)'!$D$42:$F$73,3,0),IF($C$2='ASE Target vs Ach(Spares)(Inpt)'!$I$5,VLOOKUP(D33,'ASE Target vs Ach(Spares)(Inpt)'!$D$42:$I$73,6,0),IF($C$2='ASE Target vs Ach(Spares)(Inpt)'!$L$5,VLOOKUP(D33,'ASE Target vs Ach(Spares)(Inpt)'!$D$42:$L$73,9,0),IF($C$2='ASE Target vs Ach(Spares)(Inpt)'!$O$5,VLOOKUP(D33,'ASE Target vs Ach(Spares)(Inpt)'!$D$42:$O$73,12,0),IF($C$2='ASE Target vs Ach(Spares)(Inpt)'!$R$5,VLOOKUP(D33,'ASE Target vs Ach(Spares)(Inpt)'!$D$42:$R$73,15,0),IF($C$2='ASE Target vs Ach(Spares)(Inpt)'!$U$5,VLOOKUP(D33,'ASE Target vs Ach(Spares)(Inpt)'!$D$42:$U$73,18,0),IF($C$2='ASE Target vs Ach(Spares)(Inpt)'!$X$5,VLOOKUP(D33,'ASE Target vs Ach(Spares)(Inpt)'!$D$42:$X$73,21,0),IF($C$2='ASE Target vs Ach(Spares)(Inpt)'!$AA$5,VLOOKUP(D33,'ASE Target vs Ach(Spares)(Inpt)'!$D$42:$AA$73,24,0),IF($C$2='ASE Target vs Ach(Spares)(Inpt)'!$AD$5,VLOOKUP(D33,'ASE Target vs Ach(Spares)(Inpt)'!$D$42:$AD$73,27,0),IF($C$2='ASE Target vs Ach(Spares)(Inpt)'!$AG$5,VLOOKUP(D33,'ASE Target vs Ach(Spares)(Inpt)'!$D$42:$AG$73,30,0),IF($C$2='ASE Target vs Ach(Spares)(Inpt)'!$AJ$5,VLOOKUP(D33,'ASE Target vs Ach(Spares)(Inpt)'!$D$42:$AJ$73,33,0),IF($C$2='ASE Target vs Ach(Spares)(Inpt)'!$AM$5,VLOOKUP(D33,'ASE Target vs Ach(Spares)(Inpt)'!$D$42:$AM$73,36,0),"N/A"))))))))))))</f>
        <v>0</v>
      </c>
      <c r="K33" s="17">
        <f>IF($C$2='ASE Target vs Ach(Spares)(Inpt)'!$F$5,VLOOKUP(D33,'ASE Target vs Ach(Spares)(Inpt)'!$D$42:$G$73,4,0),IF($C$2='ASE Target vs Ach(Spares)(Inpt)'!$I$5,VLOOKUP(D33,'ASE Target vs Ach(Spares)(Inpt)'!$D$42:$J$73,7,0),IF($C$2='ASE Target vs Ach(Spares)(Inpt)'!$L$5,VLOOKUP(D33,'ASE Target vs Ach(Spares)(Inpt)'!$D$42:$M$73,10,0),IF($C$2='ASE Target vs Ach(Spares)(Inpt)'!$O$5,VLOOKUP(D33,'ASE Target vs Ach(Spares)(Inpt)'!$D$42:$P$73,13,0),IF($C$2='ASE Target vs Ach(Spares)(Inpt)'!$R$5,VLOOKUP(D33,'ASE Target vs Ach(Spares)(Inpt)'!$D$42:$S$73,16,0),IF($C$2='ASE Target vs Ach(Spares)(Inpt)'!$U$5,VLOOKUP(D33,'ASE Target vs Ach(Spares)(Inpt)'!$D$42:$V$73,19,0),IF($C$2='ASE Target vs Ach(Spares)(Inpt)'!$X$5,VLOOKUP(D33,'ASE Target vs Ach(Spares)(Inpt)'!$D$42:$Y$73,22,0),IF($C$2='ASE Target vs Ach(Spares)(Inpt)'!$AA$5,VLOOKUP(D33,'ASE Target vs Ach(Spares)(Inpt)'!$D$42:$AB$73,25,0),IF($C$2='ASE Target vs Ach(Spares)(Inpt)'!$AD$5,VLOOKUP(D33,'ASE Target vs Ach(Spares)(Inpt)'!$D$42:$AE$73,28,0),IF($C$2='ASE Target vs Ach(Spares)(Inpt)'!$AG$5,VLOOKUP(D33,'ASE Target vs Ach(Spares)(Inpt)'!$D$42:$AH$73,31,0),IF($C$2='ASE Target vs Ach(Spares)(Inpt)'!$AJ$5,VLOOKUP(D33,'ASE Target vs Ach(Spares)(Inpt)'!$D$42:$AK$73,34,0),IF($C$2='ASE Target vs Ach(Spares)(Inpt)'!$AM$5,VLOOKUP(D33,'ASE Target vs Ach(Spares)(Inpt)'!$D$42:$AN$73,37,0),"N/A"))))))))))))</f>
        <v>0</v>
      </c>
      <c r="L33" s="18">
        <f t="shared" si="1"/>
        <v>0</v>
      </c>
      <c r="M33" s="19" t="str">
        <f t="shared" si="2"/>
        <v>Not Eligible</v>
      </c>
      <c r="N33" s="17" t="str">
        <f>IF(M33="Eligible",IF(K33&lt;Condition!$E$4,0,IF(K33=Condition!$E$4,Condition!$C$4*K33,IF(K33&lt;Condition!$F$4,Condition!$C$4*K33,IF(K33=Condition!$F$4,Condition!$C$5*K33,IF(K33&lt;Condition!$F$5,Condition!$C$5*K33,IF(K33=Condition!$F$5,Condition!$C$6*K33,IF(K33&lt;Condition!$F$6,Condition!$C$6*K33,IF(K33=Condition!$F$6,Condition!$C$7*K33,IF(K33&lt;Condition!$F$7,Condition!$C$7*K33,IF(K33=Condition!$F$7,Condition!$C$8*K33,IF(K33&lt;Condition!$F$8,Condition!$C$8*K33,IF(K33=Condition!$F$8,Condition!$C$9*K33,IF(K33&lt;Condition!$F$9,Condition!$C$9*K33,IF(K33=Condition!$F$9,Condition!$C$10*K33,IF(K33&gt;Condition!$F$10,Condition!$C$10*K33,""))))))))))))))),"")</f>
        <v/>
      </c>
      <c r="O33" s="142" t="str">
        <f>IF(M33="Eligible",IF(K33&lt;Condition!$E$4,0,IF(K33=Condition!$E$4,Condition!$D$4,IF(K33&lt;Condition!$F$4,Condition!$D$4,IF(K33=Condition!$F$4,Condition!$D$5,IF(K33&lt;Condition!$F$5,Condition!$D$5,IF(K33=Condition!$F$5,Condition!$D$6,IF(K33&lt;Condition!$F$6,Condition!$D$6,IF(K33=Condition!$F$6,Condition!$D$7,IF(K33&lt;Condition!$F$7,Condition!$D$7,IF(K33=Condition!$F$7,Condition!$D$8,IF(K33&lt;Condition!$F$8,Condition!$D$8,IF(K33=Condition!$F$8,Condition!$D$9,IF(K33&lt;Condition!$F$9,Condition!$D$9,IF(K33=Condition!$F$9,Condition!$D$10,IF(K33&gt;Condition!$F$10,Condition!$D$10,""))))))))))))))),"")</f>
        <v/>
      </c>
      <c r="P33" s="142" t="str">
        <f t="shared" si="3"/>
        <v/>
      </c>
      <c r="Q33" s="117">
        <f>VLOOKUP(D33,'ASE Ach(Lube Oil Sales)'!$D$5:$F$40,3,0)</f>
        <v>0</v>
      </c>
      <c r="R33" s="17">
        <f>Q33*Condition!$E$27</f>
        <v>0</v>
      </c>
      <c r="S33" s="142">
        <f>VLOOKUP(D33,'ASE Ach (Service)(Input)'!$D$5:$F$34,3,0)</f>
        <v>0</v>
      </c>
      <c r="T33" s="142">
        <f>VLOOKUP(D33,'ASE Ach (Service)(Input)'!$D$5:$G$34,4,0)</f>
        <v>0</v>
      </c>
      <c r="U33" s="142">
        <f>VLOOKUP(D33,'ASE Ach (Service)(Input)'!$D$48:$F$79,3,0)</f>
        <v>0</v>
      </c>
      <c r="V33" s="142">
        <f>VLOOKUP(D33,'ASE Ach (Service)(Input)'!$D$48:$G$79,4,0)</f>
        <v>0</v>
      </c>
      <c r="W33" s="80">
        <f>IF($C$2='ASE Ach (CSA)(Input)'!$F$5,INDEX('ASE Ach (CSA)(Input)'!F:F,MATCH(D33,'ASE Ach (CSA)(Input)'!D:D,0)),IF($C$2='ASE Ach (CSA)(Input)'!$H$5,INDEX('ASE Ach (CSA)(Input)'!H:H,MATCH(D33,'ASE Ach (CSA)(Input)'!D:D,0)),IF($C$2='ASE Ach (CSA)(Input)'!$J$5,INDEX('ASE Ach (CSA)(Input)'!J:J,MATCH(D33,'ASE Ach (CSA)(Input)'!D:D,0)),IF($C$2='ASE Ach (CSA)(Input)'!$L$5,INDEX('ASE Ach (CSA)(Input)'!L:L,MATCH(D33,'ASE Ach (CSA)(Input)'!D:D,0)),IF($C$2='ASE Ach (CSA)(Input)'!$N$5,INDEX('ASE Ach (CSA)(Input)'!N:N,MATCH(D33,'ASE Ach (CSA)(Input)'!D:D,0)),IF($C$2='ASE Ach (CSA)(Input)'!$P$5,INDEX('ASE Ach (CSA)(Input)'!P:P,MATCH(D33,'ASE Ach (CSA)(Input)'!D:D,0)),IF($C$2='ASE Ach (CSA)(Input)'!$R$5,INDEX('ASE Ach (CSA)(Input)'!R:R,MATCH(D33,'ASE Ach (CSA)(Input)'!D:D,0)),IF($C$2='ASE Ach (CSA)(Input)'!$T$5,INDEX('ASE Ach (CSA)(Input)'!T:T,MATCH(D33,'ASE Ach (CSA)(Input)'!D:D,0)),IF($C$2='ASE Ach (CSA)(Input)'!$V$5,INDEX('ASE Ach (CSA)(Input)'!V:V,MATCH(D33,'ASE Ach (CSA)(Input)'!D:D,0)),IF($C$2='ASE Ach (CSA)(Input)'!$X$5,INDEX('ASE Ach (CSA)(Input)'!X:X,MATCH(D33,'ASE Ach (CSA)(Input)'!D:D,0)),IF($C$2='ASE Ach (CSA)(Input)'!$Z$5,INDEX('ASE Ach (CSA)(Input)'!Z:Z,MATCH(D33,'ASE Ach (CSA)(Input)'!D:D,0)),IF($C$2='ASE Ach (CSA)(Input)'!$AB$5,INDEX('ASE Ach (CSA)(Input)'!AB:AB,MATCH(D33,'ASE Ach (CSA)(Input)'!D:D,0)),"N/A"))))))))))))</f>
        <v>0</v>
      </c>
      <c r="X33" s="80">
        <f>IF($C$2='ASE Ach (CSA)(Input)'!$F$5,INDEX('ASE Ach (CSA)(Input)'!G:G,MATCH(D33,'ASE Ach (CSA)(Input)'!D:D,0)),IF($C$2='ASE Ach (CSA)(Input)'!$H$5,INDEX('ASE Ach (CSA)(Input)'!I:I,MATCH(D33,'ASE Ach (CSA)(Input)'!D:D,0)),IF($C$2='ASE Ach (CSA)(Input)'!$J$5,INDEX('ASE Ach (CSA)(Input)'!K:K,MATCH(D33,'ASE Ach (CSA)(Input)'!D:D,0)),IF($C$2='ASE Ach (CSA)(Input)'!$L$5,INDEX('ASE Ach (CSA)(Input)'!M:M,MATCH(D33,'ASE Ach (CSA)(Input)'!D:D,0)),IF($C$2='ASE Ach (CSA)(Input)'!$N$5,INDEX('ASE Ach (CSA)(Input)'!O:O,MATCH(D33,'ASE Ach (CSA)(Input)'!D:D,0)),IF($C$2='ASE Ach (CSA)(Input)'!$P$5,INDEX('ASE Ach (CSA)(Input)'!Q:Q,MATCH(D33,'ASE Ach (CSA)(Input)'!D:D,0)),IF($C$2='ASE Ach (CSA)(Input)'!$R$5,INDEX('ASE Ach (CSA)(Input)'!S:S,MATCH(D33,'ASE Ach (CSA)(Input)'!D:D,0)),IF($C$2='ASE Ach (CSA)(Input)'!$T$5,INDEX('ASE Ach (CSA)(Input)'!U:U,MATCH(D33,'ASE Ach (CSA)(Input)'!D:D,0)),IF($C$2='ASE Ach (CSA)(Input)'!$V$5,INDEX('ASE Ach (CSA)(Input)'!W:W,MATCH(D33,'ASE Ach (CSA)(Input)'!D:D,0)),IF($C$2='ASE Ach (CSA)(Input)'!$X$5,INDEX('ASE Ach (CSA)(Input)'!Y:Y,MATCH(D33,'ASE Ach (CSA)(Input)'!D:D,0)),IF($C$2='ASE Ach (CSA)(Input)'!$Z$5,INDEX('ASE Ach (CSA)(Input)'!AA:AA,MATCH(D33,'ASE Ach (CSA)(Input)'!D:D,0)),IF($C$2='ASE Ach (CSA)(Input)'!$AB$5,INDEX('ASE Ach (CSA)(Input)'!AC:AC,MATCH(D33,'ASE Ach (CSA)(Input)'!D:D,0)),"N/A"))))))))))))</f>
        <v>0</v>
      </c>
      <c r="Y33" s="142">
        <f>W33*Condition!$C$23+'Monthly Summary (No Input)'!X33*Condition!$E$24</f>
        <v>0</v>
      </c>
      <c r="Z33" s="17">
        <f t="shared" si="4"/>
        <v>0</v>
      </c>
    </row>
    <row r="34" spans="2:26" x14ac:dyDescent="0.25">
      <c r="B34" s="15">
        <f>'ASE Target (Spares), FY 21-22'!A32</f>
        <v>21</v>
      </c>
      <c r="C34" s="15" t="str">
        <f>IF('ASE Target (Spares), FY 21-22'!B32=0,"",'ASE Target (Spares), FY 21-22'!B32)</f>
        <v>CTG</v>
      </c>
      <c r="D34" s="16" t="str">
        <f>'ASE Target (Spares), FY 21-22'!C32</f>
        <v>Sozol prince</v>
      </c>
      <c r="E34" s="15" t="str">
        <f>IF('ASE Target (Spares), FY 21-22'!D32=0,"",'ASE Target (Spares), FY 21-22'!D32)</f>
        <v>6076</v>
      </c>
      <c r="F34" s="17">
        <f>IFERROR(VLOOKUP(E34,'ASE Target (Spares), FY 21-22'!$D$5:$G$260,4,0),"")</f>
        <v>2250000</v>
      </c>
      <c r="G34" s="17">
        <f>IF($C$2='ASE Target vs Ach(Spares)(Inpt)'!$F$5,VLOOKUP(D34,'ASE Target vs Ach(Spares)(Inpt)'!$D$6:$F$37,3,0),IF($C$2='ASE Target vs Ach(Spares)(Inpt)'!$I$5,VLOOKUP(D34,'ASE Target vs Ach(Spares)(Inpt)'!$D$6:$I$37,6,0),IF($C$2='ASE Target vs Ach(Spares)(Inpt)'!$L$5,VLOOKUP(D34,'ASE Target vs Ach(Spares)(Inpt)'!$D$6:$L$37,9,0),IF($C$2='ASE Target vs Ach(Spares)(Inpt)'!$O$5,VLOOKUP(D34,'ASE Target vs Ach(Spares)(Inpt)'!$D$6:$O$37,12,0),IF($C$2='ASE Target vs Ach(Spares)(Inpt)'!$R$5,VLOOKUP(D34,'ASE Target vs Ach(Spares)(Inpt)'!$D$6:$R$37,15,0),IF($C$2='ASE Target vs Ach(Spares)(Inpt)'!$U$5,VLOOKUP(D34,'ASE Target vs Ach(Spares)(Inpt)'!$D$6:$U$37,18,0),IF($C$2='ASE Target vs Ach(Spares)(Inpt)'!$X$5,VLOOKUP(D34,'ASE Target vs Ach(Spares)(Inpt)'!$D$6:$X$37,21,0),IF($C$2='ASE Target vs Ach(Spares)(Inpt)'!$AA$5,VLOOKUP(D34,'ASE Target vs Ach(Spares)(Inpt)'!$D$6:$AA$37,24,0),IF($C$2='ASE Target vs Ach(Spares)(Inpt)'!$AD$5,VLOOKUP(D34,'ASE Target vs Ach(Spares)(Inpt)'!$D$6:$AD$37,27,0),IF($C$2='ASE Target vs Ach(Spares)(Inpt)'!$AG$5,VLOOKUP(D34,'ASE Target vs Ach(Spares)(Inpt)'!$D$6:$AG$37,30,0),IF($C$2='ASE Target vs Ach(Spares)(Inpt)'!$AJ$5,VLOOKUP(D34,'ASE Target vs Ach(Spares)(Inpt)'!$D$6:$AJ$37,33,0),IF($C$2='ASE Target vs Ach(Spares)(Inpt)'!$AM$5,VLOOKUP(D34,'ASE Target vs Ach(Spares)(Inpt)'!$D$6:$AM$37,36,0),"N/A"))))))))))))</f>
        <v>0</v>
      </c>
      <c r="H34" s="17">
        <f>IF($C$2='ASE Target vs Ach(Spares)(Inpt)'!$F$5,VLOOKUP(D34,'ASE Target vs Ach(Spares)(Inpt)'!$D$6:$G$37,4,0),IF($C$2='ASE Target vs Ach(Spares)(Inpt)'!$I$5,VLOOKUP(D34,'ASE Target vs Ach(Spares)(Inpt)'!$D$6:$J$37,7,0),IF($C$2='ASE Target vs Ach(Spares)(Inpt)'!$L$5,VLOOKUP(D34,'ASE Target vs Ach(Spares)(Inpt)'!$D$6:$M$37,10,0),IF($C$2='ASE Target vs Ach(Spares)(Inpt)'!$O$5,VLOOKUP(D34,'ASE Target vs Ach(Spares)(Inpt)'!$D$6:$P$37,13,0),IF($C$2='ASE Target vs Ach(Spares)(Inpt)'!$R$5,VLOOKUP(D34,'ASE Target vs Ach(Spares)(Inpt)'!$D$6:$S$37,16,0),IF($C$2='ASE Target vs Ach(Spares)(Inpt)'!$U$5,VLOOKUP(D34,'ASE Target vs Ach(Spares)(Inpt)'!$D$6:$V$37,19,0),IF($C$2='ASE Target vs Ach(Spares)(Inpt)'!$X$5,VLOOKUP(D34,'ASE Target vs Ach(Spares)(Inpt)'!$D$6:$Y$37,22,0),IF($C$2='ASE Target vs Ach(Spares)(Inpt)'!$AA$5,VLOOKUP(D34,'ASE Target vs Ach(Spares)(Inpt)'!$D$6:$AB$37,25,0),IF($C$2='ASE Target vs Ach(Spares)(Inpt)'!$AD$5,VLOOKUP(D34,'ASE Target vs Ach(Spares)(Inpt)'!$D$6:$AE$37,28,0),IF($C$2='ASE Target vs Ach(Spares)(Inpt)'!$AG$5,VLOOKUP(D34,'ASE Target vs Ach(Spares)(Inpt)'!$D$6:$AH$37,31,0),IF($C$2='ASE Target vs Ach(Spares)(Inpt)'!$AJ$5,VLOOKUP(D34,'ASE Target vs Ach(Spares)(Inpt)'!$D$6:$AK$37,34,0),IF($C$2='ASE Target vs Ach(Spares)(Inpt)'!$AM$5,VLOOKUP(D34,'ASE Target vs Ach(Spares)(Inpt)'!$D$6:$AN$37,37,0),"N/A"))))))))))))</f>
        <v>0</v>
      </c>
      <c r="I34" s="18">
        <f t="shared" si="0"/>
        <v>0</v>
      </c>
      <c r="J34" s="17">
        <f>IF($C$2='ASE Target vs Ach(Spares)(Inpt)'!$F$5,VLOOKUP(D34,'ASE Target vs Ach(Spares)(Inpt)'!$D$42:$F$73,3,0),IF($C$2='ASE Target vs Ach(Spares)(Inpt)'!$I$5,VLOOKUP(D34,'ASE Target vs Ach(Spares)(Inpt)'!$D$42:$I$73,6,0),IF($C$2='ASE Target vs Ach(Spares)(Inpt)'!$L$5,VLOOKUP(D34,'ASE Target vs Ach(Spares)(Inpt)'!$D$42:$L$73,9,0),IF($C$2='ASE Target vs Ach(Spares)(Inpt)'!$O$5,VLOOKUP(D34,'ASE Target vs Ach(Spares)(Inpt)'!$D$42:$O$73,12,0),IF($C$2='ASE Target vs Ach(Spares)(Inpt)'!$R$5,VLOOKUP(D34,'ASE Target vs Ach(Spares)(Inpt)'!$D$42:$R$73,15,0),IF($C$2='ASE Target vs Ach(Spares)(Inpt)'!$U$5,VLOOKUP(D34,'ASE Target vs Ach(Spares)(Inpt)'!$D$42:$U$73,18,0),IF($C$2='ASE Target vs Ach(Spares)(Inpt)'!$X$5,VLOOKUP(D34,'ASE Target vs Ach(Spares)(Inpt)'!$D$42:$X$73,21,0),IF($C$2='ASE Target vs Ach(Spares)(Inpt)'!$AA$5,VLOOKUP(D34,'ASE Target vs Ach(Spares)(Inpt)'!$D$42:$AA$73,24,0),IF($C$2='ASE Target vs Ach(Spares)(Inpt)'!$AD$5,VLOOKUP(D34,'ASE Target vs Ach(Spares)(Inpt)'!$D$42:$AD$73,27,0),IF($C$2='ASE Target vs Ach(Spares)(Inpt)'!$AG$5,VLOOKUP(D34,'ASE Target vs Ach(Spares)(Inpt)'!$D$42:$AG$73,30,0),IF($C$2='ASE Target vs Ach(Spares)(Inpt)'!$AJ$5,VLOOKUP(D34,'ASE Target vs Ach(Spares)(Inpt)'!$D$42:$AJ$73,33,0),IF($C$2='ASE Target vs Ach(Spares)(Inpt)'!$AM$5,VLOOKUP(D34,'ASE Target vs Ach(Spares)(Inpt)'!$D$42:$AM$73,36,0),"N/A"))))))))))))</f>
        <v>0</v>
      </c>
      <c r="K34" s="17">
        <f>IF($C$2='ASE Target vs Ach(Spares)(Inpt)'!$F$5,VLOOKUP(D34,'ASE Target vs Ach(Spares)(Inpt)'!$D$42:$G$73,4,0),IF($C$2='ASE Target vs Ach(Spares)(Inpt)'!$I$5,VLOOKUP(D34,'ASE Target vs Ach(Spares)(Inpt)'!$D$42:$J$73,7,0),IF($C$2='ASE Target vs Ach(Spares)(Inpt)'!$L$5,VLOOKUP(D34,'ASE Target vs Ach(Spares)(Inpt)'!$D$42:$M$73,10,0),IF($C$2='ASE Target vs Ach(Spares)(Inpt)'!$O$5,VLOOKUP(D34,'ASE Target vs Ach(Spares)(Inpt)'!$D$42:$P$73,13,0),IF($C$2='ASE Target vs Ach(Spares)(Inpt)'!$R$5,VLOOKUP(D34,'ASE Target vs Ach(Spares)(Inpt)'!$D$42:$S$73,16,0),IF($C$2='ASE Target vs Ach(Spares)(Inpt)'!$U$5,VLOOKUP(D34,'ASE Target vs Ach(Spares)(Inpt)'!$D$42:$V$73,19,0),IF($C$2='ASE Target vs Ach(Spares)(Inpt)'!$X$5,VLOOKUP(D34,'ASE Target vs Ach(Spares)(Inpt)'!$D$42:$Y$73,22,0),IF($C$2='ASE Target vs Ach(Spares)(Inpt)'!$AA$5,VLOOKUP(D34,'ASE Target vs Ach(Spares)(Inpt)'!$D$42:$AB$73,25,0),IF($C$2='ASE Target vs Ach(Spares)(Inpt)'!$AD$5,VLOOKUP(D34,'ASE Target vs Ach(Spares)(Inpt)'!$D$42:$AE$73,28,0),IF($C$2='ASE Target vs Ach(Spares)(Inpt)'!$AG$5,VLOOKUP(D34,'ASE Target vs Ach(Spares)(Inpt)'!$D$42:$AH$73,31,0),IF($C$2='ASE Target vs Ach(Spares)(Inpt)'!$AJ$5,VLOOKUP(D34,'ASE Target vs Ach(Spares)(Inpt)'!$D$42:$AK$73,34,0),IF($C$2='ASE Target vs Ach(Spares)(Inpt)'!$AM$5,VLOOKUP(D34,'ASE Target vs Ach(Spares)(Inpt)'!$D$42:$AN$73,37,0),"N/A"))))))))))))</f>
        <v>0</v>
      </c>
      <c r="L34" s="18">
        <f t="shared" si="1"/>
        <v>0</v>
      </c>
      <c r="M34" s="19" t="str">
        <f t="shared" si="2"/>
        <v>Not Eligible</v>
      </c>
      <c r="N34" s="17" t="str">
        <f>IF(M34="Eligible",IF(K34&lt;Condition!$E$4,0,IF(K34=Condition!$E$4,Condition!$C$4*K34,IF(K34&lt;Condition!$F$4,Condition!$C$4*K34,IF(K34=Condition!$F$4,Condition!$C$5*K34,IF(K34&lt;Condition!$F$5,Condition!$C$5*K34,IF(K34=Condition!$F$5,Condition!$C$6*K34,IF(K34&lt;Condition!$F$6,Condition!$C$6*K34,IF(K34=Condition!$F$6,Condition!$C$7*K34,IF(K34&lt;Condition!$F$7,Condition!$C$7*K34,IF(K34=Condition!$F$7,Condition!$C$8*K34,IF(K34&lt;Condition!$F$8,Condition!$C$8*K34,IF(K34=Condition!$F$8,Condition!$C$9*K34,IF(K34&lt;Condition!$F$9,Condition!$C$9*K34,IF(K34=Condition!$F$9,Condition!$C$10*K34,IF(K34&gt;Condition!$F$10,Condition!$C$10*K34,""))))))))))))))),"")</f>
        <v/>
      </c>
      <c r="O34" s="142" t="str">
        <f>IF(M34="Eligible",IF(K34&lt;Condition!$E$4,0,IF(K34=Condition!$E$4,Condition!$D$4,IF(K34&lt;Condition!$F$4,Condition!$D$4,IF(K34=Condition!$F$4,Condition!$D$5,IF(K34&lt;Condition!$F$5,Condition!$D$5,IF(K34=Condition!$F$5,Condition!$D$6,IF(K34&lt;Condition!$F$6,Condition!$D$6,IF(K34=Condition!$F$6,Condition!$D$7,IF(K34&lt;Condition!$F$7,Condition!$D$7,IF(K34=Condition!$F$7,Condition!$D$8,IF(K34&lt;Condition!$F$8,Condition!$D$8,IF(K34=Condition!$F$8,Condition!$D$9,IF(K34&lt;Condition!$F$9,Condition!$D$9,IF(K34=Condition!$F$9,Condition!$D$10,IF(K34&gt;Condition!$F$10,Condition!$D$10,""))))))))))))))),"")</f>
        <v/>
      </c>
      <c r="P34" s="142" t="str">
        <f t="shared" si="3"/>
        <v/>
      </c>
      <c r="Q34" s="117">
        <f>VLOOKUP(D34,'ASE Ach(Lube Oil Sales)'!$D$5:$F$40,3,0)</f>
        <v>0</v>
      </c>
      <c r="R34" s="17">
        <f>Q34*Condition!$E$27</f>
        <v>0</v>
      </c>
      <c r="S34" s="142">
        <f>VLOOKUP(D34,'ASE Ach (Service)(Input)'!$D$5:$F$34,3,0)</f>
        <v>0</v>
      </c>
      <c r="T34" s="142">
        <f>VLOOKUP(D34,'ASE Ach (Service)(Input)'!$D$5:$G$34,4,0)</f>
        <v>0</v>
      </c>
      <c r="U34" s="142">
        <f>VLOOKUP(D34,'ASE Ach (Service)(Input)'!$D$48:$F$79,3,0)</f>
        <v>0</v>
      </c>
      <c r="V34" s="142">
        <f>VLOOKUP(D34,'ASE Ach (Service)(Input)'!$D$48:$G$79,4,0)</f>
        <v>0</v>
      </c>
      <c r="W34" s="80">
        <f>IF($C$2='ASE Ach (CSA)(Input)'!$F$5,INDEX('ASE Ach (CSA)(Input)'!F:F,MATCH(D34,'ASE Ach (CSA)(Input)'!D:D,0)),IF($C$2='ASE Ach (CSA)(Input)'!$H$5,INDEX('ASE Ach (CSA)(Input)'!H:H,MATCH(D34,'ASE Ach (CSA)(Input)'!D:D,0)),IF($C$2='ASE Ach (CSA)(Input)'!$J$5,INDEX('ASE Ach (CSA)(Input)'!J:J,MATCH(D34,'ASE Ach (CSA)(Input)'!D:D,0)),IF($C$2='ASE Ach (CSA)(Input)'!$L$5,INDEX('ASE Ach (CSA)(Input)'!L:L,MATCH(D34,'ASE Ach (CSA)(Input)'!D:D,0)),IF($C$2='ASE Ach (CSA)(Input)'!$N$5,INDEX('ASE Ach (CSA)(Input)'!N:N,MATCH(D34,'ASE Ach (CSA)(Input)'!D:D,0)),IF($C$2='ASE Ach (CSA)(Input)'!$P$5,INDEX('ASE Ach (CSA)(Input)'!P:P,MATCH(D34,'ASE Ach (CSA)(Input)'!D:D,0)),IF($C$2='ASE Ach (CSA)(Input)'!$R$5,INDEX('ASE Ach (CSA)(Input)'!R:R,MATCH(D34,'ASE Ach (CSA)(Input)'!D:D,0)),IF($C$2='ASE Ach (CSA)(Input)'!$T$5,INDEX('ASE Ach (CSA)(Input)'!T:T,MATCH(D34,'ASE Ach (CSA)(Input)'!D:D,0)),IF($C$2='ASE Ach (CSA)(Input)'!$V$5,INDEX('ASE Ach (CSA)(Input)'!V:V,MATCH(D34,'ASE Ach (CSA)(Input)'!D:D,0)),IF($C$2='ASE Ach (CSA)(Input)'!$X$5,INDEX('ASE Ach (CSA)(Input)'!X:X,MATCH(D34,'ASE Ach (CSA)(Input)'!D:D,0)),IF($C$2='ASE Ach (CSA)(Input)'!$Z$5,INDEX('ASE Ach (CSA)(Input)'!Z:Z,MATCH(D34,'ASE Ach (CSA)(Input)'!D:D,0)),IF($C$2='ASE Ach (CSA)(Input)'!$AB$5,INDEX('ASE Ach (CSA)(Input)'!AB:AB,MATCH(D34,'ASE Ach (CSA)(Input)'!D:D,0)),"N/A"))))))))))))</f>
        <v>0</v>
      </c>
      <c r="X34" s="80">
        <f>IF($C$2='ASE Ach (CSA)(Input)'!$F$5,INDEX('ASE Ach (CSA)(Input)'!G:G,MATCH(D34,'ASE Ach (CSA)(Input)'!D:D,0)),IF($C$2='ASE Ach (CSA)(Input)'!$H$5,INDEX('ASE Ach (CSA)(Input)'!I:I,MATCH(D34,'ASE Ach (CSA)(Input)'!D:D,0)),IF($C$2='ASE Ach (CSA)(Input)'!$J$5,INDEX('ASE Ach (CSA)(Input)'!K:K,MATCH(D34,'ASE Ach (CSA)(Input)'!D:D,0)),IF($C$2='ASE Ach (CSA)(Input)'!$L$5,INDEX('ASE Ach (CSA)(Input)'!M:M,MATCH(D34,'ASE Ach (CSA)(Input)'!D:D,0)),IF($C$2='ASE Ach (CSA)(Input)'!$N$5,INDEX('ASE Ach (CSA)(Input)'!O:O,MATCH(D34,'ASE Ach (CSA)(Input)'!D:D,0)),IF($C$2='ASE Ach (CSA)(Input)'!$P$5,INDEX('ASE Ach (CSA)(Input)'!Q:Q,MATCH(D34,'ASE Ach (CSA)(Input)'!D:D,0)),IF($C$2='ASE Ach (CSA)(Input)'!$R$5,INDEX('ASE Ach (CSA)(Input)'!S:S,MATCH(D34,'ASE Ach (CSA)(Input)'!D:D,0)),IF($C$2='ASE Ach (CSA)(Input)'!$T$5,INDEX('ASE Ach (CSA)(Input)'!U:U,MATCH(D34,'ASE Ach (CSA)(Input)'!D:D,0)),IF($C$2='ASE Ach (CSA)(Input)'!$V$5,INDEX('ASE Ach (CSA)(Input)'!W:W,MATCH(D34,'ASE Ach (CSA)(Input)'!D:D,0)),IF($C$2='ASE Ach (CSA)(Input)'!$X$5,INDEX('ASE Ach (CSA)(Input)'!Y:Y,MATCH(D34,'ASE Ach (CSA)(Input)'!D:D,0)),IF($C$2='ASE Ach (CSA)(Input)'!$Z$5,INDEX('ASE Ach (CSA)(Input)'!AA:AA,MATCH(D34,'ASE Ach (CSA)(Input)'!D:D,0)),IF($C$2='ASE Ach (CSA)(Input)'!$AB$5,INDEX('ASE Ach (CSA)(Input)'!AC:AC,MATCH(D34,'ASE Ach (CSA)(Input)'!D:D,0)),"N/A"))))))))))))</f>
        <v>0</v>
      </c>
      <c r="Y34" s="142">
        <f>W34*Condition!$C$23+'Monthly Summary (No Input)'!X34*Condition!$E$24</f>
        <v>0</v>
      </c>
      <c r="Z34" s="17">
        <f t="shared" si="4"/>
        <v>0</v>
      </c>
    </row>
    <row r="35" spans="2:26" x14ac:dyDescent="0.25">
      <c r="B35" s="15">
        <f>'ASE Target (Spares), FY 21-22'!A33</f>
        <v>16</v>
      </c>
      <c r="C35" s="15" t="str">
        <f>IF('ASE Target (Spares), FY 21-22'!B33=0,"",'ASE Target (Spares), FY 21-22'!B33)</f>
        <v/>
      </c>
      <c r="D35" s="16" t="str">
        <f>'ASE Target (Spares), FY 21-22'!C33</f>
        <v>New-5</v>
      </c>
      <c r="E35" s="15" t="str">
        <f>IF('ASE Target (Spares), FY 21-22'!D33=0,"",'ASE Target (Spares), FY 21-22'!D33)</f>
        <v/>
      </c>
      <c r="F35" s="17">
        <f>IFERROR(VLOOKUP(E35,'ASE Target (Spares), FY 21-22'!$D$5:$G$260,4,0),"")</f>
        <v>0</v>
      </c>
      <c r="G35" s="17">
        <f>IF($C$2='ASE Target vs Ach(Spares)(Inpt)'!$F$5,VLOOKUP(D35,'ASE Target vs Ach(Spares)(Inpt)'!$D$6:$F$37,3,0),IF($C$2='ASE Target vs Ach(Spares)(Inpt)'!$I$5,VLOOKUP(D35,'ASE Target vs Ach(Spares)(Inpt)'!$D$6:$I$37,6,0),IF($C$2='ASE Target vs Ach(Spares)(Inpt)'!$L$5,VLOOKUP(D35,'ASE Target vs Ach(Spares)(Inpt)'!$D$6:$L$37,9,0),IF($C$2='ASE Target vs Ach(Spares)(Inpt)'!$O$5,VLOOKUP(D35,'ASE Target vs Ach(Spares)(Inpt)'!$D$6:$O$37,12,0),IF($C$2='ASE Target vs Ach(Spares)(Inpt)'!$R$5,VLOOKUP(D35,'ASE Target vs Ach(Spares)(Inpt)'!$D$6:$R$37,15,0),IF($C$2='ASE Target vs Ach(Spares)(Inpt)'!$U$5,VLOOKUP(D35,'ASE Target vs Ach(Spares)(Inpt)'!$D$6:$U$37,18,0),IF($C$2='ASE Target vs Ach(Spares)(Inpt)'!$X$5,VLOOKUP(D35,'ASE Target vs Ach(Spares)(Inpt)'!$D$6:$X$37,21,0),IF($C$2='ASE Target vs Ach(Spares)(Inpt)'!$AA$5,VLOOKUP(D35,'ASE Target vs Ach(Spares)(Inpt)'!$D$6:$AA$37,24,0),IF($C$2='ASE Target vs Ach(Spares)(Inpt)'!$AD$5,VLOOKUP(D35,'ASE Target vs Ach(Spares)(Inpt)'!$D$6:$AD$37,27,0),IF($C$2='ASE Target vs Ach(Spares)(Inpt)'!$AG$5,VLOOKUP(D35,'ASE Target vs Ach(Spares)(Inpt)'!$D$6:$AG$37,30,0),IF($C$2='ASE Target vs Ach(Spares)(Inpt)'!$AJ$5,VLOOKUP(D35,'ASE Target vs Ach(Spares)(Inpt)'!$D$6:$AJ$37,33,0),IF($C$2='ASE Target vs Ach(Spares)(Inpt)'!$AM$5,VLOOKUP(D35,'ASE Target vs Ach(Spares)(Inpt)'!$D$6:$AM$37,36,0),"N/A"))))))))))))</f>
        <v>0</v>
      </c>
      <c r="H35" s="17">
        <f>IF($C$2='ASE Target vs Ach(Spares)(Inpt)'!$F$5,VLOOKUP(D35,'ASE Target vs Ach(Spares)(Inpt)'!$D$6:$G$37,4,0),IF($C$2='ASE Target vs Ach(Spares)(Inpt)'!$I$5,VLOOKUP(D35,'ASE Target vs Ach(Spares)(Inpt)'!$D$6:$J$37,7,0),IF($C$2='ASE Target vs Ach(Spares)(Inpt)'!$L$5,VLOOKUP(D35,'ASE Target vs Ach(Spares)(Inpt)'!$D$6:$M$37,10,0),IF($C$2='ASE Target vs Ach(Spares)(Inpt)'!$O$5,VLOOKUP(D35,'ASE Target vs Ach(Spares)(Inpt)'!$D$6:$P$37,13,0),IF($C$2='ASE Target vs Ach(Spares)(Inpt)'!$R$5,VLOOKUP(D35,'ASE Target vs Ach(Spares)(Inpt)'!$D$6:$S$37,16,0),IF($C$2='ASE Target vs Ach(Spares)(Inpt)'!$U$5,VLOOKUP(D35,'ASE Target vs Ach(Spares)(Inpt)'!$D$6:$V$37,19,0),IF($C$2='ASE Target vs Ach(Spares)(Inpt)'!$X$5,VLOOKUP(D35,'ASE Target vs Ach(Spares)(Inpt)'!$D$6:$Y$37,22,0),IF($C$2='ASE Target vs Ach(Spares)(Inpt)'!$AA$5,VLOOKUP(D35,'ASE Target vs Ach(Spares)(Inpt)'!$D$6:$AB$37,25,0),IF($C$2='ASE Target vs Ach(Spares)(Inpt)'!$AD$5,VLOOKUP(D35,'ASE Target vs Ach(Spares)(Inpt)'!$D$6:$AE$37,28,0),IF($C$2='ASE Target vs Ach(Spares)(Inpt)'!$AG$5,VLOOKUP(D35,'ASE Target vs Ach(Spares)(Inpt)'!$D$6:$AH$37,31,0),IF($C$2='ASE Target vs Ach(Spares)(Inpt)'!$AJ$5,VLOOKUP(D35,'ASE Target vs Ach(Spares)(Inpt)'!$D$6:$AK$37,34,0),IF($C$2='ASE Target vs Ach(Spares)(Inpt)'!$AM$5,VLOOKUP(D35,'ASE Target vs Ach(Spares)(Inpt)'!$D$6:$AN$37,37,0),"N/A"))))))))))))</f>
        <v>0</v>
      </c>
      <c r="I35" s="18">
        <f t="shared" si="0"/>
        <v>0</v>
      </c>
      <c r="J35" s="17">
        <f>IF($C$2='ASE Target vs Ach(Spares)(Inpt)'!$F$5,VLOOKUP(D35,'ASE Target vs Ach(Spares)(Inpt)'!$D$42:$F$73,3,0),IF($C$2='ASE Target vs Ach(Spares)(Inpt)'!$I$5,VLOOKUP(D35,'ASE Target vs Ach(Spares)(Inpt)'!$D$42:$I$73,6,0),IF($C$2='ASE Target vs Ach(Spares)(Inpt)'!$L$5,VLOOKUP(D35,'ASE Target vs Ach(Spares)(Inpt)'!$D$42:$L$73,9,0),IF($C$2='ASE Target vs Ach(Spares)(Inpt)'!$O$5,VLOOKUP(D35,'ASE Target vs Ach(Spares)(Inpt)'!$D$42:$O$73,12,0),IF($C$2='ASE Target vs Ach(Spares)(Inpt)'!$R$5,VLOOKUP(D35,'ASE Target vs Ach(Spares)(Inpt)'!$D$42:$R$73,15,0),IF($C$2='ASE Target vs Ach(Spares)(Inpt)'!$U$5,VLOOKUP(D35,'ASE Target vs Ach(Spares)(Inpt)'!$D$42:$U$73,18,0),IF($C$2='ASE Target vs Ach(Spares)(Inpt)'!$X$5,VLOOKUP(D35,'ASE Target vs Ach(Spares)(Inpt)'!$D$42:$X$73,21,0),IF($C$2='ASE Target vs Ach(Spares)(Inpt)'!$AA$5,VLOOKUP(D35,'ASE Target vs Ach(Spares)(Inpt)'!$D$42:$AA$73,24,0),IF($C$2='ASE Target vs Ach(Spares)(Inpt)'!$AD$5,VLOOKUP(D35,'ASE Target vs Ach(Spares)(Inpt)'!$D$42:$AD$73,27,0),IF($C$2='ASE Target vs Ach(Spares)(Inpt)'!$AG$5,VLOOKUP(D35,'ASE Target vs Ach(Spares)(Inpt)'!$D$42:$AG$73,30,0),IF($C$2='ASE Target vs Ach(Spares)(Inpt)'!$AJ$5,VLOOKUP(D35,'ASE Target vs Ach(Spares)(Inpt)'!$D$42:$AJ$73,33,0),IF($C$2='ASE Target vs Ach(Spares)(Inpt)'!$AM$5,VLOOKUP(D35,'ASE Target vs Ach(Spares)(Inpt)'!$D$42:$AM$73,36,0),"N/A"))))))))))))</f>
        <v>0</v>
      </c>
      <c r="K35" s="17">
        <f>IF($C$2='ASE Target vs Ach(Spares)(Inpt)'!$F$5,VLOOKUP(D35,'ASE Target vs Ach(Spares)(Inpt)'!$D$42:$G$73,4,0),IF($C$2='ASE Target vs Ach(Spares)(Inpt)'!$I$5,VLOOKUP(D35,'ASE Target vs Ach(Spares)(Inpt)'!$D$42:$J$73,7,0),IF($C$2='ASE Target vs Ach(Spares)(Inpt)'!$L$5,VLOOKUP(D35,'ASE Target vs Ach(Spares)(Inpt)'!$D$42:$M$73,10,0),IF($C$2='ASE Target vs Ach(Spares)(Inpt)'!$O$5,VLOOKUP(D35,'ASE Target vs Ach(Spares)(Inpt)'!$D$42:$P$73,13,0),IF($C$2='ASE Target vs Ach(Spares)(Inpt)'!$R$5,VLOOKUP(D35,'ASE Target vs Ach(Spares)(Inpt)'!$D$42:$S$73,16,0),IF($C$2='ASE Target vs Ach(Spares)(Inpt)'!$U$5,VLOOKUP(D35,'ASE Target vs Ach(Spares)(Inpt)'!$D$42:$V$73,19,0),IF($C$2='ASE Target vs Ach(Spares)(Inpt)'!$X$5,VLOOKUP(D35,'ASE Target vs Ach(Spares)(Inpt)'!$D$42:$Y$73,22,0),IF($C$2='ASE Target vs Ach(Spares)(Inpt)'!$AA$5,VLOOKUP(D35,'ASE Target vs Ach(Spares)(Inpt)'!$D$42:$AB$73,25,0),IF($C$2='ASE Target vs Ach(Spares)(Inpt)'!$AD$5,VLOOKUP(D35,'ASE Target vs Ach(Spares)(Inpt)'!$D$42:$AE$73,28,0),IF($C$2='ASE Target vs Ach(Spares)(Inpt)'!$AG$5,VLOOKUP(D35,'ASE Target vs Ach(Spares)(Inpt)'!$D$42:$AH$73,31,0),IF($C$2='ASE Target vs Ach(Spares)(Inpt)'!$AJ$5,VLOOKUP(D35,'ASE Target vs Ach(Spares)(Inpt)'!$D$42:$AK$73,34,0),IF($C$2='ASE Target vs Ach(Spares)(Inpt)'!$AM$5,VLOOKUP(D35,'ASE Target vs Ach(Spares)(Inpt)'!$D$42:$AN$73,37,0),"N/A"))))))))))))</f>
        <v>0</v>
      </c>
      <c r="L35" s="18">
        <f t="shared" si="1"/>
        <v>0</v>
      </c>
      <c r="M35" s="19" t="str">
        <f t="shared" si="2"/>
        <v>Not Eligible</v>
      </c>
      <c r="N35" s="17" t="str">
        <f>IF(M35="Eligible",IF(K35&lt;Condition!$E$4,0,IF(K35=Condition!$E$4,Condition!$C$4*K35,IF(K35&lt;Condition!$F$4,Condition!$C$4*K35,IF(K35=Condition!$F$4,Condition!$C$5*K35,IF(K35&lt;Condition!$F$5,Condition!$C$5*K35,IF(K35=Condition!$F$5,Condition!$C$6*K35,IF(K35&lt;Condition!$F$6,Condition!$C$6*K35,IF(K35=Condition!$F$6,Condition!$C$7*K35,IF(K35&lt;Condition!$F$7,Condition!$C$7*K35,IF(K35=Condition!$F$7,Condition!$C$8*K35,IF(K35&lt;Condition!$F$8,Condition!$C$8*K35,IF(K35=Condition!$F$8,Condition!$C$9*K35,IF(K35&lt;Condition!$F$9,Condition!$C$9*K35,IF(K35=Condition!$F$9,Condition!$C$10*K35,IF(K35&gt;Condition!$F$10,Condition!$C$10*K35,""))))))))))))))),"")</f>
        <v/>
      </c>
      <c r="O35" s="142" t="str">
        <f>IF(M35="Eligible",IF(K35&lt;Condition!$E$4,0,IF(K35=Condition!$E$4,Condition!$D$4,IF(K35&lt;Condition!$F$4,Condition!$D$4,IF(K35=Condition!$F$4,Condition!$D$5,IF(K35&lt;Condition!$F$5,Condition!$D$5,IF(K35=Condition!$F$5,Condition!$D$6,IF(K35&lt;Condition!$F$6,Condition!$D$6,IF(K35=Condition!$F$6,Condition!$D$7,IF(K35&lt;Condition!$F$7,Condition!$D$7,IF(K35=Condition!$F$7,Condition!$D$8,IF(K35&lt;Condition!$F$8,Condition!$D$8,IF(K35=Condition!$F$8,Condition!$D$9,IF(K35&lt;Condition!$F$9,Condition!$D$9,IF(K35=Condition!$F$9,Condition!$D$10,IF(K35&gt;Condition!$F$10,Condition!$D$10,""))))))))))))))),"")</f>
        <v/>
      </c>
      <c r="P35" s="142" t="str">
        <f t="shared" si="3"/>
        <v/>
      </c>
      <c r="Q35" s="117">
        <f>VLOOKUP(D35,'ASE Ach(Lube Oil Sales)'!$D$5:$F$40,3,0)</f>
        <v>0</v>
      </c>
      <c r="R35" s="17">
        <f>Q35*Condition!$E$27</f>
        <v>0</v>
      </c>
      <c r="S35" s="142">
        <f>VLOOKUP(D35,'ASE Ach (Service)(Input)'!$D$5:$F$34,3,0)</f>
        <v>0</v>
      </c>
      <c r="T35" s="142">
        <f>VLOOKUP(D35,'ASE Ach (Service)(Input)'!$D$5:$G$34,4,0)</f>
        <v>0</v>
      </c>
      <c r="U35" s="142">
        <f>VLOOKUP(D35,'ASE Ach (Service)(Input)'!$D$48:$F$79,3,0)</f>
        <v>0</v>
      </c>
      <c r="V35" s="142">
        <f>VLOOKUP(D35,'ASE Ach (Service)(Input)'!$D$48:$G$79,4,0)</f>
        <v>0</v>
      </c>
      <c r="W35" s="80">
        <f>IF($C$2='ASE Ach (CSA)(Input)'!$F$5,INDEX('ASE Ach (CSA)(Input)'!F:F,MATCH(D35,'ASE Ach (CSA)(Input)'!D:D,0)),IF($C$2='ASE Ach (CSA)(Input)'!$H$5,INDEX('ASE Ach (CSA)(Input)'!H:H,MATCH(D35,'ASE Ach (CSA)(Input)'!D:D,0)),IF($C$2='ASE Ach (CSA)(Input)'!$J$5,INDEX('ASE Ach (CSA)(Input)'!J:J,MATCH(D35,'ASE Ach (CSA)(Input)'!D:D,0)),IF($C$2='ASE Ach (CSA)(Input)'!$L$5,INDEX('ASE Ach (CSA)(Input)'!L:L,MATCH(D35,'ASE Ach (CSA)(Input)'!D:D,0)),IF($C$2='ASE Ach (CSA)(Input)'!$N$5,INDEX('ASE Ach (CSA)(Input)'!N:N,MATCH(D35,'ASE Ach (CSA)(Input)'!D:D,0)),IF($C$2='ASE Ach (CSA)(Input)'!$P$5,INDEX('ASE Ach (CSA)(Input)'!P:P,MATCH(D35,'ASE Ach (CSA)(Input)'!D:D,0)),IF($C$2='ASE Ach (CSA)(Input)'!$R$5,INDEX('ASE Ach (CSA)(Input)'!R:R,MATCH(D35,'ASE Ach (CSA)(Input)'!D:D,0)),IF($C$2='ASE Ach (CSA)(Input)'!$T$5,INDEX('ASE Ach (CSA)(Input)'!T:T,MATCH(D35,'ASE Ach (CSA)(Input)'!D:D,0)),IF($C$2='ASE Ach (CSA)(Input)'!$V$5,INDEX('ASE Ach (CSA)(Input)'!V:V,MATCH(D35,'ASE Ach (CSA)(Input)'!D:D,0)),IF($C$2='ASE Ach (CSA)(Input)'!$X$5,INDEX('ASE Ach (CSA)(Input)'!X:X,MATCH(D35,'ASE Ach (CSA)(Input)'!D:D,0)),IF($C$2='ASE Ach (CSA)(Input)'!$Z$5,INDEX('ASE Ach (CSA)(Input)'!Z:Z,MATCH(D35,'ASE Ach (CSA)(Input)'!D:D,0)),IF($C$2='ASE Ach (CSA)(Input)'!$AB$5,INDEX('ASE Ach (CSA)(Input)'!AB:AB,MATCH(D35,'ASE Ach (CSA)(Input)'!D:D,0)),"N/A"))))))))))))</f>
        <v>0</v>
      </c>
      <c r="X35" s="80">
        <f>IF($C$2='ASE Ach (CSA)(Input)'!$F$5,INDEX('ASE Ach (CSA)(Input)'!G:G,MATCH(D35,'ASE Ach (CSA)(Input)'!D:D,0)),IF($C$2='ASE Ach (CSA)(Input)'!$H$5,INDEX('ASE Ach (CSA)(Input)'!I:I,MATCH(D35,'ASE Ach (CSA)(Input)'!D:D,0)),IF($C$2='ASE Ach (CSA)(Input)'!$J$5,INDEX('ASE Ach (CSA)(Input)'!K:K,MATCH(D35,'ASE Ach (CSA)(Input)'!D:D,0)),IF($C$2='ASE Ach (CSA)(Input)'!$L$5,INDEX('ASE Ach (CSA)(Input)'!M:M,MATCH(D35,'ASE Ach (CSA)(Input)'!D:D,0)),IF($C$2='ASE Ach (CSA)(Input)'!$N$5,INDEX('ASE Ach (CSA)(Input)'!O:O,MATCH(D35,'ASE Ach (CSA)(Input)'!D:D,0)),IF($C$2='ASE Ach (CSA)(Input)'!$P$5,INDEX('ASE Ach (CSA)(Input)'!Q:Q,MATCH(D35,'ASE Ach (CSA)(Input)'!D:D,0)),IF($C$2='ASE Ach (CSA)(Input)'!$R$5,INDEX('ASE Ach (CSA)(Input)'!S:S,MATCH(D35,'ASE Ach (CSA)(Input)'!D:D,0)),IF($C$2='ASE Ach (CSA)(Input)'!$T$5,INDEX('ASE Ach (CSA)(Input)'!U:U,MATCH(D35,'ASE Ach (CSA)(Input)'!D:D,0)),IF($C$2='ASE Ach (CSA)(Input)'!$V$5,INDEX('ASE Ach (CSA)(Input)'!W:W,MATCH(D35,'ASE Ach (CSA)(Input)'!D:D,0)),IF($C$2='ASE Ach (CSA)(Input)'!$X$5,INDEX('ASE Ach (CSA)(Input)'!Y:Y,MATCH(D35,'ASE Ach (CSA)(Input)'!D:D,0)),IF($C$2='ASE Ach (CSA)(Input)'!$Z$5,INDEX('ASE Ach (CSA)(Input)'!AA:AA,MATCH(D35,'ASE Ach (CSA)(Input)'!D:D,0)),IF($C$2='ASE Ach (CSA)(Input)'!$AB$5,INDEX('ASE Ach (CSA)(Input)'!AC:AC,MATCH(D35,'ASE Ach (CSA)(Input)'!D:D,0)),"N/A"))))))))))))</f>
        <v>0</v>
      </c>
      <c r="Y35" s="142">
        <f>W35*Condition!$C$23+'Monthly Summary (No Input)'!X35*Condition!$E$24</f>
        <v>0</v>
      </c>
      <c r="Z35" s="17">
        <f t="shared" si="4"/>
        <v>0</v>
      </c>
    </row>
    <row r="36" spans="2:26" x14ac:dyDescent="0.25">
      <c r="B36" s="15">
        <f>'ASE Target (Spares), FY 21-22'!A34</f>
        <v>17</v>
      </c>
      <c r="C36" s="15" t="str">
        <f>IF('ASE Target (Spares), FY 21-22'!B34=0,"",'ASE Target (Spares), FY 21-22'!B34)</f>
        <v/>
      </c>
      <c r="D36" s="16" t="str">
        <f>'ASE Target (Spares), FY 21-22'!C34</f>
        <v>New-6</v>
      </c>
      <c r="E36" s="15" t="str">
        <f>IF('ASE Target (Spares), FY 21-22'!D34=0,"",'ASE Target (Spares), FY 21-22'!D34)</f>
        <v/>
      </c>
      <c r="F36" s="17">
        <f>IFERROR(VLOOKUP(E36,'ASE Target (Spares), FY 21-22'!$D$5:$G$260,4,0),"")</f>
        <v>0</v>
      </c>
      <c r="G36" s="17">
        <f>IF($C$2='ASE Target vs Ach(Spares)(Inpt)'!$F$5,VLOOKUP(D36,'ASE Target vs Ach(Spares)(Inpt)'!$D$6:$F$37,3,0),IF($C$2='ASE Target vs Ach(Spares)(Inpt)'!$I$5,VLOOKUP(D36,'ASE Target vs Ach(Spares)(Inpt)'!$D$6:$I$37,6,0),IF($C$2='ASE Target vs Ach(Spares)(Inpt)'!$L$5,VLOOKUP(D36,'ASE Target vs Ach(Spares)(Inpt)'!$D$6:$L$37,9,0),IF($C$2='ASE Target vs Ach(Spares)(Inpt)'!$O$5,VLOOKUP(D36,'ASE Target vs Ach(Spares)(Inpt)'!$D$6:$O$37,12,0),IF($C$2='ASE Target vs Ach(Spares)(Inpt)'!$R$5,VLOOKUP(D36,'ASE Target vs Ach(Spares)(Inpt)'!$D$6:$R$37,15,0),IF($C$2='ASE Target vs Ach(Spares)(Inpt)'!$U$5,VLOOKUP(D36,'ASE Target vs Ach(Spares)(Inpt)'!$D$6:$U$37,18,0),IF($C$2='ASE Target vs Ach(Spares)(Inpt)'!$X$5,VLOOKUP(D36,'ASE Target vs Ach(Spares)(Inpt)'!$D$6:$X$37,21,0),IF($C$2='ASE Target vs Ach(Spares)(Inpt)'!$AA$5,VLOOKUP(D36,'ASE Target vs Ach(Spares)(Inpt)'!$D$6:$AA$37,24,0),IF($C$2='ASE Target vs Ach(Spares)(Inpt)'!$AD$5,VLOOKUP(D36,'ASE Target vs Ach(Spares)(Inpt)'!$D$6:$AD$37,27,0),IF($C$2='ASE Target vs Ach(Spares)(Inpt)'!$AG$5,VLOOKUP(D36,'ASE Target vs Ach(Spares)(Inpt)'!$D$6:$AG$37,30,0),IF($C$2='ASE Target vs Ach(Spares)(Inpt)'!$AJ$5,VLOOKUP(D36,'ASE Target vs Ach(Spares)(Inpt)'!$D$6:$AJ$37,33,0),IF($C$2='ASE Target vs Ach(Spares)(Inpt)'!$AM$5,VLOOKUP(D36,'ASE Target vs Ach(Spares)(Inpt)'!$D$6:$AM$37,36,0),"N/A"))))))))))))</f>
        <v>0</v>
      </c>
      <c r="H36" s="17">
        <f>IF($C$2='ASE Target vs Ach(Spares)(Inpt)'!$F$5,VLOOKUP(D36,'ASE Target vs Ach(Spares)(Inpt)'!$D$6:$G$37,4,0),IF($C$2='ASE Target vs Ach(Spares)(Inpt)'!$I$5,VLOOKUP(D36,'ASE Target vs Ach(Spares)(Inpt)'!$D$6:$J$37,7,0),IF($C$2='ASE Target vs Ach(Spares)(Inpt)'!$L$5,VLOOKUP(D36,'ASE Target vs Ach(Spares)(Inpt)'!$D$6:$M$37,10,0),IF($C$2='ASE Target vs Ach(Spares)(Inpt)'!$O$5,VLOOKUP(D36,'ASE Target vs Ach(Spares)(Inpt)'!$D$6:$P$37,13,0),IF($C$2='ASE Target vs Ach(Spares)(Inpt)'!$R$5,VLOOKUP(D36,'ASE Target vs Ach(Spares)(Inpt)'!$D$6:$S$37,16,0),IF($C$2='ASE Target vs Ach(Spares)(Inpt)'!$U$5,VLOOKUP(D36,'ASE Target vs Ach(Spares)(Inpt)'!$D$6:$V$37,19,0),IF($C$2='ASE Target vs Ach(Spares)(Inpt)'!$X$5,VLOOKUP(D36,'ASE Target vs Ach(Spares)(Inpt)'!$D$6:$Y$37,22,0),IF($C$2='ASE Target vs Ach(Spares)(Inpt)'!$AA$5,VLOOKUP(D36,'ASE Target vs Ach(Spares)(Inpt)'!$D$6:$AB$37,25,0),IF($C$2='ASE Target vs Ach(Spares)(Inpt)'!$AD$5,VLOOKUP(D36,'ASE Target vs Ach(Spares)(Inpt)'!$D$6:$AE$37,28,0),IF($C$2='ASE Target vs Ach(Spares)(Inpt)'!$AG$5,VLOOKUP(D36,'ASE Target vs Ach(Spares)(Inpt)'!$D$6:$AH$37,31,0),IF($C$2='ASE Target vs Ach(Spares)(Inpt)'!$AJ$5,VLOOKUP(D36,'ASE Target vs Ach(Spares)(Inpt)'!$D$6:$AK$37,34,0),IF($C$2='ASE Target vs Ach(Spares)(Inpt)'!$AM$5,VLOOKUP(D36,'ASE Target vs Ach(Spares)(Inpt)'!$D$6:$AN$37,37,0),"N/A"))))))))))))</f>
        <v>0</v>
      </c>
      <c r="I36" s="18">
        <f t="shared" si="0"/>
        <v>0</v>
      </c>
      <c r="J36" s="17">
        <f>IF($C$2='ASE Target vs Ach(Spares)(Inpt)'!$F$5,VLOOKUP(D36,'ASE Target vs Ach(Spares)(Inpt)'!$D$42:$F$73,3,0),IF($C$2='ASE Target vs Ach(Spares)(Inpt)'!$I$5,VLOOKUP(D36,'ASE Target vs Ach(Spares)(Inpt)'!$D$42:$I$73,6,0),IF($C$2='ASE Target vs Ach(Spares)(Inpt)'!$L$5,VLOOKUP(D36,'ASE Target vs Ach(Spares)(Inpt)'!$D$42:$L$73,9,0),IF($C$2='ASE Target vs Ach(Spares)(Inpt)'!$O$5,VLOOKUP(D36,'ASE Target vs Ach(Spares)(Inpt)'!$D$42:$O$73,12,0),IF($C$2='ASE Target vs Ach(Spares)(Inpt)'!$R$5,VLOOKUP(D36,'ASE Target vs Ach(Spares)(Inpt)'!$D$42:$R$73,15,0),IF($C$2='ASE Target vs Ach(Spares)(Inpt)'!$U$5,VLOOKUP(D36,'ASE Target vs Ach(Spares)(Inpt)'!$D$42:$U$73,18,0),IF($C$2='ASE Target vs Ach(Spares)(Inpt)'!$X$5,VLOOKUP(D36,'ASE Target vs Ach(Spares)(Inpt)'!$D$42:$X$73,21,0),IF($C$2='ASE Target vs Ach(Spares)(Inpt)'!$AA$5,VLOOKUP(D36,'ASE Target vs Ach(Spares)(Inpt)'!$D$42:$AA$73,24,0),IF($C$2='ASE Target vs Ach(Spares)(Inpt)'!$AD$5,VLOOKUP(D36,'ASE Target vs Ach(Spares)(Inpt)'!$D$42:$AD$73,27,0),IF($C$2='ASE Target vs Ach(Spares)(Inpt)'!$AG$5,VLOOKUP(D36,'ASE Target vs Ach(Spares)(Inpt)'!$D$42:$AG$73,30,0),IF($C$2='ASE Target vs Ach(Spares)(Inpt)'!$AJ$5,VLOOKUP(D36,'ASE Target vs Ach(Spares)(Inpt)'!$D$42:$AJ$73,33,0),IF($C$2='ASE Target vs Ach(Spares)(Inpt)'!$AM$5,VLOOKUP(D36,'ASE Target vs Ach(Spares)(Inpt)'!$D$42:$AM$73,36,0),"N/A"))))))))))))</f>
        <v>0</v>
      </c>
      <c r="K36" s="17">
        <f>IF($C$2='ASE Target vs Ach(Spares)(Inpt)'!$F$5,VLOOKUP(D36,'ASE Target vs Ach(Spares)(Inpt)'!$D$42:$G$73,4,0),IF($C$2='ASE Target vs Ach(Spares)(Inpt)'!$I$5,VLOOKUP(D36,'ASE Target vs Ach(Spares)(Inpt)'!$D$42:$J$73,7,0),IF($C$2='ASE Target vs Ach(Spares)(Inpt)'!$L$5,VLOOKUP(D36,'ASE Target vs Ach(Spares)(Inpt)'!$D$42:$M$73,10,0),IF($C$2='ASE Target vs Ach(Spares)(Inpt)'!$O$5,VLOOKUP(D36,'ASE Target vs Ach(Spares)(Inpt)'!$D$42:$P$73,13,0),IF($C$2='ASE Target vs Ach(Spares)(Inpt)'!$R$5,VLOOKUP(D36,'ASE Target vs Ach(Spares)(Inpt)'!$D$42:$S$73,16,0),IF($C$2='ASE Target vs Ach(Spares)(Inpt)'!$U$5,VLOOKUP(D36,'ASE Target vs Ach(Spares)(Inpt)'!$D$42:$V$73,19,0),IF($C$2='ASE Target vs Ach(Spares)(Inpt)'!$X$5,VLOOKUP(D36,'ASE Target vs Ach(Spares)(Inpt)'!$D$42:$Y$73,22,0),IF($C$2='ASE Target vs Ach(Spares)(Inpt)'!$AA$5,VLOOKUP(D36,'ASE Target vs Ach(Spares)(Inpt)'!$D$42:$AB$73,25,0),IF($C$2='ASE Target vs Ach(Spares)(Inpt)'!$AD$5,VLOOKUP(D36,'ASE Target vs Ach(Spares)(Inpt)'!$D$42:$AE$73,28,0),IF($C$2='ASE Target vs Ach(Spares)(Inpt)'!$AG$5,VLOOKUP(D36,'ASE Target vs Ach(Spares)(Inpt)'!$D$42:$AH$73,31,0),IF($C$2='ASE Target vs Ach(Spares)(Inpt)'!$AJ$5,VLOOKUP(D36,'ASE Target vs Ach(Spares)(Inpt)'!$D$42:$AK$73,34,0),IF($C$2='ASE Target vs Ach(Spares)(Inpt)'!$AM$5,VLOOKUP(D36,'ASE Target vs Ach(Spares)(Inpt)'!$D$42:$AN$73,37,0),"N/A"))))))))))))</f>
        <v>0</v>
      </c>
      <c r="L36" s="18">
        <f t="shared" si="1"/>
        <v>0</v>
      </c>
      <c r="M36" s="19" t="str">
        <f t="shared" si="2"/>
        <v>Not Eligible</v>
      </c>
      <c r="N36" s="17" t="str">
        <f>IF(M36="Eligible",IF(K36&lt;Condition!$E$4,0,IF(K36=Condition!$E$4,Condition!$C$4*K36,IF(K36&lt;Condition!$F$4,Condition!$C$4*K36,IF(K36=Condition!$F$4,Condition!$C$5*K36,IF(K36&lt;Condition!$F$5,Condition!$C$5*K36,IF(K36=Condition!$F$5,Condition!$C$6*K36,IF(K36&lt;Condition!$F$6,Condition!$C$6*K36,IF(K36=Condition!$F$6,Condition!$C$7*K36,IF(K36&lt;Condition!$F$7,Condition!$C$7*K36,IF(K36=Condition!$F$7,Condition!$C$8*K36,IF(K36&lt;Condition!$F$8,Condition!$C$8*K36,IF(K36=Condition!$F$8,Condition!$C$9*K36,IF(K36&lt;Condition!$F$9,Condition!$C$9*K36,IF(K36=Condition!$F$9,Condition!$C$10*K36,IF(K36&gt;Condition!$F$10,Condition!$C$10*K36,""))))))))))))))),"")</f>
        <v/>
      </c>
      <c r="O36" s="142" t="str">
        <f>IF(M36="Eligible",IF(K36&lt;Condition!$E$4,0,IF(K36=Condition!$E$4,Condition!$D$4,IF(K36&lt;Condition!$F$4,Condition!$D$4,IF(K36=Condition!$F$4,Condition!$D$5,IF(K36&lt;Condition!$F$5,Condition!$D$5,IF(K36=Condition!$F$5,Condition!$D$6,IF(K36&lt;Condition!$F$6,Condition!$D$6,IF(K36=Condition!$F$6,Condition!$D$7,IF(K36&lt;Condition!$F$7,Condition!$D$7,IF(K36=Condition!$F$7,Condition!$D$8,IF(K36&lt;Condition!$F$8,Condition!$D$8,IF(K36=Condition!$F$8,Condition!$D$9,IF(K36&lt;Condition!$F$9,Condition!$D$9,IF(K36=Condition!$F$9,Condition!$D$10,IF(K36&gt;Condition!$F$10,Condition!$D$10,""))))))))))))))),"")</f>
        <v/>
      </c>
      <c r="P36" s="142" t="str">
        <f t="shared" si="3"/>
        <v/>
      </c>
      <c r="Q36" s="117">
        <f>VLOOKUP(D36,'ASE Ach(Lube Oil Sales)'!$D$5:$F$40,3,0)</f>
        <v>0</v>
      </c>
      <c r="R36" s="17">
        <f>Q36*Condition!$E$27</f>
        <v>0</v>
      </c>
      <c r="S36" s="142">
        <f>VLOOKUP(D36,'ASE Ach (Service)(Input)'!$D$5:$F$34,3,0)</f>
        <v>0</v>
      </c>
      <c r="T36" s="142">
        <f>VLOOKUP(D36,'ASE Ach (Service)(Input)'!$D$5:$G$34,4,0)</f>
        <v>0</v>
      </c>
      <c r="U36" s="142">
        <f>VLOOKUP(D36,'ASE Ach (Service)(Input)'!$D$48:$F$79,3,0)</f>
        <v>0</v>
      </c>
      <c r="V36" s="142">
        <f>VLOOKUP(D36,'ASE Ach (Service)(Input)'!$D$48:$G$79,4,0)</f>
        <v>0</v>
      </c>
      <c r="W36" s="80">
        <f>IF($C$2='ASE Ach (CSA)(Input)'!$F$5,INDEX('ASE Ach (CSA)(Input)'!F:F,MATCH(D36,'ASE Ach (CSA)(Input)'!D:D,0)),IF($C$2='ASE Ach (CSA)(Input)'!$H$5,INDEX('ASE Ach (CSA)(Input)'!H:H,MATCH(D36,'ASE Ach (CSA)(Input)'!D:D,0)),IF($C$2='ASE Ach (CSA)(Input)'!$J$5,INDEX('ASE Ach (CSA)(Input)'!J:J,MATCH(D36,'ASE Ach (CSA)(Input)'!D:D,0)),IF($C$2='ASE Ach (CSA)(Input)'!$L$5,INDEX('ASE Ach (CSA)(Input)'!L:L,MATCH(D36,'ASE Ach (CSA)(Input)'!D:D,0)),IF($C$2='ASE Ach (CSA)(Input)'!$N$5,INDEX('ASE Ach (CSA)(Input)'!N:N,MATCH(D36,'ASE Ach (CSA)(Input)'!D:D,0)),IF($C$2='ASE Ach (CSA)(Input)'!$P$5,INDEX('ASE Ach (CSA)(Input)'!P:P,MATCH(D36,'ASE Ach (CSA)(Input)'!D:D,0)),IF($C$2='ASE Ach (CSA)(Input)'!$R$5,INDEX('ASE Ach (CSA)(Input)'!R:R,MATCH(D36,'ASE Ach (CSA)(Input)'!D:D,0)),IF($C$2='ASE Ach (CSA)(Input)'!$T$5,INDEX('ASE Ach (CSA)(Input)'!T:T,MATCH(D36,'ASE Ach (CSA)(Input)'!D:D,0)),IF($C$2='ASE Ach (CSA)(Input)'!$V$5,INDEX('ASE Ach (CSA)(Input)'!V:V,MATCH(D36,'ASE Ach (CSA)(Input)'!D:D,0)),IF($C$2='ASE Ach (CSA)(Input)'!$X$5,INDEX('ASE Ach (CSA)(Input)'!X:X,MATCH(D36,'ASE Ach (CSA)(Input)'!D:D,0)),IF($C$2='ASE Ach (CSA)(Input)'!$Z$5,INDEX('ASE Ach (CSA)(Input)'!Z:Z,MATCH(D36,'ASE Ach (CSA)(Input)'!D:D,0)),IF($C$2='ASE Ach (CSA)(Input)'!$AB$5,INDEX('ASE Ach (CSA)(Input)'!AB:AB,MATCH(D36,'ASE Ach (CSA)(Input)'!D:D,0)),"N/A"))))))))))))</f>
        <v>0</v>
      </c>
      <c r="X36" s="80">
        <f>IF($C$2='ASE Ach (CSA)(Input)'!$F$5,INDEX('ASE Ach (CSA)(Input)'!G:G,MATCH(D36,'ASE Ach (CSA)(Input)'!D:D,0)),IF($C$2='ASE Ach (CSA)(Input)'!$H$5,INDEX('ASE Ach (CSA)(Input)'!I:I,MATCH(D36,'ASE Ach (CSA)(Input)'!D:D,0)),IF($C$2='ASE Ach (CSA)(Input)'!$J$5,INDEX('ASE Ach (CSA)(Input)'!K:K,MATCH(D36,'ASE Ach (CSA)(Input)'!D:D,0)),IF($C$2='ASE Ach (CSA)(Input)'!$L$5,INDEX('ASE Ach (CSA)(Input)'!M:M,MATCH(D36,'ASE Ach (CSA)(Input)'!D:D,0)),IF($C$2='ASE Ach (CSA)(Input)'!$N$5,INDEX('ASE Ach (CSA)(Input)'!O:O,MATCH(D36,'ASE Ach (CSA)(Input)'!D:D,0)),IF($C$2='ASE Ach (CSA)(Input)'!$P$5,INDEX('ASE Ach (CSA)(Input)'!Q:Q,MATCH(D36,'ASE Ach (CSA)(Input)'!D:D,0)),IF($C$2='ASE Ach (CSA)(Input)'!$R$5,INDEX('ASE Ach (CSA)(Input)'!S:S,MATCH(D36,'ASE Ach (CSA)(Input)'!D:D,0)),IF($C$2='ASE Ach (CSA)(Input)'!$T$5,INDEX('ASE Ach (CSA)(Input)'!U:U,MATCH(D36,'ASE Ach (CSA)(Input)'!D:D,0)),IF($C$2='ASE Ach (CSA)(Input)'!$V$5,INDEX('ASE Ach (CSA)(Input)'!W:W,MATCH(D36,'ASE Ach (CSA)(Input)'!D:D,0)),IF($C$2='ASE Ach (CSA)(Input)'!$X$5,INDEX('ASE Ach (CSA)(Input)'!Y:Y,MATCH(D36,'ASE Ach (CSA)(Input)'!D:D,0)),IF($C$2='ASE Ach (CSA)(Input)'!$Z$5,INDEX('ASE Ach (CSA)(Input)'!AA:AA,MATCH(D36,'ASE Ach (CSA)(Input)'!D:D,0)),IF($C$2='ASE Ach (CSA)(Input)'!$AB$5,INDEX('ASE Ach (CSA)(Input)'!AC:AC,MATCH(D36,'ASE Ach (CSA)(Input)'!D:D,0)),"N/A"))))))))))))</f>
        <v>0</v>
      </c>
      <c r="Y36" s="142">
        <f>W36*Condition!$C$23+'Monthly Summary (No Input)'!X36*Condition!$E$24</f>
        <v>0</v>
      </c>
      <c r="Z36" s="17">
        <f t="shared" si="4"/>
        <v>0</v>
      </c>
    </row>
  </sheetData>
  <mergeCells count="27">
    <mergeCell ref="G3:R3"/>
    <mergeCell ref="N6:R6"/>
    <mergeCell ref="R4:R5"/>
    <mergeCell ref="S3:Y3"/>
    <mergeCell ref="G4:G6"/>
    <mergeCell ref="H4:H6"/>
    <mergeCell ref="I4:I6"/>
    <mergeCell ref="J4:J6"/>
    <mergeCell ref="K4:K6"/>
    <mergeCell ref="L4:L6"/>
    <mergeCell ref="Y4:Y5"/>
    <mergeCell ref="W4:X5"/>
    <mergeCell ref="O4:O5"/>
    <mergeCell ref="P4:P5"/>
    <mergeCell ref="S4:S6"/>
    <mergeCell ref="Z4:Z7"/>
    <mergeCell ref="M4:M7"/>
    <mergeCell ref="N4:N5"/>
    <mergeCell ref="B4:B7"/>
    <mergeCell ref="C4:C7"/>
    <mergeCell ref="D4:D7"/>
    <mergeCell ref="E4:E7"/>
    <mergeCell ref="F4:F7"/>
    <mergeCell ref="W7:X7"/>
    <mergeCell ref="T4:T6"/>
    <mergeCell ref="U4:V5"/>
    <mergeCell ref="Q4:Q5"/>
  </mergeCells>
  <conditionalFormatting sqref="M37:M139">
    <cfRule type="cellIs" dxfId="2" priority="4" operator="equal">
      <formula>Eligible</formula>
    </cfRule>
  </conditionalFormatting>
  <conditionalFormatting sqref="M37:M909">
    <cfRule type="expression" dxfId="1" priority="3">
      <formula>"J7=""Eligible"""</formula>
    </cfRule>
  </conditionalFormatting>
  <conditionalFormatting sqref="M8:M36">
    <cfRule type="cellIs" dxfId="0" priority="2" operator="equal">
      <formula>"Eligible"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AD35"/>
  <sheetViews>
    <sheetView showGridLines="0" zoomScale="110" zoomScaleNormal="110" workbookViewId="0">
      <pane xSplit="5" ySplit="5" topLeftCell="O9" activePane="bottomRight" state="frozen"/>
      <selection pane="topRight" activeCell="F1" sqref="F1"/>
      <selection pane="bottomLeft" activeCell="A6" sqref="A6"/>
      <selection pane="bottomRight" activeCell="R4" sqref="R4"/>
    </sheetView>
  </sheetViews>
  <sheetFormatPr defaultRowHeight="12.75" x14ac:dyDescent="0.25"/>
  <cols>
    <col min="1" max="1" width="0.42578125" style="125" customWidth="1"/>
    <col min="2" max="2" width="6.140625" style="125" customWidth="1"/>
    <col min="3" max="3" width="9.140625" style="125"/>
    <col min="4" max="4" width="19.7109375" style="125" bestFit="1" customWidth="1"/>
    <col min="5" max="5" width="6.42578125" style="125" customWidth="1"/>
    <col min="6" max="6" width="10" style="125" bestFit="1" customWidth="1"/>
    <col min="7" max="7" width="8.5703125" style="158" customWidth="1"/>
    <col min="8" max="8" width="12.42578125" style="125" bestFit="1" customWidth="1"/>
    <col min="9" max="9" width="7.28515625" style="125" customWidth="1"/>
    <col min="10" max="11" width="12.42578125" style="158" customWidth="1"/>
    <col min="12" max="12" width="12.42578125" style="125" customWidth="1"/>
    <col min="13" max="13" width="9" style="158" customWidth="1"/>
    <col min="14" max="14" width="11.5703125" style="158" customWidth="1"/>
    <col min="15" max="15" width="11.5703125" style="141" customWidth="1"/>
    <col min="16" max="16" width="10" style="141" bestFit="1" customWidth="1"/>
    <col min="17" max="17" width="18.5703125" style="141" customWidth="1"/>
    <col min="18" max="18" width="11.42578125" style="141" customWidth="1"/>
    <col min="19" max="19" width="14.28515625" style="141" customWidth="1"/>
    <col min="20" max="20" width="10.5703125" style="141" customWidth="1"/>
    <col min="21" max="21" width="15.7109375" style="141" customWidth="1"/>
    <col min="22" max="22" width="10" style="141" bestFit="1" customWidth="1"/>
    <col min="23" max="23" width="10.5703125" style="125" customWidth="1"/>
    <col min="24" max="24" width="10" style="125" bestFit="1" customWidth="1"/>
    <col min="25" max="27" width="9.140625" style="125"/>
    <col min="28" max="28" width="17.85546875" style="125" customWidth="1"/>
    <col min="29" max="30" width="9.140625" style="141"/>
    <col min="31" max="16384" width="9.140625" style="125"/>
  </cols>
  <sheetData>
    <row r="2" spans="2:28" ht="15" x14ac:dyDescent="0.25">
      <c r="B2" s="124" t="str">
        <f>'Monthly Summary (No Input)'!B2</f>
        <v>Month</v>
      </c>
      <c r="C2" s="147" t="s">
        <v>47</v>
      </c>
      <c r="D2" s="118" t="s">
        <v>59</v>
      </c>
      <c r="Q2" s="168"/>
    </row>
    <row r="4" spans="2:28" ht="34.5" customHeight="1" x14ac:dyDescent="0.25">
      <c r="B4" s="234" t="str">
        <f>'ASE Target (Spares), FY 21-22'!A5</f>
        <v>Sl.</v>
      </c>
      <c r="C4" s="234" t="str">
        <f>'ASE Target (Spares), FY 21-22'!B5</f>
        <v>Wing</v>
      </c>
      <c r="D4" s="234" t="str">
        <f>'ASE Target (Spares), FY 21-22'!C5</f>
        <v>Name</v>
      </c>
      <c r="E4" s="234" t="str">
        <f>'ASE Target (Spares), FY 21-22'!D5</f>
        <v>ID</v>
      </c>
      <c r="F4" s="128" t="str">
        <f>CONCATENATE("Target of ",TEXT(C2,"mmm"))</f>
        <v>Target of Jul</v>
      </c>
      <c r="G4" s="159" t="str">
        <f>CONCATENATE("Target of ",TEXT(C2,"mmm"))</f>
        <v>Target of Jul</v>
      </c>
      <c r="H4" s="127" t="s">
        <v>156</v>
      </c>
      <c r="I4" s="127" t="s">
        <v>152</v>
      </c>
      <c r="J4" s="161" t="s">
        <v>156</v>
      </c>
      <c r="K4" s="161" t="s">
        <v>157</v>
      </c>
      <c r="L4" s="127" t="s">
        <v>158</v>
      </c>
      <c r="M4" s="235" t="s">
        <v>160</v>
      </c>
      <c r="N4" s="235"/>
      <c r="O4" s="234" t="s">
        <v>153</v>
      </c>
      <c r="P4" s="234"/>
      <c r="Q4" s="169" t="str">
        <f>CONCATENATE("Additional ",TEXT(('Monthly Summary (No Input)'!P4),"#,##0.00%")," (BDT)
 [100% Monthly Collection Ach.]")</f>
        <v>Additional 1.00% (BDT)
 [100% Monthly Collection Ach.]</v>
      </c>
      <c r="R4" s="127" t="s">
        <v>154</v>
      </c>
      <c r="S4" s="170" t="s">
        <v>161</v>
      </c>
      <c r="T4" s="127" t="s">
        <v>162</v>
      </c>
      <c r="U4" s="171" t="s">
        <v>163</v>
      </c>
      <c r="V4" s="234" t="s">
        <v>164</v>
      </c>
      <c r="W4" s="234" t="s">
        <v>165</v>
      </c>
      <c r="X4" s="234" t="s">
        <v>166</v>
      </c>
      <c r="Y4" s="234" t="s">
        <v>167</v>
      </c>
      <c r="Z4" s="137" t="s">
        <v>169</v>
      </c>
      <c r="AA4" s="137" t="s">
        <v>170</v>
      </c>
      <c r="AB4" s="234" t="s">
        <v>168</v>
      </c>
    </row>
    <row r="5" spans="2:28" ht="27" customHeight="1" x14ac:dyDescent="0.25">
      <c r="B5" s="234"/>
      <c r="C5" s="234"/>
      <c r="D5" s="234"/>
      <c r="E5" s="234"/>
      <c r="F5" s="136" t="s">
        <v>155</v>
      </c>
      <c r="G5" s="159" t="s">
        <v>61</v>
      </c>
      <c r="H5" s="126" t="s">
        <v>155</v>
      </c>
      <c r="I5" s="126" t="s">
        <v>60</v>
      </c>
      <c r="J5" s="162" t="s">
        <v>61</v>
      </c>
      <c r="K5" s="162" t="s">
        <v>61</v>
      </c>
      <c r="L5" s="126" t="s">
        <v>61</v>
      </c>
      <c r="M5" s="162" t="s">
        <v>111</v>
      </c>
      <c r="N5" s="162" t="s">
        <v>115</v>
      </c>
      <c r="O5" s="137" t="s">
        <v>62</v>
      </c>
      <c r="P5" s="137" t="s">
        <v>65</v>
      </c>
      <c r="Q5" s="172" t="s">
        <v>62</v>
      </c>
      <c r="R5" s="172" t="s">
        <v>62</v>
      </c>
      <c r="S5" s="172" t="s">
        <v>62</v>
      </c>
      <c r="T5" s="172" t="s">
        <v>62</v>
      </c>
      <c r="U5" s="173" t="s">
        <v>62</v>
      </c>
      <c r="V5" s="234"/>
      <c r="W5" s="234"/>
      <c r="X5" s="234"/>
      <c r="Y5" s="234"/>
      <c r="Z5" s="128" t="s">
        <v>171</v>
      </c>
      <c r="AA5" s="128" t="s">
        <v>171</v>
      </c>
      <c r="AB5" s="234"/>
    </row>
    <row r="6" spans="2:28" s="141" customFormat="1" x14ac:dyDescent="0.25">
      <c r="B6" s="149">
        <f>'Monthly Summary (No Input)'!B8</f>
        <v>1</v>
      </c>
      <c r="C6" s="149" t="str">
        <f>'Monthly Summary (No Input)'!C8</f>
        <v>DSL-DHK</v>
      </c>
      <c r="D6" s="150" t="str">
        <f>'Monthly Summary (No Input)'!D8</f>
        <v xml:space="preserve">Md. Shohidul </v>
      </c>
      <c r="E6" s="149">
        <f>'Monthly Summary (No Input)'!E8</f>
        <v>1418</v>
      </c>
      <c r="F6" s="151">
        <f>VLOOKUP(D6,'Monthly Summary (No Input)'!$D$8:$G$50008,4,0)</f>
        <v>500000</v>
      </c>
      <c r="G6" s="166">
        <f>VLOOKUP(D6,'Monthly Summary (No Input)'!$D$4:$J$50008,7,0)</f>
        <v>225000</v>
      </c>
      <c r="H6" s="152">
        <f>VLOOKUP(D6,'Monthly Summary (No Input)'!$D$8:$H$128,5,0)</f>
        <v>1547635</v>
      </c>
      <c r="I6" s="153">
        <f>VLOOKUP(D6,'Monthly Summary (No Input)'!$D$8:$Q$128,14,0)</f>
        <v>120</v>
      </c>
      <c r="J6" s="167">
        <f>VLOOKUP(D6,'Monthly Summary (No Input)'!$D$4:$K$128,8,0)</f>
        <v>327024</v>
      </c>
      <c r="K6" s="154">
        <f>VLOOKUP(D6,'Monthly Summary (No Input)'!$D$8:$S$128,16,0)</f>
        <v>202901</v>
      </c>
      <c r="L6" s="154">
        <f>VLOOKUP(D6,'Monthly Summary (No Input)'!$D$8:$T$128,17,0)</f>
        <v>0</v>
      </c>
      <c r="M6" s="153">
        <f>VLOOKUP(D6,'Monthly Summary (No Input)'!$D$8:$W$128,20,0)</f>
        <v>2</v>
      </c>
      <c r="N6" s="153">
        <f>VLOOKUP(D6,'Monthly Summary (No Input)'!$D$8:$X$128,21,0)</f>
        <v>3</v>
      </c>
      <c r="O6" s="154">
        <f>VLOOKUP(D6,'Monthly Summary (No Input)'!$D$8:$N$128,11,0)</f>
        <v>8175.6</v>
      </c>
      <c r="P6" s="152">
        <f>VLOOKUP(D6,'Monthly Summary (No Input)'!$D$8:$O$128,12,0)</f>
        <v>1500</v>
      </c>
      <c r="Q6" s="155">
        <f>VLOOKUP(D6,'Monthly Summary (No Input)'!$D$8:$P$128,13,0)</f>
        <v>1020.24</v>
      </c>
      <c r="R6" s="154">
        <f>VLOOKUP(D6,'Monthly Summary (No Input)'!$D$8:$R$128,15,0)</f>
        <v>600</v>
      </c>
      <c r="S6" s="154">
        <f>VLOOKUP(D6,'Monthly Summary (No Input)'!$D$8:$U$128,18,0)</f>
        <v>7150</v>
      </c>
      <c r="T6" s="154">
        <f>VLOOKUP(D6,'Monthly Summary (No Input)'!$D$8:$V$128,19,0)</f>
        <v>0</v>
      </c>
      <c r="U6" s="153">
        <f>VLOOKUP(D6,'Monthly Summary (No Input)'!$D$8:$Y$128,22,0)</f>
        <v>4000</v>
      </c>
      <c r="V6" s="156">
        <v>5500</v>
      </c>
      <c r="W6" s="156">
        <v>3300</v>
      </c>
      <c r="X6" s="156">
        <v>1250</v>
      </c>
      <c r="Y6" s="156"/>
      <c r="Z6" s="156"/>
      <c r="AA6" s="156">
        <v>11</v>
      </c>
      <c r="AB6" s="157">
        <f>SUM(O6:Z6)-AA6</f>
        <v>32484.84</v>
      </c>
    </row>
    <row r="7" spans="2:28" s="141" customFormat="1" x14ac:dyDescent="0.25">
      <c r="B7" s="149">
        <f>'Monthly Summary (No Input)'!B9</f>
        <v>2</v>
      </c>
      <c r="C7" s="149" t="str">
        <f>'Monthly Summary (No Input)'!C9</f>
        <v>DSL-DHK</v>
      </c>
      <c r="D7" s="150" t="str">
        <f>'Monthly Summary (No Input)'!D9</f>
        <v>Sagar Chakrobarti</v>
      </c>
      <c r="E7" s="149">
        <f>'Monthly Summary (No Input)'!E9</f>
        <v>2701</v>
      </c>
      <c r="F7" s="151">
        <f>VLOOKUP(D7,'Monthly Summary (No Input)'!$D$8:$G$50008,4,0)</f>
        <v>0</v>
      </c>
      <c r="G7" s="151">
        <f>VLOOKUP(D7,'Monthly Summary (No Input)'!$D$4:$J$50008,7,0)</f>
        <v>0</v>
      </c>
      <c r="H7" s="152">
        <f>VLOOKUP(D7,'Monthly Summary (No Input)'!$D$8:$H$128,5,0)</f>
        <v>0</v>
      </c>
      <c r="I7" s="153">
        <f>VLOOKUP(D7,'Monthly Summary (No Input)'!$D$8:$Q$128,14,0)</f>
        <v>0</v>
      </c>
      <c r="J7" s="152">
        <f>VLOOKUP(D7,'Monthly Summary (No Input)'!$D$4:$K$128,8,0)</f>
        <v>0</v>
      </c>
      <c r="K7" s="154">
        <f>VLOOKUP(D7,'Monthly Summary (No Input)'!$D$8:$S$128,16,0)</f>
        <v>0</v>
      </c>
      <c r="L7" s="154">
        <f>VLOOKUP(D7,'Monthly Summary (No Input)'!$D$8:$T$128,17,0)</f>
        <v>0</v>
      </c>
      <c r="M7" s="153">
        <f>VLOOKUP(D7,'Monthly Summary (No Input)'!$D$8:$W$128,20,0)</f>
        <v>0</v>
      </c>
      <c r="N7" s="153">
        <f>VLOOKUP(D7,'Monthly Summary (No Input)'!$D$8:$X$128,21,0)</f>
        <v>0</v>
      </c>
      <c r="O7" s="152" t="str">
        <f>VLOOKUP(D7,'Monthly Summary (No Input)'!$D$8:$N$128,11,0)</f>
        <v/>
      </c>
      <c r="P7" s="152" t="str">
        <f>VLOOKUP(D7,'Monthly Summary (No Input)'!$D$8:$O$128,12,0)</f>
        <v/>
      </c>
      <c r="Q7" s="156" t="str">
        <f>VLOOKUP(D7,'Monthly Summary (No Input)'!$D$8:$P$128,13,0)</f>
        <v/>
      </c>
      <c r="R7" s="154">
        <f>VLOOKUP(D7,'Monthly Summary (No Input)'!$D$8:$R$128,15,0)</f>
        <v>0</v>
      </c>
      <c r="S7" s="154">
        <f>VLOOKUP(D7,'Monthly Summary (No Input)'!$D$8:$U$128,18,0)</f>
        <v>0</v>
      </c>
      <c r="T7" s="154">
        <f>VLOOKUP(D7,'Monthly Summary (No Input)'!$D$8:$V$128,19,0)</f>
        <v>0</v>
      </c>
      <c r="U7" s="153">
        <f>VLOOKUP(D7,'Monthly Summary (No Input)'!$D$8:$Y$128,22,0)</f>
        <v>0</v>
      </c>
      <c r="V7" s="156"/>
      <c r="W7" s="156"/>
      <c r="X7" s="156"/>
      <c r="Y7" s="156"/>
      <c r="Z7" s="156"/>
      <c r="AA7" s="156"/>
      <c r="AB7" s="157">
        <f t="shared" ref="AB7:AB34" si="0">SUM(O7:Z7)-AA7</f>
        <v>0</v>
      </c>
    </row>
    <row r="8" spans="2:28" s="141" customFormat="1" x14ac:dyDescent="0.25">
      <c r="B8" s="149">
        <f>'Monthly Summary (No Input)'!B10</f>
        <v>3</v>
      </c>
      <c r="C8" s="149" t="str">
        <f>'Monthly Summary (No Input)'!C10</f>
        <v>DSL-DHK</v>
      </c>
      <c r="D8" s="150" t="str">
        <f>'Monthly Summary (No Input)'!D10</f>
        <v>Md. Minhazul Islam</v>
      </c>
      <c r="E8" s="149">
        <f>'Monthly Summary (No Input)'!E10</f>
        <v>2330</v>
      </c>
      <c r="F8" s="151">
        <f>VLOOKUP(D8,'Monthly Summary (No Input)'!$D$8:$G$50008,4,0)</f>
        <v>0</v>
      </c>
      <c r="G8" s="151">
        <f>VLOOKUP(D8,'Monthly Summary (No Input)'!$D$4:$J$50008,7,0)</f>
        <v>0</v>
      </c>
      <c r="H8" s="152">
        <f>VLOOKUP(D8,'Monthly Summary (No Input)'!$D$8:$H$128,5,0)</f>
        <v>0</v>
      </c>
      <c r="I8" s="153">
        <f>VLOOKUP(D8,'Monthly Summary (No Input)'!$D$8:$Q$128,14,0)</f>
        <v>0</v>
      </c>
      <c r="J8" s="152">
        <f>VLOOKUP(D8,'Monthly Summary (No Input)'!$D$4:$K$128,8,0)</f>
        <v>0</v>
      </c>
      <c r="K8" s="154">
        <f>VLOOKUP(D8,'Monthly Summary (No Input)'!$D$8:$S$128,16,0)</f>
        <v>0</v>
      </c>
      <c r="L8" s="154">
        <f>VLOOKUP(D8,'Monthly Summary (No Input)'!$D$8:$T$128,17,0)</f>
        <v>0</v>
      </c>
      <c r="M8" s="153">
        <f>VLOOKUP(D8,'Monthly Summary (No Input)'!$D$8:$W$128,20,0)</f>
        <v>0</v>
      </c>
      <c r="N8" s="153">
        <f>VLOOKUP(D8,'Monthly Summary (No Input)'!$D$8:$X$128,21,0)</f>
        <v>0</v>
      </c>
      <c r="O8" s="152" t="str">
        <f>VLOOKUP(D8,'Monthly Summary (No Input)'!$D$8:$N$128,11,0)</f>
        <v/>
      </c>
      <c r="P8" s="152" t="str">
        <f>VLOOKUP(D8,'Monthly Summary (No Input)'!$D$8:$O$128,12,0)</f>
        <v/>
      </c>
      <c r="Q8" s="156" t="str">
        <f>VLOOKUP(D8,'Monthly Summary (No Input)'!$D$8:$P$128,13,0)</f>
        <v/>
      </c>
      <c r="R8" s="154">
        <f>VLOOKUP(D8,'Monthly Summary (No Input)'!$D$8:$R$128,15,0)</f>
        <v>0</v>
      </c>
      <c r="S8" s="154">
        <f>VLOOKUP(D8,'Monthly Summary (No Input)'!$D$8:$U$128,18,0)</f>
        <v>0</v>
      </c>
      <c r="T8" s="154">
        <f>VLOOKUP(D8,'Monthly Summary (No Input)'!$D$8:$V$128,19,0)</f>
        <v>0</v>
      </c>
      <c r="U8" s="153">
        <f>VLOOKUP(D8,'Monthly Summary (No Input)'!$D$8:$Y$128,22,0)</f>
        <v>0</v>
      </c>
      <c r="V8" s="156"/>
      <c r="W8" s="156"/>
      <c r="X8" s="156"/>
      <c r="Y8" s="156"/>
      <c r="Z8" s="156"/>
      <c r="AA8" s="156"/>
      <c r="AB8" s="157">
        <f t="shared" si="0"/>
        <v>0</v>
      </c>
    </row>
    <row r="9" spans="2:28" s="141" customFormat="1" x14ac:dyDescent="0.25">
      <c r="B9" s="149">
        <f>'Monthly Summary (No Input)'!B11</f>
        <v>4</v>
      </c>
      <c r="C9" s="149" t="str">
        <f>'Monthly Summary (No Input)'!C11</f>
        <v>DSL-DHK</v>
      </c>
      <c r="D9" s="150" t="str">
        <f>'Monthly Summary (No Input)'!D11</f>
        <v>Md. Nazmul Hasan Titu</v>
      </c>
      <c r="E9" s="149">
        <f>'Monthly Summary (No Input)'!E11</f>
        <v>2913</v>
      </c>
      <c r="F9" s="151">
        <f>VLOOKUP(D9,'Monthly Summary (No Input)'!$D$8:$G$50008,4,0)</f>
        <v>250000</v>
      </c>
      <c r="G9" s="166">
        <f>VLOOKUP(D9,'Monthly Summary (No Input)'!$D$4:$J$50008,7,0)</f>
        <v>112500</v>
      </c>
      <c r="H9" s="152">
        <f>VLOOKUP(D9,'Monthly Summary (No Input)'!$D$8:$H$128,5,0)</f>
        <v>709063</v>
      </c>
      <c r="I9" s="153">
        <f>VLOOKUP(D9,'Monthly Summary (No Input)'!$D$8:$Q$128,14,0)</f>
        <v>429</v>
      </c>
      <c r="J9" s="167">
        <f>VLOOKUP(D9,'Monthly Summary (No Input)'!$D$4:$K$128,8,0)</f>
        <v>709063</v>
      </c>
      <c r="K9" s="154">
        <f>VLOOKUP(D9,'Monthly Summary (No Input)'!$D$8:$S$128,16,0)</f>
        <v>131824</v>
      </c>
      <c r="L9" s="154">
        <f>VLOOKUP(D9,'Monthly Summary (No Input)'!$D$8:$T$128,17,0)</f>
        <v>0</v>
      </c>
      <c r="M9" s="153">
        <f>VLOOKUP(D9,'Monthly Summary (No Input)'!$D$8:$W$128,20,0)</f>
        <v>0</v>
      </c>
      <c r="N9" s="153">
        <f>VLOOKUP(D9,'Monthly Summary (No Input)'!$D$8:$X$128,21,0)</f>
        <v>0</v>
      </c>
      <c r="O9" s="154">
        <f>VLOOKUP(D9,'Monthly Summary (No Input)'!$D$8:$N$128,11,0)</f>
        <v>23044.547500000001</v>
      </c>
      <c r="P9" s="152">
        <f>VLOOKUP(D9,'Monthly Summary (No Input)'!$D$8:$O$128,12,0)</f>
        <v>2500</v>
      </c>
      <c r="Q9" s="155">
        <f>VLOOKUP(D9,'Monthly Summary (No Input)'!$D$8:$P$128,13,0)</f>
        <v>5965.63</v>
      </c>
      <c r="R9" s="154">
        <f>VLOOKUP(D9,'Monthly Summary (No Input)'!$D$8:$R$128,15,0)</f>
        <v>2145</v>
      </c>
      <c r="S9" s="154">
        <f>VLOOKUP(D9,'Monthly Summary (No Input)'!$D$8:$U$128,18,0)</f>
        <v>5300</v>
      </c>
      <c r="T9" s="154">
        <f>VLOOKUP(D9,'Monthly Summary (No Input)'!$D$8:$V$128,19,0)</f>
        <v>0</v>
      </c>
      <c r="U9" s="153">
        <f>VLOOKUP(D9,'Monthly Summary (No Input)'!$D$8:$Y$128,22,0)</f>
        <v>0</v>
      </c>
      <c r="V9" s="154">
        <v>4500</v>
      </c>
      <c r="W9" s="154">
        <v>3300</v>
      </c>
      <c r="X9" s="154">
        <v>1250</v>
      </c>
      <c r="Y9" s="156"/>
      <c r="Z9" s="156"/>
      <c r="AA9" s="156"/>
      <c r="AB9" s="157">
        <f t="shared" si="0"/>
        <v>48005.177500000005</v>
      </c>
    </row>
    <row r="10" spans="2:28" s="141" customFormat="1" ht="13.5" customHeight="1" x14ac:dyDescent="0.25">
      <c r="B10" s="149">
        <f>'Monthly Summary (No Input)'!B12</f>
        <v>5</v>
      </c>
      <c r="C10" s="149" t="str">
        <f>'Monthly Summary (No Input)'!C12</f>
        <v>DSL-DHK</v>
      </c>
      <c r="D10" s="150" t="str">
        <f>'Monthly Summary (No Input)'!D12</f>
        <v>Md. Zahirul Islam</v>
      </c>
      <c r="E10" s="149">
        <f>'Monthly Summary (No Input)'!E12</f>
        <v>2914</v>
      </c>
      <c r="F10" s="151">
        <f>VLOOKUP(D10,'Monthly Summary (No Input)'!$D$8:$G$50008,4,0)</f>
        <v>1000000</v>
      </c>
      <c r="G10" s="166">
        <f>VLOOKUP(D10,'Monthly Summary (No Input)'!$D$4:$J$50008,7,0)</f>
        <v>450000</v>
      </c>
      <c r="H10" s="152">
        <f>VLOOKUP(D10,'Monthly Summary (No Input)'!$D$8:$H$128,5,0)</f>
        <v>764379</v>
      </c>
      <c r="I10" s="153">
        <f>VLOOKUP(D10,'Monthly Summary (No Input)'!$D$8:$Q$128,14,0)</f>
        <v>300</v>
      </c>
      <c r="J10" s="167">
        <f>VLOOKUP(D10,'Monthly Summary (No Input)'!$D$4:$K$128,8,0)</f>
        <v>764379</v>
      </c>
      <c r="K10" s="154">
        <f>VLOOKUP(D10,'Monthly Summary (No Input)'!$D$8:$S$128,16,0)</f>
        <v>186389</v>
      </c>
      <c r="L10" s="154">
        <f>VLOOKUP(D10,'Monthly Summary (No Input)'!$D$8:$T$128,17,0)</f>
        <v>0</v>
      </c>
      <c r="M10" s="153">
        <f>VLOOKUP(D10,'Monthly Summary (No Input)'!$D$8:$W$128,20,0)</f>
        <v>0</v>
      </c>
      <c r="N10" s="153">
        <f>VLOOKUP(D10,'Monthly Summary (No Input)'!$D$8:$X$128,21,0)</f>
        <v>0</v>
      </c>
      <c r="O10" s="152">
        <f>VLOOKUP(D10,'Monthly Summary (No Input)'!$D$8:$N$128,11,0)</f>
        <v>24842.317500000001</v>
      </c>
      <c r="P10" s="152">
        <f>VLOOKUP(D10,'Monthly Summary (No Input)'!$D$8:$O$128,12,0)</f>
        <v>2500</v>
      </c>
      <c r="Q10" s="155">
        <f>VLOOKUP(D10,'Monthly Summary (No Input)'!$D$8:$P$128,13,0)</f>
        <v>3143.79</v>
      </c>
      <c r="R10" s="154">
        <f>VLOOKUP(D10,'Monthly Summary (No Input)'!$D$8:$R$128,15,0)</f>
        <v>1500</v>
      </c>
      <c r="S10" s="154">
        <f>VLOOKUP(D10,'Monthly Summary (No Input)'!$D$8:$U$128,18,0)</f>
        <v>7750</v>
      </c>
      <c r="T10" s="154">
        <f>VLOOKUP(D10,'Monthly Summary (No Input)'!$D$8:$V$128,19,0)</f>
        <v>0</v>
      </c>
      <c r="U10" s="153">
        <f>VLOOKUP(D10,'Monthly Summary (No Input)'!$D$8:$Y$128,22,0)</f>
        <v>0</v>
      </c>
      <c r="V10" s="154">
        <v>4500</v>
      </c>
      <c r="W10" s="154">
        <v>3800</v>
      </c>
      <c r="X10" s="154">
        <v>1250</v>
      </c>
      <c r="Y10" s="156"/>
      <c r="Z10" s="156"/>
      <c r="AA10" s="156">
        <v>184</v>
      </c>
      <c r="AB10" s="157">
        <f t="shared" si="0"/>
        <v>49102.107499999998</v>
      </c>
    </row>
    <row r="11" spans="2:28" s="141" customFormat="1" x14ac:dyDescent="0.25">
      <c r="B11" s="149">
        <f>'Monthly Summary (No Input)'!B13</f>
        <v>6</v>
      </c>
      <c r="C11" s="149" t="str">
        <f>'Monthly Summary (No Input)'!C13</f>
        <v>DSL-DHK</v>
      </c>
      <c r="D11" s="150" t="str">
        <f>'Monthly Summary (No Input)'!D13</f>
        <v>Md. Rakibul Hasan</v>
      </c>
      <c r="E11" s="149">
        <f>'Monthly Summary (No Input)'!E13</f>
        <v>2927</v>
      </c>
      <c r="F11" s="151">
        <f>VLOOKUP(D11,'Monthly Summary (No Input)'!$D$8:$G$50008,4,0)</f>
        <v>300000</v>
      </c>
      <c r="G11" s="166">
        <f>VLOOKUP(D11,'Monthly Summary (No Input)'!$D$4:$J$50008,7,0)</f>
        <v>135000</v>
      </c>
      <c r="H11" s="152">
        <f>VLOOKUP(D11,'Monthly Summary (No Input)'!$D$8:$H$128,5,0)</f>
        <v>1061650</v>
      </c>
      <c r="I11" s="153">
        <f>VLOOKUP(D11,'Monthly Summary (No Input)'!$D$8:$Q$128,14,0)</f>
        <v>110</v>
      </c>
      <c r="J11" s="167">
        <f>VLOOKUP(D11,'Monthly Summary (No Input)'!$D$4:$K$128,8,0)</f>
        <v>517716</v>
      </c>
      <c r="K11" s="154">
        <f>VLOOKUP(D11,'Monthly Summary (No Input)'!$D$8:$S$128,16,0)</f>
        <v>184700</v>
      </c>
      <c r="L11" s="154">
        <f>VLOOKUP(D11,'Monthly Summary (No Input)'!$D$8:$T$128,17,0)</f>
        <v>9554</v>
      </c>
      <c r="M11" s="153">
        <f>VLOOKUP(D11,'Monthly Summary (No Input)'!$D$8:$W$128,20,0)</f>
        <v>0</v>
      </c>
      <c r="N11" s="153">
        <f>VLOOKUP(D11,'Monthly Summary (No Input)'!$D$8:$X$128,21,0)</f>
        <v>0</v>
      </c>
      <c r="O11" s="154">
        <f>VLOOKUP(D11,'Monthly Summary (No Input)'!$D$8:$N$128,11,0)</f>
        <v>15531.48</v>
      </c>
      <c r="P11" s="152">
        <f>VLOOKUP(D11,'Monthly Summary (No Input)'!$D$8:$O$128,12,0)</f>
        <v>2000</v>
      </c>
      <c r="Q11" s="156">
        <f>VLOOKUP(D11,'Monthly Summary (No Input)'!$D$8:$P$128,13,0)</f>
        <v>3827.16</v>
      </c>
      <c r="R11" s="154">
        <f>VLOOKUP(D11,'Monthly Summary (No Input)'!$D$8:$R$128,15,0)</f>
        <v>550</v>
      </c>
      <c r="S11" s="154">
        <f>VLOOKUP(D11,'Monthly Summary (No Input)'!$D$8:$U$128,18,0)</f>
        <v>2750</v>
      </c>
      <c r="T11" s="154">
        <f>VLOOKUP(D11,'Monthly Summary (No Input)'!$D$8:$V$128,19,0)</f>
        <v>700</v>
      </c>
      <c r="U11" s="153">
        <f>VLOOKUP(D11,'Monthly Summary (No Input)'!$D$8:$Y$128,22,0)</f>
        <v>0</v>
      </c>
      <c r="V11" s="154">
        <v>4500</v>
      </c>
      <c r="W11" s="154">
        <v>3800</v>
      </c>
      <c r="X11" s="154">
        <v>1250</v>
      </c>
      <c r="Y11" s="156"/>
      <c r="Z11" s="156"/>
      <c r="AA11" s="156"/>
      <c r="AB11" s="157">
        <f t="shared" si="0"/>
        <v>34908.639999999999</v>
      </c>
    </row>
    <row r="12" spans="2:28" s="141" customFormat="1" x14ac:dyDescent="0.25">
      <c r="B12" s="149">
        <f>'Monthly Summary (No Input)'!B14</f>
        <v>7</v>
      </c>
      <c r="C12" s="149" t="str">
        <f>'Monthly Summary (No Input)'!C14</f>
        <v>DSL-DHK</v>
      </c>
      <c r="D12" s="150" t="str">
        <f>'Monthly Summary (No Input)'!D14</f>
        <v>Md Ariful Islam</v>
      </c>
      <c r="E12" s="149">
        <f>'Monthly Summary (No Input)'!E14</f>
        <v>2699</v>
      </c>
      <c r="F12" s="151">
        <f>VLOOKUP(D12,'Monthly Summary (No Input)'!$D$8:$G$50008,4,0)</f>
        <v>400000</v>
      </c>
      <c r="G12" s="166">
        <f>VLOOKUP(D12,'Monthly Summary (No Input)'!$D$4:$J$50008,7,0)</f>
        <v>180000</v>
      </c>
      <c r="H12" s="152">
        <f>VLOOKUP(D12,'Monthly Summary (No Input)'!$D$8:$H$128,5,0)</f>
        <v>0</v>
      </c>
      <c r="I12" s="153">
        <f>VLOOKUP(D12,'Monthly Summary (No Input)'!$D$8:$Q$128,14,0)</f>
        <v>0</v>
      </c>
      <c r="J12" s="152">
        <f>VLOOKUP(D12,'Monthly Summary (No Input)'!$D$4:$K$128,8,0)</f>
        <v>0</v>
      </c>
      <c r="K12" s="154">
        <f>VLOOKUP(D12,'Monthly Summary (No Input)'!$D$8:$S$128,16,0)</f>
        <v>0</v>
      </c>
      <c r="L12" s="154">
        <f>VLOOKUP(D12,'Monthly Summary (No Input)'!$D$8:$T$128,17,0)</f>
        <v>0</v>
      </c>
      <c r="M12" s="153">
        <f>VLOOKUP(D12,'Monthly Summary (No Input)'!$D$8:$W$128,20,0)</f>
        <v>0</v>
      </c>
      <c r="N12" s="153">
        <f>VLOOKUP(D12,'Monthly Summary (No Input)'!$D$8:$X$128,21,0)</f>
        <v>0</v>
      </c>
      <c r="O12" s="152" t="str">
        <f>VLOOKUP(D12,'Monthly Summary (No Input)'!$D$8:$N$128,11,0)</f>
        <v/>
      </c>
      <c r="P12" s="152" t="str">
        <f>VLOOKUP(D12,'Monthly Summary (No Input)'!$D$8:$O$128,12,0)</f>
        <v/>
      </c>
      <c r="Q12" s="156" t="str">
        <f>VLOOKUP(D12,'Monthly Summary (No Input)'!$D$8:$P$128,13,0)</f>
        <v/>
      </c>
      <c r="R12" s="154">
        <f>VLOOKUP(D12,'Monthly Summary (No Input)'!$D$8:$R$128,15,0)</f>
        <v>0</v>
      </c>
      <c r="S12" s="154">
        <f>VLOOKUP(D12,'Monthly Summary (No Input)'!$D$8:$U$128,18,0)</f>
        <v>0</v>
      </c>
      <c r="T12" s="154">
        <f>VLOOKUP(D12,'Monthly Summary (No Input)'!$D$8:$V$128,19,0)</f>
        <v>0</v>
      </c>
      <c r="U12" s="153">
        <f>VLOOKUP(D12,'Monthly Summary (No Input)'!$D$8:$Y$128,22,0)</f>
        <v>0</v>
      </c>
      <c r="V12" s="154">
        <v>4500</v>
      </c>
      <c r="W12" s="154">
        <v>3300</v>
      </c>
      <c r="X12" s="154">
        <v>1250</v>
      </c>
      <c r="Y12" s="156"/>
      <c r="Z12" s="156"/>
      <c r="AA12" s="156">
        <v>1703</v>
      </c>
      <c r="AB12" s="157">
        <f t="shared" si="0"/>
        <v>7347</v>
      </c>
    </row>
    <row r="13" spans="2:28" s="141" customFormat="1" x14ac:dyDescent="0.25">
      <c r="B13" s="149">
        <f>'Monthly Summary (No Input)'!B15</f>
        <v>8</v>
      </c>
      <c r="C13" s="149" t="str">
        <f>'Monthly Summary (No Input)'!C15</f>
        <v>DSL-DHK</v>
      </c>
      <c r="D13" s="150" t="str">
        <f>'Monthly Summary (No Input)'!D15</f>
        <v>Mohammad Jewel Rana</v>
      </c>
      <c r="E13" s="149" t="str">
        <f>'Monthly Summary (No Input)'!E15</f>
        <v>3002</v>
      </c>
      <c r="F13" s="151">
        <f>VLOOKUP(D13,'Monthly Summary (No Input)'!$D$8:$G$50008,4,0)</f>
        <v>600000</v>
      </c>
      <c r="G13" s="166">
        <f>VLOOKUP(D13,'Monthly Summary (No Input)'!$D$4:$J$50008,7,0)</f>
        <v>270000</v>
      </c>
      <c r="H13" s="152">
        <f>VLOOKUP(D13,'Monthly Summary (No Input)'!$D$8:$H$128,5,0)</f>
        <v>437175</v>
      </c>
      <c r="I13" s="153">
        <f>VLOOKUP(D13,'Monthly Summary (No Input)'!$D$8:$Q$128,14,0)</f>
        <v>120</v>
      </c>
      <c r="J13" s="167">
        <f>VLOOKUP(D13,'Monthly Summary (No Input)'!$D$4:$K$128,8,0)</f>
        <v>437175</v>
      </c>
      <c r="K13" s="154">
        <f>VLOOKUP(D13,'Monthly Summary (No Input)'!$D$8:$S$128,16,0)</f>
        <v>77596</v>
      </c>
      <c r="L13" s="154">
        <f>VLOOKUP(D13,'Monthly Summary (No Input)'!$D$8:$T$128,17,0)</f>
        <v>0</v>
      </c>
      <c r="M13" s="153">
        <f>VLOOKUP(D13,'Monthly Summary (No Input)'!$D$8:$W$128,20,0)</f>
        <v>1</v>
      </c>
      <c r="N13" s="153">
        <f>VLOOKUP(D13,'Monthly Summary (No Input)'!$D$8:$X$128,21,0)</f>
        <v>0</v>
      </c>
      <c r="O13" s="154">
        <f>VLOOKUP(D13,'Monthly Summary (No Input)'!$D$8:$N$128,11,0)</f>
        <v>12022.3125</v>
      </c>
      <c r="P13" s="152">
        <f>VLOOKUP(D13,'Monthly Summary (No Input)'!$D$8:$O$128,12,0)</f>
        <v>1750</v>
      </c>
      <c r="Q13" s="155">
        <f>VLOOKUP(D13,'Monthly Summary (No Input)'!$D$8:$P$128,13,0)</f>
        <v>1671.75</v>
      </c>
      <c r="R13" s="154">
        <f>VLOOKUP(D13,'Monthly Summary (No Input)'!$D$8:$R$128,15,0)</f>
        <v>600</v>
      </c>
      <c r="S13" s="154">
        <f>VLOOKUP(D13,'Monthly Summary (No Input)'!$D$8:$U$128,18,0)</f>
        <v>2700</v>
      </c>
      <c r="T13" s="154">
        <f>VLOOKUP(D13,'Monthly Summary (No Input)'!$D$8:$V$128,19,0)</f>
        <v>0</v>
      </c>
      <c r="U13" s="153">
        <f>VLOOKUP(D13,'Monthly Summary (No Input)'!$D$8:$Y$128,22,0)</f>
        <v>500</v>
      </c>
      <c r="V13" s="154">
        <v>4500</v>
      </c>
      <c r="W13" s="154">
        <v>3800</v>
      </c>
      <c r="X13" s="154">
        <v>1250</v>
      </c>
      <c r="Y13" s="156"/>
      <c r="Z13" s="156"/>
      <c r="AA13" s="156">
        <v>439</v>
      </c>
      <c r="AB13" s="157">
        <f t="shared" si="0"/>
        <v>28355.0625</v>
      </c>
    </row>
    <row r="14" spans="2:28" s="141" customFormat="1" x14ac:dyDescent="0.25">
      <c r="B14" s="149">
        <f>'Monthly Summary (No Input)'!B16</f>
        <v>9</v>
      </c>
      <c r="C14" s="149" t="str">
        <f>'Monthly Summary (No Input)'!C16</f>
        <v>DSL-DHK</v>
      </c>
      <c r="D14" s="150" t="str">
        <f>'Monthly Summary (No Input)'!D16</f>
        <v>Faysal Ahmed</v>
      </c>
      <c r="E14" s="149" t="str">
        <f>'Monthly Summary (No Input)'!E16</f>
        <v>3004</v>
      </c>
      <c r="F14" s="151">
        <f>VLOOKUP(D14,'Monthly Summary (No Input)'!$D$8:$G$50008,4,0)</f>
        <v>600000</v>
      </c>
      <c r="G14" s="166">
        <f>VLOOKUP(D14,'Monthly Summary (No Input)'!$D$4:$J$50008,7,0)</f>
        <v>270000</v>
      </c>
      <c r="H14" s="152">
        <f>VLOOKUP(D14,'Monthly Summary (No Input)'!$D$8:$H$128,5,0)</f>
        <v>505895</v>
      </c>
      <c r="I14" s="153">
        <f>VLOOKUP(D14,'Monthly Summary (No Input)'!$D$8:$Q$128,14,0)</f>
        <v>100</v>
      </c>
      <c r="J14" s="167">
        <f>VLOOKUP(D14,'Monthly Summary (No Input)'!$D$4:$K$128,8,0)</f>
        <v>505895</v>
      </c>
      <c r="K14" s="154">
        <f>VLOOKUP(D14,'Monthly Summary (No Input)'!$D$8:$S$128,16,0)</f>
        <v>194107</v>
      </c>
      <c r="L14" s="154">
        <f>VLOOKUP(D14,'Monthly Summary (No Input)'!$D$8:$T$128,17,0)</f>
        <v>223322</v>
      </c>
      <c r="M14" s="153">
        <f>VLOOKUP(D14,'Monthly Summary (No Input)'!$D$8:$W$128,20,0)</f>
        <v>0</v>
      </c>
      <c r="N14" s="153">
        <f>VLOOKUP(D14,'Monthly Summary (No Input)'!$D$8:$X$128,21,0)</f>
        <v>0</v>
      </c>
      <c r="O14" s="154">
        <f>VLOOKUP(D14,'Monthly Summary (No Input)'!$D$8:$N$128,11,0)</f>
        <v>15176.849999999999</v>
      </c>
      <c r="P14" s="152">
        <f>VLOOKUP(D14,'Monthly Summary (No Input)'!$D$8:$O$128,12,0)</f>
        <v>2000</v>
      </c>
      <c r="Q14" s="155">
        <f>VLOOKUP(D14,'Monthly Summary (No Input)'!$D$8:$P$128,13,0)</f>
        <v>2358.9500000000003</v>
      </c>
      <c r="R14" s="154">
        <f>VLOOKUP(D14,'Monthly Summary (No Input)'!$D$8:$R$128,15,0)</f>
        <v>500</v>
      </c>
      <c r="S14" s="154">
        <f>VLOOKUP(D14,'Monthly Summary (No Input)'!$D$8:$U$128,18,0)</f>
        <v>3200</v>
      </c>
      <c r="T14" s="154">
        <f>VLOOKUP(D14,'Monthly Summary (No Input)'!$D$8:$V$128,19,0)</f>
        <v>1800</v>
      </c>
      <c r="U14" s="153">
        <f>VLOOKUP(D14,'Monthly Summary (No Input)'!$D$8:$Y$128,22,0)</f>
        <v>0</v>
      </c>
      <c r="V14" s="154">
        <v>4500</v>
      </c>
      <c r="W14" s="154">
        <v>3800</v>
      </c>
      <c r="X14" s="154">
        <v>1250</v>
      </c>
      <c r="Y14" s="156"/>
      <c r="Z14" s="156"/>
      <c r="AA14" s="156">
        <v>476</v>
      </c>
      <c r="AB14" s="157">
        <f t="shared" si="0"/>
        <v>34109.800000000003</v>
      </c>
    </row>
    <row r="15" spans="2:28" s="141" customFormat="1" x14ac:dyDescent="0.25">
      <c r="B15" s="149">
        <f>'Monthly Summary (No Input)'!B17</f>
        <v>10</v>
      </c>
      <c r="C15" s="149" t="str">
        <f>'Monthly Summary (No Input)'!C17</f>
        <v>DSL-DHK</v>
      </c>
      <c r="D15" s="150" t="str">
        <f>'Monthly Summary (No Input)'!D17</f>
        <v>Rakibul Islam Razib</v>
      </c>
      <c r="E15" s="149" t="str">
        <f>'Monthly Summary (No Input)'!E17</f>
        <v>3006</v>
      </c>
      <c r="F15" s="151">
        <f>VLOOKUP(D15,'Monthly Summary (No Input)'!$D$8:$G$50008,4,0)</f>
        <v>250000</v>
      </c>
      <c r="G15" s="166">
        <f>VLOOKUP(D15,'Monthly Summary (No Input)'!$D$4:$J$50008,7,0)</f>
        <v>112500</v>
      </c>
      <c r="H15" s="152">
        <f>VLOOKUP(D15,'Monthly Summary (No Input)'!$D$8:$H$128,5,0)</f>
        <v>129195</v>
      </c>
      <c r="I15" s="153">
        <f>VLOOKUP(D15,'Monthly Summary (No Input)'!$D$8:$Q$128,14,0)</f>
        <v>200</v>
      </c>
      <c r="J15" s="167">
        <f>VLOOKUP(D15,'Monthly Summary (No Input)'!$D$4:$K$128,8,0)</f>
        <v>129195</v>
      </c>
      <c r="K15" s="164">
        <f>VLOOKUP(D15,'Monthly Summary (No Input)'!$D$8:$S$128,16,0)</f>
        <v>112059</v>
      </c>
      <c r="L15" s="154">
        <f>VLOOKUP(D15,'Monthly Summary (No Input)'!$D$8:$T$128,17,0)</f>
        <v>0</v>
      </c>
      <c r="M15" s="165">
        <f>VLOOKUP(D15,'Monthly Summary (No Input)'!$D$8:$W$128,20,0)</f>
        <v>2</v>
      </c>
      <c r="N15" s="165">
        <f>VLOOKUP(D15,'Monthly Summary (No Input)'!$D$8:$X$128,21,0)</f>
        <v>0</v>
      </c>
      <c r="O15" s="154">
        <f>VLOOKUP(D15,'Monthly Summary (No Input)'!$D$8:$N$128,11,0)</f>
        <v>2260.9125000000004</v>
      </c>
      <c r="P15" s="152">
        <f>VLOOKUP(D15,'Monthly Summary (No Input)'!$D$8:$O$128,12,0)</f>
        <v>750</v>
      </c>
      <c r="Q15" s="156">
        <f>VLOOKUP(D15,'Monthly Summary (No Input)'!$D$8:$P$128,13,0)</f>
        <v>166.95000000000002</v>
      </c>
      <c r="R15" s="154">
        <f>VLOOKUP(D15,'Monthly Summary (No Input)'!$D$8:$R$128,15,0)</f>
        <v>1000</v>
      </c>
      <c r="S15" s="154">
        <f>VLOOKUP(D15,'Monthly Summary (No Input)'!$D$8:$U$128,18,0)</f>
        <v>6450</v>
      </c>
      <c r="T15" s="154">
        <f>VLOOKUP(D15,'Monthly Summary (No Input)'!$D$8:$V$128,19,0)</f>
        <v>0</v>
      </c>
      <c r="U15" s="153">
        <f>VLOOKUP(D15,'Monthly Summary (No Input)'!$D$8:$Y$128,22,0)</f>
        <v>1000</v>
      </c>
      <c r="V15" s="154">
        <v>4500</v>
      </c>
      <c r="W15" s="154">
        <v>3300</v>
      </c>
      <c r="X15" s="154">
        <v>1250</v>
      </c>
      <c r="Y15" s="156"/>
      <c r="Z15" s="156"/>
      <c r="AA15" s="156"/>
      <c r="AB15" s="157">
        <f t="shared" si="0"/>
        <v>20677.862499999999</v>
      </c>
    </row>
    <row r="16" spans="2:28" s="141" customFormat="1" ht="14.25" customHeight="1" x14ac:dyDescent="0.25">
      <c r="B16" s="149">
        <f>'Monthly Summary (No Input)'!B18</f>
        <v>11</v>
      </c>
      <c r="C16" s="149" t="str">
        <f>'Monthly Summary (No Input)'!C18</f>
        <v>DSL-DHK</v>
      </c>
      <c r="D16" s="150" t="str">
        <f>'Monthly Summary (No Input)'!D18</f>
        <v>Ashraful Islam</v>
      </c>
      <c r="E16" s="149">
        <f>'Monthly Summary (No Input)'!E18</f>
        <v>3003</v>
      </c>
      <c r="F16" s="151">
        <f>VLOOKUP(D16,'Monthly Summary (No Input)'!$D$8:$G$50008,4,0)</f>
        <v>500000</v>
      </c>
      <c r="G16" s="166">
        <f>VLOOKUP(D16,'Monthly Summary (No Input)'!$D$4:$J$50008,7,0)</f>
        <v>225000</v>
      </c>
      <c r="H16" s="152">
        <f>VLOOKUP(D16,'Monthly Summary (No Input)'!$D$8:$H$128,5,0)</f>
        <v>747948</v>
      </c>
      <c r="I16" s="153">
        <f>VLOOKUP(D16,'Monthly Summary (No Input)'!$D$8:$Q$128,14,0)</f>
        <v>350</v>
      </c>
      <c r="J16" s="167">
        <f>VLOOKUP(D16,'Monthly Summary (No Input)'!$D$4:$K$128,8,0)</f>
        <v>747948</v>
      </c>
      <c r="K16" s="164">
        <f>VLOOKUP(D16,'Monthly Summary (No Input)'!$D$8:$S$128,16,0)</f>
        <v>259519</v>
      </c>
      <c r="L16" s="154">
        <f>VLOOKUP(D16,'Monthly Summary (No Input)'!$D$8:$T$128,17,0)</f>
        <v>0</v>
      </c>
      <c r="M16" s="165">
        <f>VLOOKUP(D16,'Monthly Summary (No Input)'!$D$8:$W$128,20,0)</f>
        <v>0</v>
      </c>
      <c r="N16" s="165">
        <f>VLOOKUP(D16,'Monthly Summary (No Input)'!$D$8:$X$128,21,0)</f>
        <v>0</v>
      </c>
      <c r="O16" s="152">
        <f>VLOOKUP(D16,'Monthly Summary (No Input)'!$D$8:$N$128,11,0)</f>
        <v>24308.31</v>
      </c>
      <c r="P16" s="152">
        <f>VLOOKUP(D16,'Monthly Summary (No Input)'!$D$8:$O$128,12,0)</f>
        <v>2500</v>
      </c>
      <c r="Q16" s="155">
        <f>VLOOKUP(D16,'Monthly Summary (No Input)'!$D$8:$P$128,13,0)</f>
        <v>5229.4800000000005</v>
      </c>
      <c r="R16" s="154">
        <f>VLOOKUP(D16,'Monthly Summary (No Input)'!$D$8:$R$128,15,0)</f>
        <v>1750</v>
      </c>
      <c r="S16" s="154">
        <f>VLOOKUP(D16,'Monthly Summary (No Input)'!$D$8:$U$128,18,0)</f>
        <v>5250</v>
      </c>
      <c r="T16" s="154">
        <f>VLOOKUP(D16,'Monthly Summary (No Input)'!$D$8:$V$128,19,0)</f>
        <v>0</v>
      </c>
      <c r="U16" s="153">
        <f>VLOOKUP(D16,'Monthly Summary (No Input)'!$D$8:$Y$128,22,0)</f>
        <v>0</v>
      </c>
      <c r="V16" s="154">
        <v>4500</v>
      </c>
      <c r="W16" s="154">
        <v>3800</v>
      </c>
      <c r="X16" s="154">
        <v>1250</v>
      </c>
      <c r="Y16" s="156"/>
      <c r="Z16" s="156"/>
      <c r="AA16" s="156">
        <v>107</v>
      </c>
      <c r="AB16" s="157">
        <f t="shared" si="0"/>
        <v>48480.79</v>
      </c>
    </row>
    <row r="17" spans="2:29" s="141" customFormat="1" ht="14.25" customHeight="1" x14ac:dyDescent="0.25">
      <c r="B17" s="149">
        <f>'Monthly Summary (No Input)'!B19</f>
        <v>12</v>
      </c>
      <c r="C17" s="149" t="str">
        <f>'Monthly Summary (No Input)'!C19</f>
        <v>DSL-DHK</v>
      </c>
      <c r="D17" s="150" t="str">
        <f>'Monthly Summary (No Input)'!D19</f>
        <v>Md. Rakibul Islam</v>
      </c>
      <c r="E17" s="149">
        <f>'Monthly Summary (No Input)'!E19</f>
        <v>5690</v>
      </c>
      <c r="F17" s="151">
        <f>VLOOKUP(D17,'Monthly Summary (No Input)'!$D$8:$G$50008,4,0)</f>
        <v>600000</v>
      </c>
      <c r="G17" s="166">
        <f>VLOOKUP(D17,'Monthly Summary (No Input)'!$D$4:$J$50008,7,0)</f>
        <v>270000</v>
      </c>
      <c r="H17" s="152">
        <f>VLOOKUP(D17,'Monthly Summary (No Input)'!$D$8:$H$128,5,0)</f>
        <v>542743</v>
      </c>
      <c r="I17" s="153">
        <f>VLOOKUP(D17,'Monthly Summary (No Input)'!$D$8:$Q$128,14,0)</f>
        <v>60</v>
      </c>
      <c r="J17" s="167">
        <f>VLOOKUP(D17,'Monthly Summary (No Input)'!$D$4:$K$128,8,0)</f>
        <v>542743</v>
      </c>
      <c r="K17" s="164">
        <f>VLOOKUP(D17,'Monthly Summary (No Input)'!$D$8:$S$128,16,0)</f>
        <v>0</v>
      </c>
      <c r="L17" s="154">
        <f>VLOOKUP(D17,'Monthly Summary (No Input)'!$D$8:$T$128,17,0)</f>
        <v>0</v>
      </c>
      <c r="M17" s="165">
        <f>VLOOKUP(D17,'Monthly Summary (No Input)'!$D$8:$W$128,20,0)</f>
        <v>0</v>
      </c>
      <c r="N17" s="165">
        <f>VLOOKUP(D17,'Monthly Summary (No Input)'!$D$8:$X$128,21,0)</f>
        <v>0</v>
      </c>
      <c r="O17" s="154">
        <f>VLOOKUP(D17,'Monthly Summary (No Input)'!$D$8:$N$128,11,0)</f>
        <v>16282.289999999999</v>
      </c>
      <c r="P17" s="152">
        <f>VLOOKUP(D17,'Monthly Summary (No Input)'!$D$8:$O$128,12,0)</f>
        <v>2000</v>
      </c>
      <c r="Q17" s="174">
        <f>VLOOKUP(D17,'Monthly Summary (No Input)'!$D$8:$P$128,13,0)</f>
        <v>2727.43</v>
      </c>
      <c r="R17" s="154">
        <f>VLOOKUP(D17,'Monthly Summary (No Input)'!$D$8:$R$128,15,0)</f>
        <v>300</v>
      </c>
      <c r="S17" s="154">
        <f>VLOOKUP(D17,'Monthly Summary (No Input)'!$D$8:$U$128,18,0)</f>
        <v>0</v>
      </c>
      <c r="T17" s="154">
        <f>VLOOKUP(D17,'Monthly Summary (No Input)'!$D$8:$V$128,19,0)</f>
        <v>0</v>
      </c>
      <c r="U17" s="153">
        <f>VLOOKUP(D17,'Monthly Summary (No Input)'!$D$8:$Y$128,22,0)</f>
        <v>0</v>
      </c>
      <c r="V17" s="154">
        <v>3500</v>
      </c>
      <c r="W17" s="154">
        <v>3800</v>
      </c>
      <c r="X17" s="154">
        <v>1250</v>
      </c>
      <c r="Y17" s="156"/>
      <c r="Z17" s="156"/>
      <c r="AA17" s="156"/>
      <c r="AB17" s="157">
        <f t="shared" si="0"/>
        <v>29859.72</v>
      </c>
    </row>
    <row r="18" spans="2:29" s="141" customFormat="1" x14ac:dyDescent="0.25">
      <c r="B18" s="149">
        <f>'Monthly Summary (No Input)'!B20</f>
        <v>13</v>
      </c>
      <c r="C18" s="149" t="str">
        <f>'Monthly Summary (No Input)'!C20</f>
        <v>DSL-DHK</v>
      </c>
      <c r="D18" s="150" t="str">
        <f>'Monthly Summary (No Input)'!D20</f>
        <v>Ohid Hasan Saikat</v>
      </c>
      <c r="E18" s="149">
        <f>'Monthly Summary (No Input)'!E20</f>
        <v>5691</v>
      </c>
      <c r="F18" s="151">
        <f>VLOOKUP(D18,'Monthly Summary (No Input)'!$D$8:$G$50008,4,0)</f>
        <v>300000</v>
      </c>
      <c r="G18" s="166">
        <f>VLOOKUP(D18,'Monthly Summary (No Input)'!$D$4:$J$50008,7,0)</f>
        <v>135000</v>
      </c>
      <c r="H18" s="152">
        <f>VLOOKUP(D18,'Monthly Summary (No Input)'!$D$8:$H$128,5,0)</f>
        <v>0</v>
      </c>
      <c r="I18" s="153">
        <f>VLOOKUP(D18,'Monthly Summary (No Input)'!$D$8:$Q$128,14,0)</f>
        <v>0</v>
      </c>
      <c r="J18" s="167">
        <f>VLOOKUP(D18,'Monthly Summary (No Input)'!$D$4:$K$128,8,0)</f>
        <v>0</v>
      </c>
      <c r="K18" s="164">
        <f>VLOOKUP(D18,'Monthly Summary (No Input)'!$D$8:$S$128,16,0)</f>
        <v>293913</v>
      </c>
      <c r="L18" s="154">
        <f>VLOOKUP(D18,'Monthly Summary (No Input)'!$D$8:$T$128,17,0)</f>
        <v>12830</v>
      </c>
      <c r="M18" s="165">
        <f>VLOOKUP(D18,'Monthly Summary (No Input)'!$D$8:$W$128,20,0)</f>
        <v>0</v>
      </c>
      <c r="N18" s="165">
        <f>VLOOKUP(D18,'Monthly Summary (No Input)'!$D$8:$X$128,21,0)</f>
        <v>0</v>
      </c>
      <c r="O18" s="152" t="str">
        <f>VLOOKUP(D18,'Monthly Summary (No Input)'!$D$8:$N$128,11,0)</f>
        <v/>
      </c>
      <c r="P18" s="152" t="str">
        <f>VLOOKUP(D18,'Monthly Summary (No Input)'!$D$8:$O$128,12,0)</f>
        <v/>
      </c>
      <c r="Q18" s="156" t="str">
        <f>VLOOKUP(D18,'Monthly Summary (No Input)'!$D$8:$P$128,13,0)</f>
        <v/>
      </c>
      <c r="R18" s="154">
        <f>VLOOKUP(D18,'Monthly Summary (No Input)'!$D$8:$R$128,15,0)</f>
        <v>0</v>
      </c>
      <c r="S18" s="154">
        <f>VLOOKUP(D18,'Monthly Summary (No Input)'!$D$8:$U$128,18,0)</f>
        <v>6900</v>
      </c>
      <c r="T18" s="154">
        <f>VLOOKUP(D18,'Monthly Summary (No Input)'!$D$8:$V$128,19,0)</f>
        <v>700</v>
      </c>
      <c r="U18" s="153">
        <f>VLOOKUP(D18,'Monthly Summary (No Input)'!$D$8:$Y$128,22,0)</f>
        <v>0</v>
      </c>
      <c r="V18" s="154">
        <v>3500</v>
      </c>
      <c r="W18" s="154">
        <v>3300</v>
      </c>
      <c r="X18" s="154">
        <v>1250</v>
      </c>
      <c r="Y18" s="156"/>
      <c r="Z18" s="156"/>
      <c r="AA18" s="156">
        <v>35</v>
      </c>
      <c r="AB18" s="157">
        <f t="shared" si="0"/>
        <v>15615</v>
      </c>
    </row>
    <row r="19" spans="2:29" s="141" customFormat="1" x14ac:dyDescent="0.25">
      <c r="B19" s="149">
        <f>'Monthly Summary (No Input)'!B21</f>
        <v>14</v>
      </c>
      <c r="C19" s="149" t="str">
        <f>'Monthly Summary (No Input)'!C21</f>
        <v>DSL-DHK</v>
      </c>
      <c r="D19" s="150" t="str">
        <f>'Monthly Summary (No Input)'!D21</f>
        <v>Abdullah Al Mahmud</v>
      </c>
      <c r="E19" s="149">
        <f>'Monthly Summary (No Input)'!E21</f>
        <v>5692</v>
      </c>
      <c r="F19" s="151">
        <f>VLOOKUP(D19,'Monthly Summary (No Input)'!$D$8:$G$50008,4,0)</f>
        <v>400000</v>
      </c>
      <c r="G19" s="166">
        <f>VLOOKUP(D19,'Monthly Summary (No Input)'!$D$4:$J$50008,7,0)</f>
        <v>180000</v>
      </c>
      <c r="H19" s="152">
        <f>VLOOKUP(D19,'Monthly Summary (No Input)'!$D$8:$H$128,5,0)</f>
        <v>0</v>
      </c>
      <c r="I19" s="153">
        <f>VLOOKUP(D19,'Monthly Summary (No Input)'!$D$8:$Q$128,14,0)</f>
        <v>0</v>
      </c>
      <c r="J19" s="163">
        <f>VLOOKUP(D19,'Monthly Summary (No Input)'!$D$4:$K$128,8,0)</f>
        <v>0</v>
      </c>
      <c r="K19" s="164">
        <f>VLOOKUP(D19,'Monthly Summary (No Input)'!$D$8:$S$128,16,0)</f>
        <v>74600</v>
      </c>
      <c r="L19" s="154">
        <f>VLOOKUP(D19,'Monthly Summary (No Input)'!$D$8:$T$128,17,0)</f>
        <v>0</v>
      </c>
      <c r="M19" s="165">
        <f>VLOOKUP(D19,'Monthly Summary (No Input)'!$D$8:$W$128,20,0)</f>
        <v>0</v>
      </c>
      <c r="N19" s="165">
        <f>VLOOKUP(D19,'Monthly Summary (No Input)'!$D$8:$X$128,21,0)</f>
        <v>0</v>
      </c>
      <c r="O19" s="152" t="str">
        <f>VLOOKUP(D19,'Monthly Summary (No Input)'!$D$8:$N$128,11,0)</f>
        <v/>
      </c>
      <c r="P19" s="152" t="str">
        <f>VLOOKUP(D19,'Monthly Summary (No Input)'!$D$8:$O$128,12,0)</f>
        <v/>
      </c>
      <c r="Q19" s="156" t="str">
        <f>VLOOKUP(D19,'Monthly Summary (No Input)'!$D$8:$P$128,13,0)</f>
        <v/>
      </c>
      <c r="R19" s="154">
        <f>VLOOKUP(D19,'Monthly Summary (No Input)'!$D$8:$R$128,15,0)</f>
        <v>0</v>
      </c>
      <c r="S19" s="154">
        <f>VLOOKUP(D19,'Monthly Summary (No Input)'!$D$8:$U$128,18,0)</f>
        <v>4200</v>
      </c>
      <c r="T19" s="154">
        <f>VLOOKUP(D19,'Monthly Summary (No Input)'!$D$8:$V$128,19,0)</f>
        <v>0</v>
      </c>
      <c r="U19" s="153">
        <f>VLOOKUP(D19,'Monthly Summary (No Input)'!$D$8:$Y$128,22,0)</f>
        <v>0</v>
      </c>
      <c r="V19" s="154">
        <v>3500</v>
      </c>
      <c r="W19" s="154">
        <v>3800</v>
      </c>
      <c r="X19" s="154">
        <v>1250</v>
      </c>
      <c r="Y19" s="156"/>
      <c r="Z19" s="156"/>
      <c r="AA19" s="156"/>
      <c r="AB19" s="157">
        <f t="shared" si="0"/>
        <v>12750</v>
      </c>
    </row>
    <row r="20" spans="2:29" s="141" customFormat="1" x14ac:dyDescent="0.25">
      <c r="B20" s="149">
        <f>'Monthly Summary (No Input)'!B22</f>
        <v>15</v>
      </c>
      <c r="C20" s="149" t="str">
        <f>'Monthly Summary (No Input)'!C22</f>
        <v>DSL-DHK</v>
      </c>
      <c r="D20" s="150" t="str">
        <f>'Monthly Summary (No Input)'!D22</f>
        <v>Apurba Kumar Gain</v>
      </c>
      <c r="E20" s="149">
        <f>'Monthly Summary (No Input)'!E22</f>
        <v>5927</v>
      </c>
      <c r="F20" s="151">
        <f>VLOOKUP(D20,'Monthly Summary (No Input)'!$D$8:$G$50008,4,0)</f>
        <v>230000</v>
      </c>
      <c r="G20" s="166">
        <f>VLOOKUP(D20,'Monthly Summary (No Input)'!$D$4:$J$50008,7,0)</f>
        <v>103500</v>
      </c>
      <c r="H20" s="152">
        <f>VLOOKUP(D20,'Monthly Summary (No Input)'!$D$8:$H$128,5,0)</f>
        <v>80890</v>
      </c>
      <c r="I20" s="153">
        <f>VLOOKUP(D20,'Monthly Summary (No Input)'!$D$8:$Q$128,14,0)</f>
        <v>80</v>
      </c>
      <c r="J20" s="167">
        <f>VLOOKUP(D20,'Monthly Summary (No Input)'!$D$4:$K$128,8,0)</f>
        <v>75251</v>
      </c>
      <c r="K20" s="164">
        <f>VLOOKUP(D20,'Monthly Summary (No Input)'!$D$8:$S$128,16,0)</f>
        <v>64300</v>
      </c>
      <c r="L20" s="154">
        <f>VLOOKUP(D20,'Monthly Summary (No Input)'!$D$8:$T$128,17,0)</f>
        <v>0</v>
      </c>
      <c r="M20" s="165">
        <f>VLOOKUP(D20,'Monthly Summary (No Input)'!$D$8:$W$128,20,0)</f>
        <v>0</v>
      </c>
      <c r="N20" s="165">
        <f>VLOOKUP(D20,'Monthly Summary (No Input)'!$D$8:$X$128,21,0)</f>
        <v>0</v>
      </c>
      <c r="O20" s="152">
        <f>VLOOKUP(D20,'Monthly Summary (No Input)'!$D$8:$N$128,11,0)</f>
        <v>0</v>
      </c>
      <c r="P20" s="152">
        <f>VLOOKUP(D20,'Monthly Summary (No Input)'!$D$8:$O$128,12,0)</f>
        <v>0</v>
      </c>
      <c r="Q20" s="156" t="str">
        <f>VLOOKUP(D20,'Monthly Summary (No Input)'!$D$8:$P$128,13,0)</f>
        <v/>
      </c>
      <c r="R20" s="154">
        <f>VLOOKUP(D20,'Monthly Summary (No Input)'!$D$8:$R$128,15,0)</f>
        <v>400</v>
      </c>
      <c r="S20" s="154">
        <f>VLOOKUP(D20,'Monthly Summary (No Input)'!$D$8:$U$128,18,0)</f>
        <v>3350</v>
      </c>
      <c r="T20" s="154">
        <f>VLOOKUP(D20,'Monthly Summary (No Input)'!$D$8:$V$128,19,0)</f>
        <v>0</v>
      </c>
      <c r="U20" s="153">
        <f>VLOOKUP(D20,'Monthly Summary (No Input)'!$D$8:$Y$128,22,0)</f>
        <v>0</v>
      </c>
      <c r="V20" s="154">
        <v>3500</v>
      </c>
      <c r="W20" s="154">
        <v>3300</v>
      </c>
      <c r="X20" s="154">
        <v>1250</v>
      </c>
      <c r="Y20" s="156"/>
      <c r="Z20" s="156"/>
      <c r="AA20" s="156"/>
      <c r="AB20" s="157">
        <f t="shared" si="0"/>
        <v>11800</v>
      </c>
    </row>
    <row r="21" spans="2:29" s="141" customFormat="1" x14ac:dyDescent="0.25">
      <c r="B21" s="149">
        <f>'Monthly Summary (No Input)'!B23</f>
        <v>16</v>
      </c>
      <c r="C21" s="149" t="str">
        <f>'Monthly Summary (No Input)'!C23</f>
        <v>DSL-DHK</v>
      </c>
      <c r="D21" s="150" t="str">
        <f>'Monthly Summary (No Input)'!D23</f>
        <v>Amirul Islam</v>
      </c>
      <c r="E21" s="149">
        <f>'Monthly Summary (No Input)'!E23</f>
        <v>5928</v>
      </c>
      <c r="F21" s="151">
        <f>VLOOKUP(D21,'Monthly Summary (No Input)'!$D$8:$G$50008,4,0)</f>
        <v>250000</v>
      </c>
      <c r="G21" s="166">
        <f>VLOOKUP(D21,'Monthly Summary (No Input)'!$D$4:$J$50008,7,0)</f>
        <v>112500</v>
      </c>
      <c r="H21" s="152">
        <f>VLOOKUP(D21,'Monthly Summary (No Input)'!$D$8:$H$128,5,0)</f>
        <v>0</v>
      </c>
      <c r="I21" s="153">
        <f>VLOOKUP(D21,'Monthly Summary (No Input)'!$D$8:$Q$128,14,0)</f>
        <v>0</v>
      </c>
      <c r="J21" s="163">
        <f>VLOOKUP(D21,'Monthly Summary (No Input)'!$D$4:$K$128,8,0)</f>
        <v>0</v>
      </c>
      <c r="K21" s="164">
        <f>VLOOKUP(D21,'Monthly Summary (No Input)'!$D$8:$S$128,16,0)</f>
        <v>58900</v>
      </c>
      <c r="L21" s="154">
        <f>VLOOKUP(D21,'Monthly Summary (No Input)'!$D$8:$T$128,17,0)</f>
        <v>0</v>
      </c>
      <c r="M21" s="165">
        <f>VLOOKUP(D21,'Monthly Summary (No Input)'!$D$8:$W$128,20,0)</f>
        <v>1</v>
      </c>
      <c r="N21" s="165">
        <f>VLOOKUP(D21,'Monthly Summary (No Input)'!$D$8:$X$128,21,0)</f>
        <v>1</v>
      </c>
      <c r="O21" s="152" t="str">
        <f>VLOOKUP(D21,'Monthly Summary (No Input)'!$D$8:$N$128,11,0)</f>
        <v/>
      </c>
      <c r="P21" s="152" t="str">
        <f>VLOOKUP(D21,'Monthly Summary (No Input)'!$D$8:$O$128,12,0)</f>
        <v/>
      </c>
      <c r="Q21" s="156" t="str">
        <f>VLOOKUP(D21,'Monthly Summary (No Input)'!$D$8:$P$128,13,0)</f>
        <v/>
      </c>
      <c r="R21" s="154">
        <f>VLOOKUP(D21,'Monthly Summary (No Input)'!$D$8:$R$128,15,0)</f>
        <v>0</v>
      </c>
      <c r="S21" s="154">
        <f>VLOOKUP(D21,'Monthly Summary (No Input)'!$D$8:$U$128,18,0)</f>
        <v>3900</v>
      </c>
      <c r="T21" s="154">
        <f>VLOOKUP(D21,'Monthly Summary (No Input)'!$D$8:$V$128,19,0)</f>
        <v>0</v>
      </c>
      <c r="U21" s="153">
        <f>VLOOKUP(D21,'Monthly Summary (No Input)'!$D$8:$Y$128,22,0)</f>
        <v>1500</v>
      </c>
      <c r="V21" s="154">
        <v>3500</v>
      </c>
      <c r="W21" s="154">
        <v>3300</v>
      </c>
      <c r="X21" s="154">
        <v>1250</v>
      </c>
      <c r="Y21" s="156"/>
      <c r="Z21" s="156"/>
      <c r="AA21" s="156"/>
      <c r="AB21" s="157">
        <f t="shared" si="0"/>
        <v>13450</v>
      </c>
    </row>
    <row r="22" spans="2:29" s="141" customFormat="1" x14ac:dyDescent="0.25">
      <c r="B22" s="149">
        <f>'Monthly Summary (No Input)'!B24</f>
        <v>17</v>
      </c>
      <c r="C22" s="149" t="str">
        <f>'Monthly Summary (No Input)'!C24</f>
        <v>DSL-DHK</v>
      </c>
      <c r="D22" s="150" t="str">
        <f>'Monthly Summary (No Input)'!D24</f>
        <v>Md. Jafor Ikbal</v>
      </c>
      <c r="E22" s="149">
        <f>'Monthly Summary (No Input)'!E24</f>
        <v>5929</v>
      </c>
      <c r="F22" s="151">
        <f>VLOOKUP(D22,'Monthly Summary (No Input)'!$D$8:$G$50008,4,0)</f>
        <v>0</v>
      </c>
      <c r="G22" s="160">
        <f>VLOOKUP(D22,'Monthly Summary (No Input)'!$D$4:$J$50008,7,0)</f>
        <v>0</v>
      </c>
      <c r="H22" s="152">
        <f>VLOOKUP(D22,'Monthly Summary (No Input)'!$D$8:$H$128,5,0)</f>
        <v>0</v>
      </c>
      <c r="I22" s="153">
        <f>VLOOKUP(D22,'Monthly Summary (No Input)'!$D$8:$Q$128,14,0)</f>
        <v>0</v>
      </c>
      <c r="J22" s="163">
        <f>VLOOKUP(D22,'Monthly Summary (No Input)'!$D$4:$K$128,8,0)</f>
        <v>0</v>
      </c>
      <c r="K22" s="164">
        <f>VLOOKUP(D22,'Monthly Summary (No Input)'!$D$8:$S$128,16,0)</f>
        <v>324166</v>
      </c>
      <c r="L22" s="154">
        <f>VLOOKUP(D22,'Monthly Summary (No Input)'!$D$8:$T$128,17,0)</f>
        <v>360094</v>
      </c>
      <c r="M22" s="165">
        <f>VLOOKUP(D22,'Monthly Summary (No Input)'!$D$8:$W$128,20,0)</f>
        <v>0</v>
      </c>
      <c r="N22" s="165">
        <f>VLOOKUP(D22,'Monthly Summary (No Input)'!$D$8:$X$128,21,0)</f>
        <v>1</v>
      </c>
      <c r="O22" s="152" t="str">
        <f>VLOOKUP(D22,'Monthly Summary (No Input)'!$D$8:$N$128,11,0)</f>
        <v/>
      </c>
      <c r="P22" s="152" t="str">
        <f>VLOOKUP(D22,'Monthly Summary (No Input)'!$D$8:$O$128,12,0)</f>
        <v/>
      </c>
      <c r="Q22" s="156" t="str">
        <f>VLOOKUP(D22,'Monthly Summary (No Input)'!$D$8:$P$128,13,0)</f>
        <v/>
      </c>
      <c r="R22" s="154">
        <f>VLOOKUP(D22,'Monthly Summary (No Input)'!$D$8:$R$128,15,0)</f>
        <v>0</v>
      </c>
      <c r="S22" s="154">
        <f>VLOOKUP(D22,'Monthly Summary (No Input)'!$D$8:$U$128,18,0)</f>
        <v>6000</v>
      </c>
      <c r="T22" s="154">
        <f>VLOOKUP(D22,'Monthly Summary (No Input)'!$D$8:$V$128,19,0)</f>
        <v>4250</v>
      </c>
      <c r="U22" s="153">
        <f>VLOOKUP(D22,'Monthly Summary (No Input)'!$D$8:$Y$128,22,0)</f>
        <v>1000</v>
      </c>
      <c r="V22" s="154">
        <v>3500</v>
      </c>
      <c r="W22" s="154">
        <v>3300</v>
      </c>
      <c r="X22" s="154">
        <v>1250</v>
      </c>
      <c r="Y22" s="156"/>
      <c r="Z22" s="156"/>
      <c r="AA22" s="156">
        <v>213</v>
      </c>
      <c r="AB22" s="157">
        <f t="shared" si="0"/>
        <v>19087</v>
      </c>
      <c r="AC22" s="148"/>
    </row>
    <row r="23" spans="2:29" s="141" customFormat="1" x14ac:dyDescent="0.25">
      <c r="B23" s="149">
        <f>'Monthly Summary (No Input)'!B25</f>
        <v>14</v>
      </c>
      <c r="C23" s="149" t="str">
        <f>'Monthly Summary (No Input)'!C25</f>
        <v>DSL-DHK</v>
      </c>
      <c r="D23" s="150" t="str">
        <f>'Monthly Summary (No Input)'!D25</f>
        <v>Md. Habibur Rahman</v>
      </c>
      <c r="E23" s="149">
        <f>'Monthly Summary (No Input)'!E25</f>
        <v>6079</v>
      </c>
      <c r="F23" s="151">
        <f>VLOOKUP(D23,'Monthly Summary (No Input)'!$D$8:$G$50008,4,0)</f>
        <v>250000</v>
      </c>
      <c r="G23" s="166">
        <f>VLOOKUP(D23,'Monthly Summary (No Input)'!$D$4:$J$50008,7,0)</f>
        <v>112500</v>
      </c>
      <c r="H23" s="152">
        <f>VLOOKUP(D23,'Monthly Summary (No Input)'!$D$8:$H$128,5,0)</f>
        <v>263694</v>
      </c>
      <c r="I23" s="153">
        <f>VLOOKUP(D23,'Monthly Summary (No Input)'!$D$8:$Q$128,14,0)</f>
        <v>80</v>
      </c>
      <c r="J23" s="167">
        <f>VLOOKUP(D23,'Monthly Summary (No Input)'!$D$4:$K$128,8,0)</f>
        <v>263694</v>
      </c>
      <c r="K23" s="164">
        <f>VLOOKUP(D23,'Monthly Summary (No Input)'!$D$8:$S$128,16,0)</f>
        <v>0</v>
      </c>
      <c r="L23" s="154">
        <f>VLOOKUP(D23,'Monthly Summary (No Input)'!$D$8:$T$128,17,0)</f>
        <v>8110</v>
      </c>
      <c r="M23" s="165">
        <f>VLOOKUP(D23,'Monthly Summary (No Input)'!$D$8:$W$128,20,0)</f>
        <v>0</v>
      </c>
      <c r="N23" s="165">
        <f>VLOOKUP(D23,'Monthly Summary (No Input)'!$D$8:$X$128,21,0)</f>
        <v>0</v>
      </c>
      <c r="O23" s="154">
        <f>VLOOKUP(D23,'Monthly Summary (No Input)'!$D$8:$N$128,11,0)</f>
        <v>5933.1149999999998</v>
      </c>
      <c r="P23" s="152">
        <f>VLOOKUP(D23,'Monthly Summary (No Input)'!$D$8:$O$128,12,0)</f>
        <v>1250</v>
      </c>
      <c r="Q23" s="155">
        <f>VLOOKUP(D23,'Monthly Summary (No Input)'!$D$8:$P$128,13,0)</f>
        <v>1511.94</v>
      </c>
      <c r="R23" s="154">
        <f>VLOOKUP(D23,'Monthly Summary (No Input)'!$D$8:$R$128,15,0)</f>
        <v>400</v>
      </c>
      <c r="S23" s="154">
        <f>VLOOKUP(D23,'Monthly Summary (No Input)'!$D$8:$U$128,18,0)</f>
        <v>0</v>
      </c>
      <c r="T23" s="154">
        <f>VLOOKUP(D23,'Monthly Summary (No Input)'!$D$8:$V$128,19,0)</f>
        <v>400</v>
      </c>
      <c r="U23" s="153">
        <f>VLOOKUP(D23,'Monthly Summary (No Input)'!$D$8:$Y$128,22,0)</f>
        <v>0</v>
      </c>
      <c r="V23" s="154">
        <v>3500</v>
      </c>
      <c r="W23" s="154">
        <v>3800</v>
      </c>
      <c r="X23" s="154">
        <v>1250</v>
      </c>
      <c r="Y23" s="156"/>
      <c r="Z23" s="156"/>
      <c r="AA23" s="156"/>
      <c r="AB23" s="157">
        <f t="shared" si="0"/>
        <v>18045.055</v>
      </c>
    </row>
    <row r="24" spans="2:29" s="141" customFormat="1" x14ac:dyDescent="0.25">
      <c r="B24" s="149">
        <f>'Monthly Summary (No Input)'!B26</f>
        <v>15</v>
      </c>
      <c r="C24" s="149" t="str">
        <f>'Monthly Summary (No Input)'!C26</f>
        <v>DSL-DHK</v>
      </c>
      <c r="D24" s="150" t="str">
        <f>'Monthly Summary (No Input)'!D26</f>
        <v>Ashikur Rahman</v>
      </c>
      <c r="E24" s="149">
        <f>'Monthly Summary (No Input)'!E26</f>
        <v>6080</v>
      </c>
      <c r="F24" s="151">
        <f>VLOOKUP(D24,'Monthly Summary (No Input)'!$D$8:$G$50008,4,0)</f>
        <v>500000</v>
      </c>
      <c r="G24" s="166">
        <f>VLOOKUP(D24,'Monthly Summary (No Input)'!$D$4:$J$50008,7,0)</f>
        <v>225000</v>
      </c>
      <c r="H24" s="152">
        <f>VLOOKUP(D24,'Monthly Summary (No Input)'!$D$8:$H$128,5,0)</f>
        <v>0</v>
      </c>
      <c r="I24" s="153">
        <f>VLOOKUP(D24,'Monthly Summary (No Input)'!$D$8:$Q$128,14,0)</f>
        <v>0</v>
      </c>
      <c r="J24" s="167">
        <f>VLOOKUP(D24,'Monthly Summary (No Input)'!$D$4:$K$128,8,0)</f>
        <v>296744</v>
      </c>
      <c r="K24" s="164">
        <f>VLOOKUP(D24,'Monthly Summary (No Input)'!$D$8:$S$128,16,0)</f>
        <v>250830</v>
      </c>
      <c r="L24" s="154">
        <f>VLOOKUP(D24,'Monthly Summary (No Input)'!$D$8:$T$128,17,0)</f>
        <v>0</v>
      </c>
      <c r="M24" s="165">
        <f>VLOOKUP(D24,'Monthly Summary (No Input)'!$D$8:$W$128,20,0)</f>
        <v>0</v>
      </c>
      <c r="N24" s="165">
        <f>VLOOKUP(D24,'Monthly Summary (No Input)'!$D$8:$X$128,21,0)</f>
        <v>0</v>
      </c>
      <c r="O24" s="154">
        <f>VLOOKUP(D24,'Monthly Summary (No Input)'!$D$8:$N$128,11,0)</f>
        <v>6676.74</v>
      </c>
      <c r="P24" s="152">
        <f>VLOOKUP(D24,'Monthly Summary (No Input)'!$D$8:$O$128,12,0)</f>
        <v>1250</v>
      </c>
      <c r="Q24" s="156">
        <f>VLOOKUP(D24,'Monthly Summary (No Input)'!$D$8:$P$128,13,0)</f>
        <v>717.44</v>
      </c>
      <c r="R24" s="154">
        <f>VLOOKUP(D24,'Monthly Summary (No Input)'!$D$8:$R$128,15,0)</f>
        <v>0</v>
      </c>
      <c r="S24" s="154">
        <f>VLOOKUP(D24,'Monthly Summary (No Input)'!$D$8:$U$128,18,0)</f>
        <v>5800</v>
      </c>
      <c r="T24" s="154">
        <f>VLOOKUP(D24,'Monthly Summary (No Input)'!$D$8:$V$128,19,0)</f>
        <v>0</v>
      </c>
      <c r="U24" s="153">
        <f>VLOOKUP(D24,'Monthly Summary (No Input)'!$D$8:$Y$128,22,0)</f>
        <v>0</v>
      </c>
      <c r="V24" s="154">
        <v>3500</v>
      </c>
      <c r="W24" s="154">
        <v>3800</v>
      </c>
      <c r="X24" s="154">
        <v>1250</v>
      </c>
      <c r="Y24" s="156"/>
      <c r="Z24" s="156"/>
      <c r="AA24" s="156"/>
      <c r="AB24" s="157">
        <f t="shared" si="0"/>
        <v>22994.18</v>
      </c>
    </row>
    <row r="25" spans="2:29" s="141" customFormat="1" x14ac:dyDescent="0.25">
      <c r="B25" s="149">
        <f>'Monthly Summary (No Input)'!B27</f>
        <v>16</v>
      </c>
      <c r="C25" s="149" t="str">
        <f>'Monthly Summary (No Input)'!C27</f>
        <v>DSL-DHK</v>
      </c>
      <c r="D25" s="150" t="str">
        <f>'Monthly Summary (No Input)'!D27</f>
        <v>Md. Sujon Hossain</v>
      </c>
      <c r="E25" s="149">
        <f>'Monthly Summary (No Input)'!E27</f>
        <v>6078</v>
      </c>
      <c r="F25" s="151">
        <f>VLOOKUP(D25,'Monthly Summary (No Input)'!$D$8:$G$50008,4,0)</f>
        <v>600000</v>
      </c>
      <c r="G25" s="166">
        <f>VLOOKUP(D25,'Monthly Summary (No Input)'!$D$4:$J$50008,7,0)</f>
        <v>270000</v>
      </c>
      <c r="H25" s="152">
        <f>VLOOKUP(D25,'Monthly Summary (No Input)'!$D$8:$H$128,5,0)</f>
        <v>290128</v>
      </c>
      <c r="I25" s="153">
        <f>VLOOKUP(D25,'Monthly Summary (No Input)'!$D$8:$Q$128,14,0)</f>
        <v>0</v>
      </c>
      <c r="J25" s="167">
        <f>VLOOKUP(D25,'Monthly Summary (No Input)'!$D$4:$K$128,8,0)</f>
        <v>290128</v>
      </c>
      <c r="K25" s="164">
        <f>VLOOKUP(D25,'Monthly Summary (No Input)'!$D$8:$S$128,16,0)</f>
        <v>274343</v>
      </c>
      <c r="L25" s="154">
        <f>VLOOKUP(D25,'Monthly Summary (No Input)'!$D$8:$T$128,17,0)</f>
        <v>0</v>
      </c>
      <c r="M25" s="165">
        <f>VLOOKUP(D25,'Monthly Summary (No Input)'!$D$8:$W$128,20,0)</f>
        <v>0</v>
      </c>
      <c r="N25" s="165">
        <f>VLOOKUP(D25,'Monthly Summary (No Input)'!$D$8:$X$128,21,0)</f>
        <v>0</v>
      </c>
      <c r="O25" s="154">
        <f>VLOOKUP(D25,'Monthly Summary (No Input)'!$D$8:$N$128,11,0)</f>
        <v>6527.88</v>
      </c>
      <c r="P25" s="152">
        <f>VLOOKUP(D25,'Monthly Summary (No Input)'!$D$8:$O$128,12,0)</f>
        <v>1250</v>
      </c>
      <c r="Q25" s="155">
        <f>VLOOKUP(D25,'Monthly Summary (No Input)'!$D$8:$P$128,13,0)</f>
        <v>201.28</v>
      </c>
      <c r="R25" s="154">
        <f>VLOOKUP(D25,'Monthly Summary (No Input)'!$D$8:$R$128,15,0)</f>
        <v>0</v>
      </c>
      <c r="S25" s="154">
        <f>VLOOKUP(D25,'Monthly Summary (No Input)'!$D$8:$U$128,18,0)</f>
        <v>9600</v>
      </c>
      <c r="T25" s="154">
        <f>VLOOKUP(D25,'Monthly Summary (No Input)'!$D$8:$V$128,19,0)</f>
        <v>0</v>
      </c>
      <c r="U25" s="153">
        <f>VLOOKUP(D25,'Monthly Summary (No Input)'!$D$8:$Y$128,22,0)</f>
        <v>0</v>
      </c>
      <c r="V25" s="154">
        <v>3500</v>
      </c>
      <c r="W25" s="154">
        <v>3800</v>
      </c>
      <c r="X25" s="154">
        <v>1250</v>
      </c>
      <c r="Y25" s="156"/>
      <c r="Z25" s="156"/>
      <c r="AA25" s="156">
        <v>759</v>
      </c>
      <c r="AB25" s="157">
        <f t="shared" si="0"/>
        <v>25370.16</v>
      </c>
    </row>
    <row r="26" spans="2:29" s="141" customFormat="1" ht="14.25" customHeight="1" x14ac:dyDescent="0.25">
      <c r="B26" s="149">
        <f>'Monthly Summary (No Input)'!B28</f>
        <v>15</v>
      </c>
      <c r="C26" s="149" t="str">
        <f>'Monthly Summary (No Input)'!C28</f>
        <v>DSL-DHK</v>
      </c>
      <c r="D26" s="150" t="str">
        <f>'Monthly Summary (No Input)'!D28</f>
        <v xml:space="preserve">Md Jiaur Rahman </v>
      </c>
      <c r="E26" s="149" t="str">
        <f>'Monthly Summary (No Input)'!E28</f>
        <v>0522</v>
      </c>
      <c r="F26" s="151">
        <f>VLOOKUP(D26,'Monthly Summary (No Input)'!$D$8:$G$50008,4,0)</f>
        <v>900000</v>
      </c>
      <c r="G26" s="160">
        <f>VLOOKUP(D26,'Monthly Summary (No Input)'!$D$4:$J$50008,7,0)</f>
        <v>405000</v>
      </c>
      <c r="H26" s="152">
        <f>VLOOKUP(D26,'Monthly Summary (No Input)'!$D$8:$H$128,5,0)</f>
        <v>0</v>
      </c>
      <c r="I26" s="153">
        <f>VLOOKUP(D26,'Monthly Summary (No Input)'!$D$8:$Q$128,14,0)</f>
        <v>0</v>
      </c>
      <c r="J26" s="163">
        <f>VLOOKUP(D26,'Monthly Summary (No Input)'!$D$4:$K$128,8,0)</f>
        <v>0</v>
      </c>
      <c r="K26" s="164">
        <f>VLOOKUP(D26,'Monthly Summary (No Input)'!$D$8:$S$128,16,0)</f>
        <v>0</v>
      </c>
      <c r="L26" s="154">
        <f>VLOOKUP(D26,'Monthly Summary (No Input)'!$D$8:$T$128,17,0)</f>
        <v>0</v>
      </c>
      <c r="M26" s="165">
        <f>VLOOKUP(D26,'Monthly Summary (No Input)'!$D$8:$W$128,20,0)</f>
        <v>0</v>
      </c>
      <c r="N26" s="165">
        <f>VLOOKUP(D26,'Monthly Summary (No Input)'!$D$8:$X$128,21,0)</f>
        <v>0</v>
      </c>
      <c r="O26" s="154" t="str">
        <f>VLOOKUP(D26,'Monthly Summary (No Input)'!$D$8:$N$128,11,0)</f>
        <v/>
      </c>
      <c r="P26" s="152" t="str">
        <f>VLOOKUP(D26,'Monthly Summary (No Input)'!$D$8:$O$128,12,0)</f>
        <v/>
      </c>
      <c r="Q26" s="155" t="str">
        <f>VLOOKUP(D26,'Monthly Summary (No Input)'!$D$8:$P$128,13,0)</f>
        <v/>
      </c>
      <c r="R26" s="154">
        <f>VLOOKUP(D26,'Monthly Summary (No Input)'!$D$8:$R$128,15,0)</f>
        <v>0</v>
      </c>
      <c r="S26" s="154">
        <f>VLOOKUP(D26,'Monthly Summary (No Input)'!$D$8:$U$128,18,0)</f>
        <v>0</v>
      </c>
      <c r="T26" s="154">
        <f>VLOOKUP(D26,'Monthly Summary (No Input)'!$D$8:$V$128,19,0)</f>
        <v>0</v>
      </c>
      <c r="U26" s="153">
        <f>VLOOKUP(D26,'Monthly Summary (No Input)'!$D$8:$Y$128,22,0)</f>
        <v>0</v>
      </c>
      <c r="V26" s="155"/>
      <c r="W26" s="155"/>
      <c r="X26" s="155"/>
      <c r="Y26" s="156"/>
      <c r="Z26" s="156"/>
      <c r="AA26" s="156"/>
      <c r="AB26" s="157">
        <f t="shared" si="0"/>
        <v>0</v>
      </c>
    </row>
    <row r="27" spans="2:29" s="141" customFormat="1" ht="14.25" customHeight="1" x14ac:dyDescent="0.25">
      <c r="B27" s="149">
        <f>'Monthly Summary (No Input)'!B29</f>
        <v>16</v>
      </c>
      <c r="C27" s="149" t="str">
        <f>'Monthly Summary (No Input)'!C29</f>
        <v/>
      </c>
      <c r="D27" s="150" t="str">
        <f>'Monthly Summary (No Input)'!D29</f>
        <v>New-2</v>
      </c>
      <c r="E27" s="149" t="str">
        <f>'Monthly Summary (No Input)'!E29</f>
        <v/>
      </c>
      <c r="F27" s="151">
        <f>VLOOKUP(D27,'Monthly Summary (No Input)'!$D$8:$G$50008,4,0)</f>
        <v>0</v>
      </c>
      <c r="G27" s="160">
        <f>VLOOKUP(D27,'Monthly Summary (No Input)'!$D$4:$J$50008,7,0)</f>
        <v>0</v>
      </c>
      <c r="H27" s="152">
        <f>VLOOKUP(D27,'Monthly Summary (No Input)'!$D$8:$H$128,5,0)</f>
        <v>0</v>
      </c>
      <c r="I27" s="153">
        <f>VLOOKUP(D27,'Monthly Summary (No Input)'!$D$8:$Q$128,14,0)</f>
        <v>0</v>
      </c>
      <c r="J27" s="163">
        <f>VLOOKUP(D27,'Monthly Summary (No Input)'!$D$4:$K$128,8,0)</f>
        <v>0</v>
      </c>
      <c r="K27" s="164">
        <f>VLOOKUP(D27,'Monthly Summary (No Input)'!$D$8:$S$128,16,0)</f>
        <v>0</v>
      </c>
      <c r="L27" s="154">
        <f>VLOOKUP(D27,'Monthly Summary (No Input)'!$D$8:$T$128,17,0)</f>
        <v>0</v>
      </c>
      <c r="M27" s="165">
        <f>VLOOKUP(D27,'Monthly Summary (No Input)'!$D$8:$W$128,20,0)</f>
        <v>0</v>
      </c>
      <c r="N27" s="165">
        <f>VLOOKUP(D27,'Monthly Summary (No Input)'!$D$8:$X$128,21,0)</f>
        <v>0</v>
      </c>
      <c r="O27" s="152" t="str">
        <f>VLOOKUP(D27,'Monthly Summary (No Input)'!$D$8:$N$128,11,0)</f>
        <v/>
      </c>
      <c r="P27" s="152" t="str">
        <f>VLOOKUP(D27,'Monthly Summary (No Input)'!$D$8:$O$128,12,0)</f>
        <v/>
      </c>
      <c r="Q27" s="156" t="str">
        <f>VLOOKUP(D27,'Monthly Summary (No Input)'!$D$8:$P$128,13,0)</f>
        <v/>
      </c>
      <c r="R27" s="154">
        <f>VLOOKUP(D27,'Monthly Summary (No Input)'!$D$8:$R$128,15,0)</f>
        <v>0</v>
      </c>
      <c r="S27" s="154">
        <f>VLOOKUP(D27,'Monthly Summary (No Input)'!$D$8:$U$128,18,0)</f>
        <v>0</v>
      </c>
      <c r="T27" s="154">
        <f>VLOOKUP(D27,'Monthly Summary (No Input)'!$D$8:$V$128,19,0)</f>
        <v>0</v>
      </c>
      <c r="U27" s="153">
        <f>VLOOKUP(D27,'Monthly Summary (No Input)'!$D$8:$Y$128,22,0)</f>
        <v>0</v>
      </c>
      <c r="V27" s="156"/>
      <c r="W27" s="156"/>
      <c r="X27" s="156"/>
      <c r="Y27" s="156"/>
      <c r="Z27" s="156"/>
      <c r="AA27" s="156"/>
      <c r="AB27" s="157">
        <f t="shared" si="0"/>
        <v>0</v>
      </c>
    </row>
    <row r="28" spans="2:29" s="141" customFormat="1" x14ac:dyDescent="0.25">
      <c r="B28" s="149">
        <f>'Monthly Summary (No Input)'!B30</f>
        <v>17</v>
      </c>
      <c r="C28" s="149" t="str">
        <f>'Monthly Summary (No Input)'!C30</f>
        <v/>
      </c>
      <c r="D28" s="150" t="str">
        <f>'Monthly Summary (No Input)'!D30</f>
        <v>New-3</v>
      </c>
      <c r="E28" s="149" t="str">
        <f>'Monthly Summary (No Input)'!E30</f>
        <v/>
      </c>
      <c r="F28" s="151">
        <f>VLOOKUP(D28,'Monthly Summary (No Input)'!$D$8:$G$50008,4,0)</f>
        <v>0</v>
      </c>
      <c r="G28" s="160">
        <f>VLOOKUP(D28,'Monthly Summary (No Input)'!$D$4:$J$50008,7,0)</f>
        <v>0</v>
      </c>
      <c r="H28" s="152">
        <f>VLOOKUP(D28,'Monthly Summary (No Input)'!$D$8:$H$128,5,0)</f>
        <v>0</v>
      </c>
      <c r="I28" s="153">
        <f>VLOOKUP(D28,'Monthly Summary (No Input)'!$D$8:$Q$128,14,0)</f>
        <v>0</v>
      </c>
      <c r="J28" s="163">
        <f>VLOOKUP(D28,'Monthly Summary (No Input)'!$D$4:$K$128,8,0)</f>
        <v>0</v>
      </c>
      <c r="K28" s="164">
        <f>VLOOKUP(D28,'Monthly Summary (No Input)'!$D$8:$S$128,16,0)</f>
        <v>0</v>
      </c>
      <c r="L28" s="154">
        <f>VLOOKUP(D28,'Monthly Summary (No Input)'!$D$8:$T$128,17,0)</f>
        <v>0</v>
      </c>
      <c r="M28" s="165">
        <f>VLOOKUP(D28,'Monthly Summary (No Input)'!$D$8:$W$128,20,0)</f>
        <v>0</v>
      </c>
      <c r="N28" s="165">
        <f>VLOOKUP(D28,'Monthly Summary (No Input)'!$D$8:$X$128,21,0)</f>
        <v>0</v>
      </c>
      <c r="O28" s="152" t="str">
        <f>VLOOKUP(D28,'Monthly Summary (No Input)'!$D$8:$N$128,11,0)</f>
        <v/>
      </c>
      <c r="P28" s="152" t="str">
        <f>VLOOKUP(D28,'Monthly Summary (No Input)'!$D$8:$O$128,12,0)</f>
        <v/>
      </c>
      <c r="Q28" s="156" t="str">
        <f>VLOOKUP(D28,'Monthly Summary (No Input)'!$D$8:$P$128,13,0)</f>
        <v/>
      </c>
      <c r="R28" s="154">
        <f>VLOOKUP(D28,'Monthly Summary (No Input)'!$D$8:$R$128,15,0)</f>
        <v>0</v>
      </c>
      <c r="S28" s="154">
        <f>VLOOKUP(D28,'Monthly Summary (No Input)'!$D$8:$U$128,18,0)</f>
        <v>0</v>
      </c>
      <c r="T28" s="154">
        <f>VLOOKUP(D28,'Monthly Summary (No Input)'!$D$8:$V$128,19,0)</f>
        <v>0</v>
      </c>
      <c r="U28" s="153">
        <f>VLOOKUP(D28,'Monthly Summary (No Input)'!$D$8:$Y$128,22,0)</f>
        <v>0</v>
      </c>
      <c r="V28" s="156"/>
      <c r="W28" s="156"/>
      <c r="X28" s="156"/>
      <c r="Y28" s="156"/>
      <c r="Z28" s="156"/>
      <c r="AA28" s="156"/>
      <c r="AB28" s="157">
        <f t="shared" si="0"/>
        <v>0</v>
      </c>
    </row>
    <row r="29" spans="2:29" s="141" customFormat="1" x14ac:dyDescent="0.25">
      <c r="B29" s="149">
        <f>'Monthly Summary (No Input)'!B31</f>
        <v>18</v>
      </c>
      <c r="C29" s="149" t="str">
        <f>'Monthly Summary (No Input)'!C31</f>
        <v/>
      </c>
      <c r="D29" s="150" t="str">
        <f>'Monthly Summary (No Input)'!D31</f>
        <v>New-4</v>
      </c>
      <c r="E29" s="149" t="str">
        <f>'Monthly Summary (No Input)'!E31</f>
        <v/>
      </c>
      <c r="F29" s="151">
        <f>VLOOKUP(D29,'Monthly Summary (No Input)'!$D$8:$G$50008,4,0)</f>
        <v>0</v>
      </c>
      <c r="G29" s="160">
        <f>VLOOKUP(D29,'Monthly Summary (No Input)'!$D$4:$J$50008,7,0)</f>
        <v>0</v>
      </c>
      <c r="H29" s="152">
        <f>VLOOKUP(D29,'Monthly Summary (No Input)'!$D$8:$H$128,5,0)</f>
        <v>0</v>
      </c>
      <c r="I29" s="153">
        <f>VLOOKUP(D29,'Monthly Summary (No Input)'!$D$8:$Q$128,14,0)</f>
        <v>0</v>
      </c>
      <c r="J29" s="163">
        <f>VLOOKUP(D29,'Monthly Summary (No Input)'!$D$4:$K$128,8,0)</f>
        <v>0</v>
      </c>
      <c r="K29" s="164">
        <f>VLOOKUP(D29,'Monthly Summary (No Input)'!$D$8:$S$128,16,0)</f>
        <v>0</v>
      </c>
      <c r="L29" s="154">
        <f>VLOOKUP(D29,'Monthly Summary (No Input)'!$D$8:$T$128,17,0)</f>
        <v>0</v>
      </c>
      <c r="M29" s="165">
        <f>VLOOKUP(D29,'Monthly Summary (No Input)'!$D$8:$W$128,20,0)</f>
        <v>0</v>
      </c>
      <c r="N29" s="165">
        <f>VLOOKUP(D29,'Monthly Summary (No Input)'!$D$8:$X$128,21,0)</f>
        <v>0</v>
      </c>
      <c r="O29" s="152" t="str">
        <f>VLOOKUP(D29,'Monthly Summary (No Input)'!$D$8:$N$128,11,0)</f>
        <v/>
      </c>
      <c r="P29" s="152" t="str">
        <f>VLOOKUP(D29,'Monthly Summary (No Input)'!$D$8:$O$128,12,0)</f>
        <v/>
      </c>
      <c r="Q29" s="156" t="str">
        <f>VLOOKUP(D29,'Monthly Summary (No Input)'!$D$8:$P$128,13,0)</f>
        <v/>
      </c>
      <c r="R29" s="154">
        <f>VLOOKUP(D29,'Monthly Summary (No Input)'!$D$8:$R$128,15,0)</f>
        <v>0</v>
      </c>
      <c r="S29" s="154">
        <f>VLOOKUP(D29,'Monthly Summary (No Input)'!$D$8:$U$128,18,0)</f>
        <v>0</v>
      </c>
      <c r="T29" s="154">
        <f>VLOOKUP(D29,'Monthly Summary (No Input)'!$D$8:$V$128,19,0)</f>
        <v>0</v>
      </c>
      <c r="U29" s="153">
        <f>VLOOKUP(D29,'Monthly Summary (No Input)'!$D$8:$Y$128,22,0)</f>
        <v>0</v>
      </c>
      <c r="V29" s="156"/>
      <c r="W29" s="156"/>
      <c r="X29" s="156"/>
      <c r="Y29" s="156"/>
      <c r="Z29" s="156"/>
      <c r="AA29" s="156"/>
      <c r="AB29" s="157">
        <f t="shared" si="0"/>
        <v>0</v>
      </c>
    </row>
    <row r="30" spans="2:29" s="141" customFormat="1" x14ac:dyDescent="0.25">
      <c r="B30" s="149">
        <f>'Monthly Summary (No Input)'!B32</f>
        <v>19</v>
      </c>
      <c r="C30" s="149" t="str">
        <f>'Monthly Summary (No Input)'!C32</f>
        <v>CTG</v>
      </c>
      <c r="D30" s="150" t="str">
        <f>'Monthly Summary (No Input)'!D32</f>
        <v xml:space="preserve">Sumon Sen </v>
      </c>
      <c r="E30" s="149" t="str">
        <f>'Monthly Summary (No Input)'!E32</f>
        <v>8041</v>
      </c>
      <c r="F30" s="151">
        <f>VLOOKUP(D30,'Monthly Summary (No Input)'!$D$8:$G$50008,4,0)</f>
        <v>0</v>
      </c>
      <c r="G30" s="160">
        <f>VLOOKUP(D30,'Monthly Summary (No Input)'!$D$4:$J$50008,7,0)</f>
        <v>0</v>
      </c>
      <c r="H30" s="152">
        <f>VLOOKUP(D30,'Monthly Summary (No Input)'!$D$8:$H$128,5,0)</f>
        <v>0</v>
      </c>
      <c r="I30" s="153">
        <f>VLOOKUP(D30,'Monthly Summary (No Input)'!$D$8:$Q$128,14,0)</f>
        <v>0</v>
      </c>
      <c r="J30" s="163">
        <f>VLOOKUP(D30,'Monthly Summary (No Input)'!$D$4:$K$128,8,0)</f>
        <v>0</v>
      </c>
      <c r="K30" s="164">
        <f>VLOOKUP(D30,'Monthly Summary (No Input)'!$D$8:$S$128,16,0)</f>
        <v>0</v>
      </c>
      <c r="L30" s="154">
        <f>VLOOKUP(D30,'Monthly Summary (No Input)'!$D$8:$T$128,17,0)</f>
        <v>0</v>
      </c>
      <c r="M30" s="165">
        <f>VLOOKUP(D30,'Monthly Summary (No Input)'!$D$8:$W$128,20,0)</f>
        <v>0</v>
      </c>
      <c r="N30" s="165">
        <f>VLOOKUP(D30,'Monthly Summary (No Input)'!$D$8:$X$128,21,0)</f>
        <v>0</v>
      </c>
      <c r="O30" s="152" t="str">
        <f>VLOOKUP(D30,'Monthly Summary (No Input)'!$D$8:$N$128,11,0)</f>
        <v/>
      </c>
      <c r="P30" s="152" t="str">
        <f>VLOOKUP(D30,'Monthly Summary (No Input)'!$D$8:$O$128,12,0)</f>
        <v/>
      </c>
      <c r="Q30" s="156" t="str">
        <f>VLOOKUP(D30,'Monthly Summary (No Input)'!$D$8:$P$128,13,0)</f>
        <v/>
      </c>
      <c r="R30" s="154">
        <f>VLOOKUP(D30,'Monthly Summary (No Input)'!$D$8:$R$128,15,0)</f>
        <v>0</v>
      </c>
      <c r="S30" s="154">
        <f>VLOOKUP(D30,'Monthly Summary (No Input)'!$D$8:$U$128,18,0)</f>
        <v>0</v>
      </c>
      <c r="T30" s="154">
        <f>VLOOKUP(D30,'Monthly Summary (No Input)'!$D$8:$V$128,19,0)</f>
        <v>0</v>
      </c>
      <c r="U30" s="153">
        <f>VLOOKUP(D30,'Monthly Summary (No Input)'!$D$8:$Y$128,22,0)</f>
        <v>0</v>
      </c>
      <c r="V30" s="156"/>
      <c r="W30" s="156"/>
      <c r="X30" s="156"/>
      <c r="Y30" s="156"/>
      <c r="Z30" s="156"/>
      <c r="AA30" s="156"/>
      <c r="AB30" s="157">
        <f t="shared" si="0"/>
        <v>0</v>
      </c>
    </row>
    <row r="31" spans="2:29" s="141" customFormat="1" x14ac:dyDescent="0.25">
      <c r="B31" s="149">
        <f>'Monthly Summary (No Input)'!B33</f>
        <v>20</v>
      </c>
      <c r="C31" s="149" t="str">
        <f>'Monthly Summary (No Input)'!C33</f>
        <v>CTG</v>
      </c>
      <c r="D31" s="150" t="str">
        <f>'Monthly Summary (No Input)'!D33</f>
        <v>Tapan Barua</v>
      </c>
      <c r="E31" s="149" t="str">
        <f>'Monthly Summary (No Input)'!E33</f>
        <v>1475</v>
      </c>
      <c r="F31" s="151">
        <f>VLOOKUP(D31,'Monthly Summary (No Input)'!$D$8:$G$50008,4,0)</f>
        <v>0</v>
      </c>
      <c r="G31" s="160">
        <f>VLOOKUP(D31,'Monthly Summary (No Input)'!$D$4:$J$50008,7,0)</f>
        <v>0</v>
      </c>
      <c r="H31" s="152">
        <f>VLOOKUP(D31,'Monthly Summary (No Input)'!$D$8:$H$128,5,0)</f>
        <v>0</v>
      </c>
      <c r="I31" s="153">
        <f>VLOOKUP(D31,'Monthly Summary (No Input)'!$D$8:$Q$128,14,0)</f>
        <v>0</v>
      </c>
      <c r="J31" s="163">
        <f>VLOOKUP(D31,'Monthly Summary (No Input)'!$D$4:$K$128,8,0)</f>
        <v>0</v>
      </c>
      <c r="K31" s="164">
        <f>VLOOKUP(D31,'Monthly Summary (No Input)'!$D$8:$S$128,16,0)</f>
        <v>0</v>
      </c>
      <c r="L31" s="154">
        <f>VLOOKUP(D31,'Monthly Summary (No Input)'!$D$8:$T$128,17,0)</f>
        <v>0</v>
      </c>
      <c r="M31" s="165">
        <f>VLOOKUP(D31,'Monthly Summary (No Input)'!$D$8:$W$128,20,0)</f>
        <v>0</v>
      </c>
      <c r="N31" s="165">
        <f>VLOOKUP(D31,'Monthly Summary (No Input)'!$D$8:$X$128,21,0)</f>
        <v>0</v>
      </c>
      <c r="O31" s="152" t="str">
        <f>VLOOKUP(D31,'Monthly Summary (No Input)'!$D$8:$N$128,11,0)</f>
        <v/>
      </c>
      <c r="P31" s="152" t="str">
        <f>VLOOKUP(D31,'Monthly Summary (No Input)'!$D$8:$O$128,12,0)</f>
        <v/>
      </c>
      <c r="Q31" s="156" t="str">
        <f>VLOOKUP(D31,'Monthly Summary (No Input)'!$D$8:$P$128,13,0)</f>
        <v/>
      </c>
      <c r="R31" s="154">
        <f>VLOOKUP(D31,'Monthly Summary (No Input)'!$D$8:$R$128,15,0)</f>
        <v>0</v>
      </c>
      <c r="S31" s="154">
        <f>VLOOKUP(D31,'Monthly Summary (No Input)'!$D$8:$U$128,18,0)</f>
        <v>0</v>
      </c>
      <c r="T31" s="154">
        <f>VLOOKUP(D31,'Monthly Summary (No Input)'!$D$8:$V$128,19,0)</f>
        <v>0</v>
      </c>
      <c r="U31" s="153">
        <f>VLOOKUP(D31,'Monthly Summary (No Input)'!$D$8:$Y$128,22,0)</f>
        <v>0</v>
      </c>
      <c r="V31" s="156"/>
      <c r="W31" s="156"/>
      <c r="X31" s="156"/>
      <c r="Y31" s="156"/>
      <c r="Z31" s="156"/>
      <c r="AA31" s="156"/>
      <c r="AB31" s="157">
        <f t="shared" si="0"/>
        <v>0</v>
      </c>
    </row>
    <row r="32" spans="2:29" x14ac:dyDescent="0.25">
      <c r="B32" s="129">
        <f>'Monthly Summary (No Input)'!B34</f>
        <v>21</v>
      </c>
      <c r="C32" s="129" t="str">
        <f>'Monthly Summary (No Input)'!C34</f>
        <v>CTG</v>
      </c>
      <c r="D32" s="130" t="str">
        <f>'Monthly Summary (No Input)'!D34</f>
        <v>Sozol prince</v>
      </c>
      <c r="E32" s="129" t="str">
        <f>'Monthly Summary (No Input)'!E34</f>
        <v>6076</v>
      </c>
      <c r="F32" s="135">
        <f>VLOOKUP(D32,'Monthly Summary (No Input)'!$D$8:$G$50008,4,0)</f>
        <v>0</v>
      </c>
      <c r="G32" s="160">
        <f>VLOOKUP(D32,'Monthly Summary (No Input)'!$D$4:$J$50008,7,0)</f>
        <v>0</v>
      </c>
      <c r="H32" s="131">
        <f>VLOOKUP(D32,'Monthly Summary (No Input)'!$D$8:$H$128,5,0)</f>
        <v>0</v>
      </c>
      <c r="I32" s="132">
        <f>VLOOKUP(D32,'Monthly Summary (No Input)'!$D$8:$Q$128,14,0)</f>
        <v>0</v>
      </c>
      <c r="J32" s="163">
        <f>VLOOKUP(D32,'Monthly Summary (No Input)'!$D$4:$K$128,8,0)</f>
        <v>0</v>
      </c>
      <c r="K32" s="164">
        <f>VLOOKUP(D32,'Monthly Summary (No Input)'!$D$8:$S$128,16,0)</f>
        <v>0</v>
      </c>
      <c r="L32" s="133">
        <f>VLOOKUP(D32,'Monthly Summary (No Input)'!$D$8:$T$128,17,0)</f>
        <v>0</v>
      </c>
      <c r="M32" s="165">
        <f>VLOOKUP(D32,'Monthly Summary (No Input)'!$D$8:$W$128,20,0)</f>
        <v>0</v>
      </c>
      <c r="N32" s="165">
        <f>VLOOKUP(D32,'Monthly Summary (No Input)'!$D$8:$X$128,21,0)</f>
        <v>0</v>
      </c>
      <c r="O32" s="152" t="str">
        <f>VLOOKUP(D32,'Monthly Summary (No Input)'!$D$8:$N$128,11,0)</f>
        <v/>
      </c>
      <c r="P32" s="152" t="str">
        <f>VLOOKUP(D32,'Monthly Summary (No Input)'!$D$8:$O$128,12,0)</f>
        <v/>
      </c>
      <c r="Q32" s="156" t="str">
        <f>VLOOKUP(D32,'Monthly Summary (No Input)'!$D$8:$P$128,13,0)</f>
        <v/>
      </c>
      <c r="R32" s="154">
        <f>VLOOKUP(D32,'Monthly Summary (No Input)'!$D$8:$R$128,15,0)</f>
        <v>0</v>
      </c>
      <c r="S32" s="154">
        <f>VLOOKUP(D32,'Monthly Summary (No Input)'!$D$8:$U$128,18,0)</f>
        <v>0</v>
      </c>
      <c r="T32" s="154">
        <f>VLOOKUP(D32,'Monthly Summary (No Input)'!$D$8:$V$128,19,0)</f>
        <v>0</v>
      </c>
      <c r="U32" s="153">
        <f>VLOOKUP(D32,'Monthly Summary (No Input)'!$D$8:$Y$128,22,0)</f>
        <v>0</v>
      </c>
      <c r="V32" s="156"/>
      <c r="W32" s="134"/>
      <c r="X32" s="134"/>
      <c r="Y32" s="134"/>
      <c r="Z32" s="134"/>
      <c r="AA32" s="134"/>
      <c r="AB32" s="138">
        <f t="shared" si="0"/>
        <v>0</v>
      </c>
    </row>
    <row r="33" spans="2:28" x14ac:dyDescent="0.25">
      <c r="B33" s="129">
        <f>'Monthly Summary (No Input)'!B35</f>
        <v>16</v>
      </c>
      <c r="C33" s="129" t="str">
        <f>'Monthly Summary (No Input)'!C35</f>
        <v/>
      </c>
      <c r="D33" s="130" t="str">
        <f>'Monthly Summary (No Input)'!D35</f>
        <v>New-5</v>
      </c>
      <c r="E33" s="129" t="str">
        <f>'Monthly Summary (No Input)'!E35</f>
        <v/>
      </c>
      <c r="F33" s="135">
        <f>VLOOKUP(D33,'Monthly Summary (No Input)'!$D$8:$G$50008,4,0)</f>
        <v>0</v>
      </c>
      <c r="G33" s="160">
        <f>VLOOKUP(D33,'Monthly Summary (No Input)'!$D$4:$J$50008,7,0)</f>
        <v>0</v>
      </c>
      <c r="H33" s="131">
        <f>VLOOKUP(D33,'Monthly Summary (No Input)'!$D$8:$H$128,5,0)</f>
        <v>0</v>
      </c>
      <c r="I33" s="132">
        <f>VLOOKUP(D33,'Monthly Summary (No Input)'!$D$8:$Q$128,14,0)</f>
        <v>0</v>
      </c>
      <c r="J33" s="163">
        <f>VLOOKUP(D33,'Monthly Summary (No Input)'!$D$4:$K$128,8,0)</f>
        <v>0</v>
      </c>
      <c r="K33" s="164">
        <f>VLOOKUP(D33,'Monthly Summary (No Input)'!$D$8:$S$128,16,0)</f>
        <v>0</v>
      </c>
      <c r="L33" s="133">
        <f>VLOOKUP(D33,'Monthly Summary (No Input)'!$D$8:$T$128,17,0)</f>
        <v>0</v>
      </c>
      <c r="M33" s="165">
        <f>VLOOKUP(D33,'Monthly Summary (No Input)'!$D$8:$W$128,20,0)</f>
        <v>0</v>
      </c>
      <c r="N33" s="165">
        <f>VLOOKUP(D33,'Monthly Summary (No Input)'!$D$8:$X$128,21,0)</f>
        <v>0</v>
      </c>
      <c r="O33" s="152" t="str">
        <f>VLOOKUP(D33,'Monthly Summary (No Input)'!$D$8:$N$128,11,0)</f>
        <v/>
      </c>
      <c r="P33" s="152" t="str">
        <f>VLOOKUP(D33,'Monthly Summary (No Input)'!$D$8:$O$128,12,0)</f>
        <v/>
      </c>
      <c r="Q33" s="156" t="str">
        <f>VLOOKUP(D33,'Monthly Summary (No Input)'!$D$8:$P$128,13,0)</f>
        <v/>
      </c>
      <c r="R33" s="154">
        <f>VLOOKUP(D33,'Monthly Summary (No Input)'!$D$8:$R$128,15,0)</f>
        <v>0</v>
      </c>
      <c r="S33" s="154">
        <f>VLOOKUP(D33,'Monthly Summary (No Input)'!$D$8:$U$128,18,0)</f>
        <v>0</v>
      </c>
      <c r="T33" s="154">
        <f>VLOOKUP(D33,'Monthly Summary (No Input)'!$D$8:$V$128,19,0)</f>
        <v>0</v>
      </c>
      <c r="U33" s="153">
        <f>VLOOKUP(D33,'Monthly Summary (No Input)'!$D$8:$Y$128,22,0)</f>
        <v>0</v>
      </c>
      <c r="V33" s="156"/>
      <c r="W33" s="134"/>
      <c r="X33" s="134"/>
      <c r="Y33" s="134"/>
      <c r="Z33" s="134"/>
      <c r="AA33" s="134"/>
      <c r="AB33" s="138">
        <f t="shared" si="0"/>
        <v>0</v>
      </c>
    </row>
    <row r="34" spans="2:28" x14ac:dyDescent="0.25">
      <c r="B34" s="129">
        <f>'Monthly Summary (No Input)'!B36</f>
        <v>17</v>
      </c>
      <c r="C34" s="129" t="str">
        <f>'Monthly Summary (No Input)'!C36</f>
        <v/>
      </c>
      <c r="D34" s="130" t="str">
        <f>'Monthly Summary (No Input)'!D36</f>
        <v>New-6</v>
      </c>
      <c r="E34" s="129" t="str">
        <f>'Monthly Summary (No Input)'!E36</f>
        <v/>
      </c>
      <c r="F34" s="135">
        <f>VLOOKUP(D34,'Monthly Summary (No Input)'!$D$8:$G$50008,4,0)</f>
        <v>0</v>
      </c>
      <c r="G34" s="160">
        <f>VLOOKUP(D34,'Monthly Summary (No Input)'!$D$4:$J$50008,7,0)</f>
        <v>0</v>
      </c>
      <c r="H34" s="131">
        <f>VLOOKUP(D34,'Monthly Summary (No Input)'!$D$8:$H$128,5,0)</f>
        <v>0</v>
      </c>
      <c r="I34" s="132">
        <f>VLOOKUP(D34,'Monthly Summary (No Input)'!$D$8:$Q$128,14,0)</f>
        <v>0</v>
      </c>
      <c r="J34" s="163">
        <f>VLOOKUP(D34,'Monthly Summary (No Input)'!$D$4:$K$128,8,0)</f>
        <v>0</v>
      </c>
      <c r="K34" s="164">
        <f>VLOOKUP(D34,'Monthly Summary (No Input)'!$D$8:$S$128,16,0)</f>
        <v>0</v>
      </c>
      <c r="L34" s="133">
        <f>VLOOKUP(D34,'Monthly Summary (No Input)'!$D$8:$T$128,17,0)</f>
        <v>0</v>
      </c>
      <c r="M34" s="165">
        <f>VLOOKUP(D34,'Monthly Summary (No Input)'!$D$8:$W$128,20,0)</f>
        <v>0</v>
      </c>
      <c r="N34" s="165">
        <f>VLOOKUP(D34,'Monthly Summary (No Input)'!$D$8:$X$128,21,0)</f>
        <v>0</v>
      </c>
      <c r="O34" s="152" t="str">
        <f>VLOOKUP(D34,'Monthly Summary (No Input)'!$D$8:$N$128,11,0)</f>
        <v/>
      </c>
      <c r="P34" s="152" t="str">
        <f>VLOOKUP(D34,'Monthly Summary (No Input)'!$D$8:$O$128,12,0)</f>
        <v/>
      </c>
      <c r="Q34" s="156" t="str">
        <f>VLOOKUP(D34,'Monthly Summary (No Input)'!$D$8:$P$128,13,0)</f>
        <v/>
      </c>
      <c r="R34" s="154">
        <f>VLOOKUP(D34,'Monthly Summary (No Input)'!$D$8:$R$128,15,0)</f>
        <v>0</v>
      </c>
      <c r="S34" s="154">
        <f>VLOOKUP(D34,'Monthly Summary (No Input)'!$D$8:$U$128,18,0)</f>
        <v>0</v>
      </c>
      <c r="T34" s="154">
        <f>VLOOKUP(D34,'Monthly Summary (No Input)'!$D$8:$V$128,19,0)</f>
        <v>0</v>
      </c>
      <c r="U34" s="153">
        <f>VLOOKUP(D34,'Monthly Summary (No Input)'!$D$8:$Y$128,22,0)</f>
        <v>0</v>
      </c>
      <c r="V34" s="156"/>
      <c r="W34" s="134"/>
      <c r="X34" s="134"/>
      <c r="Y34" s="134"/>
      <c r="Z34" s="134"/>
      <c r="AA34" s="134"/>
      <c r="AB34" s="138">
        <f t="shared" si="0"/>
        <v>0</v>
      </c>
    </row>
    <row r="35" spans="2:28" x14ac:dyDescent="0.25">
      <c r="B35" s="129"/>
      <c r="C35" s="129"/>
      <c r="D35" s="130"/>
      <c r="E35" s="129"/>
      <c r="F35" s="135"/>
      <c r="G35" s="160"/>
      <c r="H35" s="131"/>
      <c r="I35" s="132"/>
      <c r="J35" s="163"/>
      <c r="K35" s="164"/>
      <c r="L35" s="133"/>
      <c r="M35" s="165"/>
      <c r="N35" s="165"/>
      <c r="O35" s="152"/>
      <c r="P35" s="152"/>
      <c r="Q35" s="156"/>
      <c r="R35" s="154"/>
      <c r="S35" s="154"/>
      <c r="T35" s="154"/>
      <c r="U35" s="153"/>
      <c r="V35" s="156"/>
      <c r="W35" s="134"/>
      <c r="X35" s="134"/>
      <c r="Y35" s="134"/>
      <c r="Z35" s="134"/>
      <c r="AA35" s="134"/>
      <c r="AB35" s="138"/>
    </row>
  </sheetData>
  <mergeCells count="11">
    <mergeCell ref="W4:W5"/>
    <mergeCell ref="X4:X5"/>
    <mergeCell ref="Y4:Y5"/>
    <mergeCell ref="AB4:AB5"/>
    <mergeCell ref="B4:B5"/>
    <mergeCell ref="C4:C5"/>
    <mergeCell ref="D4:D5"/>
    <mergeCell ref="E4:E5"/>
    <mergeCell ref="O4:P4"/>
    <mergeCell ref="M4:N4"/>
    <mergeCell ref="V4:V5"/>
  </mergeCells>
  <pageMargins left="0.7" right="0.7" top="0.75" bottom="0.75" header="0.3" footer="0.3"/>
  <pageSetup scale="82" orientation="landscape" horizontalDpi="4294967295" verticalDpi="4294967295" r:id="rId1"/>
  <colBreaks count="1" manualBreakCount="1">
    <brk id="13" max="2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'ASE Target (Spares), FY 21-22'!$H$5:$S$5</xm:f>
          </x14:formula1>
          <xm:sqref>C2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27"/>
  <sheetViews>
    <sheetView showGridLines="0" workbookViewId="0">
      <selection activeCell="I11" sqref="I11"/>
    </sheetView>
  </sheetViews>
  <sheetFormatPr defaultRowHeight="15" x14ac:dyDescent="0.25"/>
  <cols>
    <col min="1" max="1" width="1.85546875" style="2" customWidth="1"/>
    <col min="2" max="2" width="9.140625" style="1"/>
    <col min="3" max="3" width="20.7109375" style="1" bestFit="1" customWidth="1"/>
    <col min="4" max="4" width="17" style="1" customWidth="1"/>
    <col min="5" max="5" width="25.140625" style="8" customWidth="1"/>
    <col min="6" max="6" width="25" style="8" customWidth="1"/>
    <col min="7" max="7" width="15.5703125" style="2" customWidth="1"/>
    <col min="8" max="16384" width="9.140625" style="2"/>
  </cols>
  <sheetData>
    <row r="1" spans="2:7" x14ac:dyDescent="0.25">
      <c r="C1" s="2"/>
      <c r="D1" s="4"/>
    </row>
    <row r="2" spans="2:7" x14ac:dyDescent="0.25">
      <c r="B2" s="236" t="s">
        <v>103</v>
      </c>
      <c r="C2" s="236"/>
      <c r="D2" s="236"/>
      <c r="E2" s="236"/>
      <c r="F2" s="236"/>
    </row>
    <row r="3" spans="2:7" s="9" customFormat="1" x14ac:dyDescent="0.25">
      <c r="B3" s="77" t="s">
        <v>74</v>
      </c>
      <c r="C3" s="21" t="s">
        <v>75</v>
      </c>
      <c r="D3" s="21" t="s">
        <v>76</v>
      </c>
      <c r="E3" s="21" t="s">
        <v>77</v>
      </c>
      <c r="F3" s="21" t="s">
        <v>124</v>
      </c>
    </row>
    <row r="4" spans="2:7" x14ac:dyDescent="0.25">
      <c r="B4" s="15" t="s">
        <v>67</v>
      </c>
      <c r="C4" s="22">
        <v>1.7500000000000002E-2</v>
      </c>
      <c r="D4" s="17">
        <v>750</v>
      </c>
      <c r="E4" s="17">
        <v>115000</v>
      </c>
      <c r="F4" s="17">
        <v>150000</v>
      </c>
    </row>
    <row r="5" spans="2:7" x14ac:dyDescent="0.25">
      <c r="B5" s="15" t="s">
        <v>68</v>
      </c>
      <c r="C5" s="22">
        <v>0.02</v>
      </c>
      <c r="D5" s="17">
        <v>1000</v>
      </c>
      <c r="E5" s="17">
        <f>F4</f>
        <v>150000</v>
      </c>
      <c r="F5" s="17">
        <v>200000</v>
      </c>
    </row>
    <row r="6" spans="2:7" x14ac:dyDescent="0.25">
      <c r="B6" s="15" t="s">
        <v>69</v>
      </c>
      <c r="C6" s="22">
        <v>2.2499999999999999E-2</v>
      </c>
      <c r="D6" s="17">
        <v>1250</v>
      </c>
      <c r="E6" s="17">
        <f t="shared" ref="E6:E10" si="0">F5</f>
        <v>200000</v>
      </c>
      <c r="F6" s="17">
        <v>300000</v>
      </c>
    </row>
    <row r="7" spans="2:7" x14ac:dyDescent="0.25">
      <c r="B7" s="15" t="s">
        <v>70</v>
      </c>
      <c r="C7" s="22">
        <v>2.5000000000000001E-2</v>
      </c>
      <c r="D7" s="17">
        <v>1500</v>
      </c>
      <c r="E7" s="17">
        <f t="shared" si="0"/>
        <v>300000</v>
      </c>
      <c r="F7" s="17">
        <v>400000</v>
      </c>
    </row>
    <row r="8" spans="2:7" x14ac:dyDescent="0.25">
      <c r="B8" s="15" t="s">
        <v>71</v>
      </c>
      <c r="C8" s="22">
        <v>2.75E-2</v>
      </c>
      <c r="D8" s="17">
        <v>1750</v>
      </c>
      <c r="E8" s="17">
        <f t="shared" si="0"/>
        <v>400000</v>
      </c>
      <c r="F8" s="17">
        <v>500000</v>
      </c>
    </row>
    <row r="9" spans="2:7" x14ac:dyDescent="0.25">
      <c r="B9" s="15" t="s">
        <v>72</v>
      </c>
      <c r="C9" s="22">
        <v>0.03</v>
      </c>
      <c r="D9" s="17">
        <v>2000</v>
      </c>
      <c r="E9" s="17">
        <f t="shared" si="0"/>
        <v>500000</v>
      </c>
      <c r="F9" s="17">
        <v>700000</v>
      </c>
    </row>
    <row r="10" spans="2:7" x14ac:dyDescent="0.25">
      <c r="B10" s="15" t="s">
        <v>73</v>
      </c>
      <c r="C10" s="22">
        <v>3.2500000000000001E-2</v>
      </c>
      <c r="D10" s="17">
        <v>2500</v>
      </c>
      <c r="E10" s="17">
        <f t="shared" si="0"/>
        <v>700000</v>
      </c>
      <c r="F10" s="17"/>
    </row>
    <row r="11" spans="2:7" x14ac:dyDescent="0.25">
      <c r="B11" s="15" t="s">
        <v>118</v>
      </c>
      <c r="C11" s="139">
        <v>0.01</v>
      </c>
      <c r="D11" s="22"/>
      <c r="E11" s="237" t="s">
        <v>208</v>
      </c>
      <c r="F11" s="237"/>
      <c r="G11" s="2" t="s">
        <v>209</v>
      </c>
    </row>
    <row r="12" spans="2:7" x14ac:dyDescent="0.25">
      <c r="B12" s="15" t="s">
        <v>122</v>
      </c>
      <c r="C12" s="22"/>
      <c r="D12" s="17">
        <v>25000</v>
      </c>
      <c r="E12" s="238" t="s">
        <v>123</v>
      </c>
      <c r="F12" s="238"/>
    </row>
    <row r="14" spans="2:7" x14ac:dyDescent="0.25">
      <c r="B14" s="236" t="s">
        <v>104</v>
      </c>
      <c r="C14" s="236"/>
      <c r="D14" s="236"/>
      <c r="E14" s="236"/>
      <c r="F14" s="236"/>
      <c r="G14" s="90"/>
    </row>
    <row r="15" spans="2:7" x14ac:dyDescent="0.25">
      <c r="B15" s="77" t="s">
        <v>74</v>
      </c>
      <c r="C15" s="15"/>
      <c r="D15" s="21" t="s">
        <v>101</v>
      </c>
      <c r="E15" s="21" t="s">
        <v>102</v>
      </c>
      <c r="F15" s="21" t="s">
        <v>78</v>
      </c>
    </row>
    <row r="16" spans="2:7" x14ac:dyDescent="0.25">
      <c r="B16" s="15" t="s">
        <v>67</v>
      </c>
      <c r="C16" s="15"/>
      <c r="D16" s="20">
        <v>150</v>
      </c>
      <c r="E16" s="17">
        <v>1000</v>
      </c>
      <c r="F16" s="17">
        <v>3000</v>
      </c>
    </row>
    <row r="17" spans="2:6" x14ac:dyDescent="0.25">
      <c r="B17" s="15" t="s">
        <v>68</v>
      </c>
      <c r="C17" s="15"/>
      <c r="D17" s="17">
        <v>300</v>
      </c>
      <c r="E17" s="17">
        <v>3000</v>
      </c>
      <c r="F17" s="17">
        <v>6000</v>
      </c>
    </row>
    <row r="18" spans="2:6" x14ac:dyDescent="0.25">
      <c r="B18" s="15" t="s">
        <v>69</v>
      </c>
      <c r="C18" s="15"/>
      <c r="D18" s="17">
        <v>400</v>
      </c>
      <c r="E18" s="17">
        <v>6000</v>
      </c>
      <c r="F18" s="17">
        <v>15000</v>
      </c>
    </row>
    <row r="19" spans="2:6" x14ac:dyDescent="0.25">
      <c r="B19" s="15" t="s">
        <v>70</v>
      </c>
      <c r="C19" s="15"/>
      <c r="D19" s="17">
        <v>500</v>
      </c>
      <c r="E19" s="17">
        <v>15000</v>
      </c>
      <c r="F19" s="17"/>
    </row>
    <row r="21" spans="2:6" x14ac:dyDescent="0.25">
      <c r="B21" s="190" t="s">
        <v>106</v>
      </c>
      <c r="C21" s="191"/>
      <c r="D21" s="191"/>
      <c r="E21" s="191"/>
      <c r="F21" s="192"/>
    </row>
    <row r="22" spans="2:6" x14ac:dyDescent="0.25">
      <c r="B22" s="77" t="s">
        <v>74</v>
      </c>
      <c r="C22" s="243" t="s">
        <v>107</v>
      </c>
      <c r="D22" s="243"/>
      <c r="E22" s="243" t="s">
        <v>108</v>
      </c>
      <c r="F22" s="243"/>
    </row>
    <row r="23" spans="2:6" x14ac:dyDescent="0.25">
      <c r="B23" s="15" t="s">
        <v>67</v>
      </c>
      <c r="C23" s="244">
        <v>500</v>
      </c>
      <c r="D23" s="244"/>
      <c r="E23" s="245"/>
      <c r="F23" s="245"/>
    </row>
    <row r="24" spans="2:6" x14ac:dyDescent="0.25">
      <c r="B24" s="15" t="s">
        <v>68</v>
      </c>
      <c r="C24" s="244"/>
      <c r="D24" s="244"/>
      <c r="E24" s="244">
        <v>1000</v>
      </c>
      <c r="F24" s="244"/>
    </row>
    <row r="26" spans="2:6" x14ac:dyDescent="0.25">
      <c r="B26" s="190" t="s">
        <v>141</v>
      </c>
      <c r="C26" s="191"/>
      <c r="D26" s="191"/>
      <c r="E26" s="191"/>
      <c r="F26" s="192"/>
    </row>
    <row r="27" spans="2:6" ht="99" customHeight="1" x14ac:dyDescent="0.25">
      <c r="B27" s="239" t="s">
        <v>140</v>
      </c>
      <c r="C27" s="240"/>
      <c r="D27" s="241"/>
      <c r="E27" s="242">
        <v>5</v>
      </c>
      <c r="F27" s="242"/>
    </row>
  </sheetData>
  <mergeCells count="14">
    <mergeCell ref="B27:D27"/>
    <mergeCell ref="B26:F26"/>
    <mergeCell ref="E27:F27"/>
    <mergeCell ref="C22:D22"/>
    <mergeCell ref="C23:D23"/>
    <mergeCell ref="C24:D24"/>
    <mergeCell ref="E22:F22"/>
    <mergeCell ref="E23:F23"/>
    <mergeCell ref="E24:F24"/>
    <mergeCell ref="B2:F2"/>
    <mergeCell ref="B14:F14"/>
    <mergeCell ref="B21:F21"/>
    <mergeCell ref="E11:F11"/>
    <mergeCell ref="E12:F1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ASE Target (Spares), FY 21-22</vt:lpstr>
      <vt:lpstr>Sheet1</vt:lpstr>
      <vt:lpstr>Upload</vt:lpstr>
      <vt:lpstr>ASE Target vs Ach(Spares)(Inpt)</vt:lpstr>
      <vt:lpstr>ASE Ach(Lube Oil Sales)</vt:lpstr>
      <vt:lpstr>ASE Ach (Service)(Input)</vt:lpstr>
      <vt:lpstr>ASE Ach (CSA)(Input)</vt:lpstr>
      <vt:lpstr>Monthly Summary (No Input)</vt:lpstr>
      <vt:lpstr>Monthly Summary (Printable)</vt:lpstr>
      <vt:lpstr>Condition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Himadry</dc:creator>
  <cp:lastModifiedBy>Windows User</cp:lastModifiedBy>
  <cp:lastPrinted>2022-03-21T04:29:00Z</cp:lastPrinted>
  <dcterms:created xsi:type="dcterms:W3CDTF">2021-08-14T05:41:08Z</dcterms:created>
  <dcterms:modified xsi:type="dcterms:W3CDTF">2022-09-02T19:38:40Z</dcterms:modified>
</cp:coreProperties>
</file>